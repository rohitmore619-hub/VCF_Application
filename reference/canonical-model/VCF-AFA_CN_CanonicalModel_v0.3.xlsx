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elekom.sharepoint.de/sites/CPSSovereignInfrastructureAdvisory/VCFAltFeasibilityAnalysis/ForRohit/"/>
    </mc:Choice>
  </mc:AlternateContent>
  <xr:revisionPtr revIDLastSave="0" documentId="13_ncr:1_{44D38048-3F5C-48B2-86BB-33429B81F6E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0_Metadata" sheetId="1" r:id="rId1"/>
    <sheet name="01_Products" sheetId="2" r:id="rId2"/>
    <sheet name="01b_Integrations_AddOns" sheetId="3" r:id="rId3"/>
    <sheet name="02_Features" sheetId="4" r:id="rId4"/>
    <sheet name="03_Functionalities" sheetId="5" r:id="rId5"/>
    <sheet name="04_Enums" sheetId="6" r:id="rId6"/>
    <sheet name="05_Quality_Checks" sheetId="7" r:id="rId7"/>
    <sheet name="06_Change_Log" sheetId="8" r:id="rId8"/>
    <sheet name="07_Source_References" sheetId="9" r:id="rId9"/>
    <sheet name="99_App_Load_View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1" i="10" l="1"/>
  <c r="W241" i="10"/>
  <c r="V241" i="10"/>
  <c r="U241" i="10"/>
  <c r="R241" i="10"/>
  <c r="Q241" i="10"/>
  <c r="P241" i="10"/>
  <c r="O241" i="10"/>
  <c r="N241" i="10"/>
  <c r="M241" i="10"/>
  <c r="L241" i="10"/>
  <c r="K241" i="10"/>
  <c r="J241" i="10"/>
  <c r="I241" i="10"/>
  <c r="H241" i="10"/>
  <c r="C241" i="10"/>
  <c r="S241" i="10" s="1"/>
  <c r="B241" i="10"/>
  <c r="T241" i="10" s="1"/>
  <c r="A241" i="10"/>
  <c r="X240" i="10"/>
  <c r="W240" i="10"/>
  <c r="V240" i="10"/>
  <c r="U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C240" i="10"/>
  <c r="S240" i="10" s="1"/>
  <c r="B240" i="10"/>
  <c r="T240" i="10" s="1"/>
  <c r="A240" i="10"/>
  <c r="X239" i="10"/>
  <c r="W239" i="10"/>
  <c r="V239" i="10"/>
  <c r="U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C239" i="10"/>
  <c r="S239" i="10" s="1"/>
  <c r="B239" i="10"/>
  <c r="T239" i="10" s="1"/>
  <c r="A239" i="10"/>
  <c r="X238" i="10"/>
  <c r="W238" i="10"/>
  <c r="V238" i="10"/>
  <c r="U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C238" i="10"/>
  <c r="S238" i="10" s="1"/>
  <c r="B238" i="10"/>
  <c r="T238" i="10" s="1"/>
  <c r="A238" i="10"/>
  <c r="X237" i="10"/>
  <c r="W237" i="10"/>
  <c r="V237" i="10"/>
  <c r="U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S237" i="10" s="1"/>
  <c r="B237" i="10"/>
  <c r="T237" i="10" s="1"/>
  <c r="A237" i="10"/>
  <c r="X236" i="10"/>
  <c r="W236" i="10"/>
  <c r="V236" i="10"/>
  <c r="U236" i="10"/>
  <c r="R236" i="10"/>
  <c r="Q236" i="10"/>
  <c r="P236" i="10"/>
  <c r="O236" i="10"/>
  <c r="N236" i="10"/>
  <c r="M236" i="10"/>
  <c r="L236" i="10"/>
  <c r="K236" i="10"/>
  <c r="J236" i="10"/>
  <c r="I236" i="10"/>
  <c r="H236" i="10"/>
  <c r="F236" i="10"/>
  <c r="D236" i="10"/>
  <c r="C236" i="10"/>
  <c r="E236" i="10" s="1"/>
  <c r="B236" i="10"/>
  <c r="T236" i="10" s="1"/>
  <c r="A236" i="10"/>
  <c r="X235" i="10"/>
  <c r="W235" i="10"/>
  <c r="V235" i="10"/>
  <c r="U235" i="10"/>
  <c r="R235" i="10"/>
  <c r="Q235" i="10"/>
  <c r="P235" i="10"/>
  <c r="O235" i="10"/>
  <c r="N235" i="10"/>
  <c r="M235" i="10"/>
  <c r="L235" i="10"/>
  <c r="K235" i="10"/>
  <c r="J235" i="10"/>
  <c r="I235" i="10"/>
  <c r="H235" i="10"/>
  <c r="C235" i="10"/>
  <c r="E235" i="10" s="1"/>
  <c r="B235" i="10"/>
  <c r="T235" i="10" s="1"/>
  <c r="A235" i="10"/>
  <c r="X234" i="10"/>
  <c r="W234" i="10"/>
  <c r="V234" i="10"/>
  <c r="U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D234" i="10"/>
  <c r="C234" i="10"/>
  <c r="E234" i="10" s="1"/>
  <c r="B234" i="10"/>
  <c r="T234" i="10" s="1"/>
  <c r="A234" i="10"/>
  <c r="X233" i="10"/>
  <c r="W233" i="10"/>
  <c r="V233" i="10"/>
  <c r="U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C233" i="10"/>
  <c r="E233" i="10" s="1"/>
  <c r="B233" i="10"/>
  <c r="T233" i="10" s="1"/>
  <c r="A233" i="10"/>
  <c r="X232" i="10"/>
  <c r="W232" i="10"/>
  <c r="V232" i="10"/>
  <c r="U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E232" i="10"/>
  <c r="C232" i="10"/>
  <c r="D232" i="10" s="1"/>
  <c r="B232" i="10"/>
  <c r="T232" i="10" s="1"/>
  <c r="A232" i="10"/>
  <c r="X231" i="10"/>
  <c r="W231" i="10"/>
  <c r="V231" i="10"/>
  <c r="U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D231" i="10"/>
  <c r="C231" i="10"/>
  <c r="E231" i="10" s="1"/>
  <c r="B231" i="10"/>
  <c r="T231" i="10" s="1"/>
  <c r="A231" i="10"/>
  <c r="X230" i="10"/>
  <c r="W230" i="10"/>
  <c r="V230" i="10"/>
  <c r="U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C230" i="10"/>
  <c r="B230" i="10"/>
  <c r="T230" i="10" s="1"/>
  <c r="A230" i="10"/>
  <c r="X229" i="10"/>
  <c r="W229" i="10"/>
  <c r="V229" i="10"/>
  <c r="U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E229" i="10"/>
  <c r="C229" i="10"/>
  <c r="D229" i="10" s="1"/>
  <c r="B229" i="10"/>
  <c r="A229" i="10"/>
  <c r="X228" i="10"/>
  <c r="W228" i="10"/>
  <c r="V228" i="10"/>
  <c r="U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T228" i="10" s="1"/>
  <c r="A228" i="10"/>
  <c r="X227" i="10"/>
  <c r="W227" i="10"/>
  <c r="V227" i="10"/>
  <c r="U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F227" i="10"/>
  <c r="D227" i="10"/>
  <c r="C227" i="10"/>
  <c r="E227" i="10" s="1"/>
  <c r="B227" i="10"/>
  <c r="T227" i="10" s="1"/>
  <c r="A227" i="10"/>
  <c r="X226" i="10"/>
  <c r="W226" i="10"/>
  <c r="V226" i="10"/>
  <c r="U226" i="10"/>
  <c r="R226" i="10"/>
  <c r="Q226" i="10"/>
  <c r="P226" i="10"/>
  <c r="O226" i="10"/>
  <c r="N226" i="10"/>
  <c r="M226" i="10"/>
  <c r="L226" i="10"/>
  <c r="K226" i="10"/>
  <c r="J226" i="10"/>
  <c r="I226" i="10"/>
  <c r="H226" i="10"/>
  <c r="C226" i="10"/>
  <c r="B226" i="10"/>
  <c r="T226" i="10" s="1"/>
  <c r="A226" i="10"/>
  <c r="X225" i="10"/>
  <c r="W225" i="10"/>
  <c r="V225" i="10"/>
  <c r="U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D225" i="10"/>
  <c r="C225" i="10"/>
  <c r="E225" i="10" s="1"/>
  <c r="B225" i="10"/>
  <c r="A225" i="10"/>
  <c r="X224" i="10"/>
  <c r="W224" i="10"/>
  <c r="V224" i="10"/>
  <c r="U224" i="10"/>
  <c r="R224" i="10"/>
  <c r="Q224" i="10"/>
  <c r="P224" i="10"/>
  <c r="O224" i="10"/>
  <c r="N224" i="10"/>
  <c r="M224" i="10"/>
  <c r="L224" i="10"/>
  <c r="K224" i="10"/>
  <c r="J224" i="10"/>
  <c r="I224" i="10"/>
  <c r="H224" i="10"/>
  <c r="C224" i="10"/>
  <c r="E224" i="10" s="1"/>
  <c r="B224" i="10"/>
  <c r="T224" i="10" s="1"/>
  <c r="A224" i="10"/>
  <c r="X223" i="10"/>
  <c r="W223" i="10"/>
  <c r="V223" i="10"/>
  <c r="U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D223" i="10"/>
  <c r="C223" i="10"/>
  <c r="E223" i="10" s="1"/>
  <c r="B223" i="10"/>
  <c r="T223" i="10" s="1"/>
  <c r="A223" i="10"/>
  <c r="X222" i="10"/>
  <c r="W222" i="10"/>
  <c r="V222" i="10"/>
  <c r="U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C222" i="10"/>
  <c r="D222" i="10" s="1"/>
  <c r="B222" i="10"/>
  <c r="T222" i="10" s="1"/>
  <c r="A222" i="10"/>
  <c r="X221" i="10"/>
  <c r="W221" i="10"/>
  <c r="V221" i="10"/>
  <c r="U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T221" i="10" s="1"/>
  <c r="A221" i="10"/>
  <c r="X220" i="10"/>
  <c r="W220" i="10"/>
  <c r="V220" i="10"/>
  <c r="U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C220" i="10"/>
  <c r="S220" i="10" s="1"/>
  <c r="B220" i="10"/>
  <c r="T220" i="10" s="1"/>
  <c r="A220" i="10"/>
  <c r="X219" i="10"/>
  <c r="W219" i="10"/>
  <c r="V219" i="10"/>
  <c r="U219" i="10"/>
  <c r="R219" i="10"/>
  <c r="Q219" i="10"/>
  <c r="P219" i="10"/>
  <c r="O219" i="10"/>
  <c r="N219" i="10"/>
  <c r="M219" i="10"/>
  <c r="L219" i="10"/>
  <c r="K219" i="10"/>
  <c r="J219" i="10"/>
  <c r="I219" i="10"/>
  <c r="H219" i="10"/>
  <c r="E219" i="10"/>
  <c r="D219" i="10"/>
  <c r="C219" i="10"/>
  <c r="S219" i="10" s="1"/>
  <c r="B219" i="10"/>
  <c r="T219" i="10" s="1"/>
  <c r="A219" i="10"/>
  <c r="X218" i="10"/>
  <c r="W218" i="10"/>
  <c r="V218" i="10"/>
  <c r="U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C218" i="10"/>
  <c r="B218" i="10"/>
  <c r="T218" i="10" s="1"/>
  <c r="A218" i="10"/>
  <c r="X217" i="10"/>
  <c r="W217" i="10"/>
  <c r="V217" i="10"/>
  <c r="U217" i="10"/>
  <c r="R217" i="10"/>
  <c r="Q217" i="10"/>
  <c r="P217" i="10"/>
  <c r="O217" i="10"/>
  <c r="N217" i="10"/>
  <c r="M217" i="10"/>
  <c r="L217" i="10"/>
  <c r="K217" i="10"/>
  <c r="J217" i="10"/>
  <c r="I217" i="10"/>
  <c r="H217" i="10"/>
  <c r="C217" i="10"/>
  <c r="B217" i="10"/>
  <c r="A217" i="10"/>
  <c r="X216" i="10"/>
  <c r="W216" i="10"/>
  <c r="V216" i="10"/>
  <c r="U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E216" i="10"/>
  <c r="C216" i="10"/>
  <c r="D216" i="10" s="1"/>
  <c r="B216" i="10"/>
  <c r="A216" i="10"/>
  <c r="X215" i="10"/>
  <c r="W215" i="10"/>
  <c r="V215" i="10"/>
  <c r="U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D215" i="10"/>
  <c r="C215" i="10"/>
  <c r="E215" i="10" s="1"/>
  <c r="B215" i="10"/>
  <c r="T215" i="10" s="1"/>
  <c r="A215" i="10"/>
  <c r="X214" i="10"/>
  <c r="W214" i="10"/>
  <c r="V214" i="10"/>
  <c r="U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F214" i="10"/>
  <c r="C214" i="10"/>
  <c r="E214" i="10" s="1"/>
  <c r="B214" i="10"/>
  <c r="T214" i="10" s="1"/>
  <c r="A214" i="10"/>
  <c r="X213" i="10"/>
  <c r="W213" i="10"/>
  <c r="V213" i="10"/>
  <c r="U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E213" i="10"/>
  <c r="D213" i="10"/>
  <c r="C213" i="10"/>
  <c r="B213" i="10"/>
  <c r="T213" i="10" s="1"/>
  <c r="A213" i="10"/>
  <c r="X212" i="10"/>
  <c r="W212" i="10"/>
  <c r="V212" i="10"/>
  <c r="U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F212" i="10"/>
  <c r="D212" i="10"/>
  <c r="C212" i="10"/>
  <c r="E212" i="10" s="1"/>
  <c r="B212" i="10"/>
  <c r="T212" i="10" s="1"/>
  <c r="A212" i="10"/>
  <c r="X211" i="10"/>
  <c r="W211" i="10"/>
  <c r="V211" i="10"/>
  <c r="U211" i="10"/>
  <c r="R211" i="10"/>
  <c r="Q211" i="10"/>
  <c r="P211" i="10"/>
  <c r="O211" i="10"/>
  <c r="N211" i="10"/>
  <c r="M211" i="10"/>
  <c r="L211" i="10"/>
  <c r="K211" i="10"/>
  <c r="J211" i="10"/>
  <c r="I211" i="10"/>
  <c r="H211" i="10"/>
  <c r="C211" i="10"/>
  <c r="E211" i="10" s="1"/>
  <c r="B211" i="10"/>
  <c r="T211" i="10" s="1"/>
  <c r="A211" i="10"/>
  <c r="X210" i="10"/>
  <c r="W210" i="10"/>
  <c r="V210" i="10"/>
  <c r="U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E210" i="10"/>
  <c r="D210" i="10"/>
  <c r="C210" i="10"/>
  <c r="B210" i="10"/>
  <c r="T210" i="10" s="1"/>
  <c r="A210" i="10"/>
  <c r="X209" i="10"/>
  <c r="W209" i="10"/>
  <c r="V209" i="10"/>
  <c r="U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C209" i="10"/>
  <c r="E209" i="10" s="1"/>
  <c r="B209" i="10"/>
  <c r="T209" i="10" s="1"/>
  <c r="A209" i="10"/>
  <c r="X208" i="10"/>
  <c r="W208" i="10"/>
  <c r="V208" i="10"/>
  <c r="U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C208" i="10"/>
  <c r="D208" i="10" s="1"/>
  <c r="B208" i="10"/>
  <c r="T208" i="10" s="1"/>
  <c r="A208" i="10"/>
  <c r="X207" i="10"/>
  <c r="W207" i="10"/>
  <c r="V207" i="10"/>
  <c r="U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T207" i="10" s="1"/>
  <c r="A207" i="10"/>
  <c r="X206" i="10"/>
  <c r="W206" i="10"/>
  <c r="V206" i="10"/>
  <c r="U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C206" i="10"/>
  <c r="B206" i="10"/>
  <c r="T206" i="10" s="1"/>
  <c r="A206" i="10"/>
  <c r="X205" i="10"/>
  <c r="W205" i="10"/>
  <c r="V205" i="10"/>
  <c r="U205" i="10"/>
  <c r="R205" i="10"/>
  <c r="Q205" i="10"/>
  <c r="P205" i="10"/>
  <c r="O205" i="10"/>
  <c r="N205" i="10"/>
  <c r="M205" i="10"/>
  <c r="L205" i="10"/>
  <c r="K205" i="10"/>
  <c r="J205" i="10"/>
  <c r="I205" i="10"/>
  <c r="H205" i="10"/>
  <c r="C205" i="10"/>
  <c r="E205" i="10" s="1"/>
  <c r="B205" i="10"/>
  <c r="A205" i="10"/>
  <c r="X204" i="10"/>
  <c r="W204" i="10"/>
  <c r="V204" i="10"/>
  <c r="U204" i="10"/>
  <c r="R204" i="10"/>
  <c r="Q204" i="10"/>
  <c r="P204" i="10"/>
  <c r="O204" i="10"/>
  <c r="N204" i="10"/>
  <c r="M204" i="10"/>
  <c r="L204" i="10"/>
  <c r="K204" i="10"/>
  <c r="J204" i="10"/>
  <c r="I204" i="10"/>
  <c r="H204" i="10"/>
  <c r="E204" i="10"/>
  <c r="D204" i="10"/>
  <c r="C204" i="10"/>
  <c r="S204" i="10" s="1"/>
  <c r="B204" i="10"/>
  <c r="T204" i="10" s="1"/>
  <c r="A204" i="10"/>
  <c r="X203" i="10"/>
  <c r="W203" i="10"/>
  <c r="V203" i="10"/>
  <c r="U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D203" i="10"/>
  <c r="C203" i="10"/>
  <c r="E203" i="10" s="1"/>
  <c r="B203" i="10"/>
  <c r="T203" i="10" s="1"/>
  <c r="A203" i="10"/>
  <c r="X202" i="10"/>
  <c r="W202" i="10"/>
  <c r="V202" i="10"/>
  <c r="U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C202" i="10"/>
  <c r="B202" i="10"/>
  <c r="T202" i="10" s="1"/>
  <c r="A202" i="10"/>
  <c r="X201" i="10"/>
  <c r="W201" i="10"/>
  <c r="V201" i="10"/>
  <c r="U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E201" i="10"/>
  <c r="D201" i="10"/>
  <c r="C201" i="10"/>
  <c r="B201" i="10"/>
  <c r="A201" i="10"/>
  <c r="X200" i="10"/>
  <c r="W200" i="10"/>
  <c r="V200" i="10"/>
  <c r="U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C200" i="10"/>
  <c r="E200" i="10" s="1"/>
  <c r="B200" i="10"/>
  <c r="T200" i="10" s="1"/>
  <c r="A200" i="10"/>
  <c r="X199" i="10"/>
  <c r="W199" i="10"/>
  <c r="V199" i="10"/>
  <c r="U199" i="10"/>
  <c r="R199" i="10"/>
  <c r="Q199" i="10"/>
  <c r="P199" i="10"/>
  <c r="O199" i="10"/>
  <c r="N199" i="10"/>
  <c r="M199" i="10"/>
  <c r="L199" i="10"/>
  <c r="K199" i="10"/>
  <c r="J199" i="10"/>
  <c r="I199" i="10"/>
  <c r="H199" i="10"/>
  <c r="C199" i="10"/>
  <c r="E199" i="10" s="1"/>
  <c r="B199" i="10"/>
  <c r="T199" i="10" s="1"/>
  <c r="A199" i="10"/>
  <c r="X198" i="10"/>
  <c r="W198" i="10"/>
  <c r="V198" i="10"/>
  <c r="U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C198" i="10"/>
  <c r="D198" i="10" s="1"/>
  <c r="B198" i="10"/>
  <c r="T198" i="10" s="1"/>
  <c r="A198" i="10"/>
  <c r="X197" i="10"/>
  <c r="W197" i="10"/>
  <c r="V197" i="10"/>
  <c r="U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T197" i="10" s="1"/>
  <c r="A197" i="10"/>
  <c r="X196" i="10"/>
  <c r="W196" i="10"/>
  <c r="V196" i="10"/>
  <c r="U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C196" i="10"/>
  <c r="S196" i="10" s="1"/>
  <c r="B196" i="10"/>
  <c r="T196" i="10" s="1"/>
  <c r="A196" i="10"/>
  <c r="X195" i="10"/>
  <c r="W195" i="10"/>
  <c r="V195" i="10"/>
  <c r="U195" i="10"/>
  <c r="R195" i="10"/>
  <c r="Q195" i="10"/>
  <c r="P195" i="10"/>
  <c r="O195" i="10"/>
  <c r="N195" i="10"/>
  <c r="M195" i="10"/>
  <c r="L195" i="10"/>
  <c r="K195" i="10"/>
  <c r="J195" i="10"/>
  <c r="I195" i="10"/>
  <c r="H195" i="10"/>
  <c r="E195" i="10"/>
  <c r="D195" i="10"/>
  <c r="C195" i="10"/>
  <c r="S195" i="10" s="1"/>
  <c r="B195" i="10"/>
  <c r="T195" i="10" s="1"/>
  <c r="A195" i="10"/>
  <c r="X194" i="10"/>
  <c r="W194" i="10"/>
  <c r="V194" i="10"/>
  <c r="U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C194" i="10"/>
  <c r="E194" i="10" s="1"/>
  <c r="B194" i="10"/>
  <c r="T194" i="10" s="1"/>
  <c r="A194" i="10"/>
  <c r="X193" i="10"/>
  <c r="W193" i="10"/>
  <c r="V193" i="10"/>
  <c r="U193" i="10"/>
  <c r="R193" i="10"/>
  <c r="Q193" i="10"/>
  <c r="P193" i="10"/>
  <c r="O193" i="10"/>
  <c r="N193" i="10"/>
  <c r="M193" i="10"/>
  <c r="L193" i="10"/>
  <c r="K193" i="10"/>
  <c r="J193" i="10"/>
  <c r="I193" i="10"/>
  <c r="H193" i="10"/>
  <c r="C193" i="10"/>
  <c r="B193" i="10"/>
  <c r="A193" i="10"/>
  <c r="X192" i="10"/>
  <c r="W192" i="10"/>
  <c r="V192" i="10"/>
  <c r="U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E192" i="10"/>
  <c r="C192" i="10"/>
  <c r="D192" i="10" s="1"/>
  <c r="B192" i="10"/>
  <c r="A192" i="10"/>
  <c r="X191" i="10"/>
  <c r="W191" i="10"/>
  <c r="V191" i="10"/>
  <c r="U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D191" i="10"/>
  <c r="C191" i="10"/>
  <c r="E191" i="10" s="1"/>
  <c r="B191" i="10"/>
  <c r="T191" i="10" s="1"/>
  <c r="A191" i="10"/>
  <c r="X190" i="10"/>
  <c r="W190" i="10"/>
  <c r="V190" i="10"/>
  <c r="U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F190" i="10"/>
  <c r="C190" i="10"/>
  <c r="E190" i="10" s="1"/>
  <c r="B190" i="10"/>
  <c r="T190" i="10" s="1"/>
  <c r="A190" i="10"/>
  <c r="X189" i="10"/>
  <c r="W189" i="10"/>
  <c r="V189" i="10"/>
  <c r="U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E189" i="10"/>
  <c r="D189" i="10"/>
  <c r="C189" i="10"/>
  <c r="B189" i="10"/>
  <c r="T189" i="10" s="1"/>
  <c r="A189" i="10"/>
  <c r="X188" i="10"/>
  <c r="W188" i="10"/>
  <c r="V188" i="10"/>
  <c r="U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F188" i="10"/>
  <c r="D188" i="10"/>
  <c r="C188" i="10"/>
  <c r="E188" i="10" s="1"/>
  <c r="B188" i="10"/>
  <c r="T188" i="10" s="1"/>
  <c r="A188" i="10"/>
  <c r="X187" i="10"/>
  <c r="W187" i="10"/>
  <c r="V187" i="10"/>
  <c r="U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C187" i="10"/>
  <c r="E187" i="10" s="1"/>
  <c r="B187" i="10"/>
  <c r="T187" i="10" s="1"/>
  <c r="A187" i="10"/>
  <c r="X186" i="10"/>
  <c r="W186" i="10"/>
  <c r="V186" i="10"/>
  <c r="U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E186" i="10"/>
  <c r="D186" i="10"/>
  <c r="C186" i="10"/>
  <c r="B186" i="10"/>
  <c r="T186" i="10" s="1"/>
  <c r="A186" i="10"/>
  <c r="X185" i="10"/>
  <c r="W185" i="10"/>
  <c r="V185" i="10"/>
  <c r="U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C185" i="10"/>
  <c r="E185" i="10" s="1"/>
  <c r="B185" i="10"/>
  <c r="T185" i="10" s="1"/>
  <c r="A185" i="10"/>
  <c r="X184" i="10"/>
  <c r="W184" i="10"/>
  <c r="V184" i="10"/>
  <c r="U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F184" i="10"/>
  <c r="E184" i="10"/>
  <c r="C184" i="10"/>
  <c r="D184" i="10" s="1"/>
  <c r="B184" i="10"/>
  <c r="T184" i="10" s="1"/>
  <c r="A184" i="10"/>
  <c r="X183" i="10"/>
  <c r="W183" i="10"/>
  <c r="V183" i="10"/>
  <c r="U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T183" i="10" s="1"/>
  <c r="A183" i="10"/>
  <c r="X182" i="10"/>
  <c r="W182" i="10"/>
  <c r="V182" i="10"/>
  <c r="U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C182" i="10"/>
  <c r="B182" i="10"/>
  <c r="T182" i="10" s="1"/>
  <c r="A182" i="10"/>
  <c r="X181" i="10"/>
  <c r="W181" i="10"/>
  <c r="V181" i="10"/>
  <c r="U181" i="10"/>
  <c r="R181" i="10"/>
  <c r="Q181" i="10"/>
  <c r="P181" i="10"/>
  <c r="O181" i="10"/>
  <c r="N181" i="10"/>
  <c r="M181" i="10"/>
  <c r="L181" i="10"/>
  <c r="K181" i="10"/>
  <c r="J181" i="10"/>
  <c r="I181" i="10"/>
  <c r="H181" i="10"/>
  <c r="F181" i="10"/>
  <c r="C181" i="10"/>
  <c r="E181" i="10" s="1"/>
  <c r="B181" i="10"/>
  <c r="A181" i="10"/>
  <c r="X180" i="10"/>
  <c r="W180" i="10"/>
  <c r="V180" i="10"/>
  <c r="U180" i="10"/>
  <c r="R180" i="10"/>
  <c r="Q180" i="10"/>
  <c r="P180" i="10"/>
  <c r="O180" i="10"/>
  <c r="N180" i="10"/>
  <c r="M180" i="10"/>
  <c r="L180" i="10"/>
  <c r="K180" i="10"/>
  <c r="J180" i="10"/>
  <c r="I180" i="10"/>
  <c r="H180" i="10"/>
  <c r="E180" i="10"/>
  <c r="D180" i="10"/>
  <c r="C180" i="10"/>
  <c r="S180" i="10" s="1"/>
  <c r="B180" i="10"/>
  <c r="T180" i="10" s="1"/>
  <c r="A180" i="10"/>
  <c r="X179" i="10"/>
  <c r="W179" i="10"/>
  <c r="V179" i="10"/>
  <c r="U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D179" i="10"/>
  <c r="C179" i="10"/>
  <c r="E179" i="10" s="1"/>
  <c r="B179" i="10"/>
  <c r="T179" i="10" s="1"/>
  <c r="A179" i="10"/>
  <c r="X178" i="10"/>
  <c r="W178" i="10"/>
  <c r="V178" i="10"/>
  <c r="U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C178" i="10"/>
  <c r="B178" i="10"/>
  <c r="T178" i="10" s="1"/>
  <c r="A178" i="10"/>
  <c r="X177" i="10"/>
  <c r="W177" i="10"/>
  <c r="V177" i="10"/>
  <c r="U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E177" i="10"/>
  <c r="D177" i="10"/>
  <c r="C177" i="10"/>
  <c r="B177" i="10"/>
  <c r="A177" i="10"/>
  <c r="X176" i="10"/>
  <c r="W176" i="10"/>
  <c r="V176" i="10"/>
  <c r="U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C176" i="10"/>
  <c r="E176" i="10" s="1"/>
  <c r="B176" i="10"/>
  <c r="T176" i="10" s="1"/>
  <c r="A176" i="10"/>
  <c r="X175" i="10"/>
  <c r="W175" i="10"/>
  <c r="V175" i="10"/>
  <c r="U175" i="10"/>
  <c r="R175" i="10"/>
  <c r="Q175" i="10"/>
  <c r="P175" i="10"/>
  <c r="O175" i="10"/>
  <c r="N175" i="10"/>
  <c r="M175" i="10"/>
  <c r="L175" i="10"/>
  <c r="K175" i="10"/>
  <c r="J175" i="10"/>
  <c r="I175" i="10"/>
  <c r="H175" i="10"/>
  <c r="C175" i="10"/>
  <c r="E175" i="10" s="1"/>
  <c r="B175" i="10"/>
  <c r="T175" i="10" s="1"/>
  <c r="A175" i="10"/>
  <c r="X174" i="10"/>
  <c r="W174" i="10"/>
  <c r="V174" i="10"/>
  <c r="U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C174" i="10"/>
  <c r="D174" i="10" s="1"/>
  <c r="B174" i="10"/>
  <c r="T174" i="10" s="1"/>
  <c r="A174" i="10"/>
  <c r="X173" i="10"/>
  <c r="W173" i="10"/>
  <c r="V173" i="10"/>
  <c r="U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T173" i="10" s="1"/>
  <c r="A173" i="10"/>
  <c r="X172" i="10"/>
  <c r="W172" i="10"/>
  <c r="V172" i="10"/>
  <c r="U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C172" i="10"/>
  <c r="S172" i="10" s="1"/>
  <c r="B172" i="10"/>
  <c r="T172" i="10" s="1"/>
  <c r="A172" i="10"/>
  <c r="X171" i="10"/>
  <c r="W171" i="10"/>
  <c r="V171" i="10"/>
  <c r="U171" i="10"/>
  <c r="R171" i="10"/>
  <c r="Q171" i="10"/>
  <c r="P171" i="10"/>
  <c r="O171" i="10"/>
  <c r="N171" i="10"/>
  <c r="M171" i="10"/>
  <c r="L171" i="10"/>
  <c r="K171" i="10"/>
  <c r="J171" i="10"/>
  <c r="I171" i="10"/>
  <c r="H171" i="10"/>
  <c r="E171" i="10"/>
  <c r="D171" i="10"/>
  <c r="C171" i="10"/>
  <c r="S171" i="10" s="1"/>
  <c r="B171" i="10"/>
  <c r="T171" i="10" s="1"/>
  <c r="A171" i="10"/>
  <c r="X170" i="10"/>
  <c r="W170" i="10"/>
  <c r="V170" i="10"/>
  <c r="U170" i="10"/>
  <c r="R170" i="10"/>
  <c r="Q170" i="10"/>
  <c r="P170" i="10"/>
  <c r="O170" i="10"/>
  <c r="N170" i="10"/>
  <c r="M170" i="10"/>
  <c r="L170" i="10"/>
  <c r="K170" i="10"/>
  <c r="J170" i="10"/>
  <c r="I170" i="10"/>
  <c r="H170" i="10"/>
  <c r="C170" i="10"/>
  <c r="E170" i="10" s="1"/>
  <c r="B170" i="10"/>
  <c r="T170" i="10" s="1"/>
  <c r="A170" i="10"/>
  <c r="X169" i="10"/>
  <c r="W169" i="10"/>
  <c r="V169" i="10"/>
  <c r="U169" i="10"/>
  <c r="R169" i="10"/>
  <c r="Q169" i="10"/>
  <c r="P169" i="10"/>
  <c r="O169" i="10"/>
  <c r="N169" i="10"/>
  <c r="M169" i="10"/>
  <c r="L169" i="10"/>
  <c r="K169" i="10"/>
  <c r="J169" i="10"/>
  <c r="I169" i="10"/>
  <c r="H169" i="10"/>
  <c r="C169" i="10"/>
  <c r="B169" i="10"/>
  <c r="A169" i="10"/>
  <c r="X168" i="10"/>
  <c r="W168" i="10"/>
  <c r="V168" i="10"/>
  <c r="U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E168" i="10"/>
  <c r="C168" i="10"/>
  <c r="D168" i="10" s="1"/>
  <c r="B168" i="10"/>
  <c r="A168" i="10"/>
  <c r="X167" i="10"/>
  <c r="W167" i="10"/>
  <c r="V167" i="10"/>
  <c r="U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D167" i="10"/>
  <c r="C167" i="10"/>
  <c r="E167" i="10" s="1"/>
  <c r="B167" i="10"/>
  <c r="T167" i="10" s="1"/>
  <c r="A167" i="10"/>
  <c r="X166" i="10"/>
  <c r="W166" i="10"/>
  <c r="V166" i="10"/>
  <c r="U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F166" i="10"/>
  <c r="C166" i="10"/>
  <c r="E166" i="10" s="1"/>
  <c r="B166" i="10"/>
  <c r="T166" i="10" s="1"/>
  <c r="A166" i="10"/>
  <c r="X165" i="10"/>
  <c r="W165" i="10"/>
  <c r="V165" i="10"/>
  <c r="U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E165" i="10"/>
  <c r="D165" i="10"/>
  <c r="C165" i="10"/>
  <c r="B165" i="10"/>
  <c r="T165" i="10" s="1"/>
  <c r="A165" i="10"/>
  <c r="X164" i="10"/>
  <c r="W164" i="10"/>
  <c r="V164" i="10"/>
  <c r="U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F164" i="10"/>
  <c r="D164" i="10"/>
  <c r="C164" i="10"/>
  <c r="E164" i="10" s="1"/>
  <c r="B164" i="10"/>
  <c r="T164" i="10" s="1"/>
  <c r="A164" i="10"/>
  <c r="X163" i="10"/>
  <c r="W163" i="10"/>
  <c r="V163" i="10"/>
  <c r="U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C163" i="10"/>
  <c r="E163" i="10" s="1"/>
  <c r="B163" i="10"/>
  <c r="T163" i="10" s="1"/>
  <c r="A163" i="10"/>
  <c r="X162" i="10"/>
  <c r="W162" i="10"/>
  <c r="V162" i="10"/>
  <c r="U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E162" i="10"/>
  <c r="D162" i="10"/>
  <c r="C162" i="10"/>
  <c r="B162" i="10"/>
  <c r="T162" i="10" s="1"/>
  <c r="A162" i="10"/>
  <c r="X161" i="10"/>
  <c r="W161" i="10"/>
  <c r="V161" i="10"/>
  <c r="U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C161" i="10"/>
  <c r="E161" i="10" s="1"/>
  <c r="B161" i="10"/>
  <c r="T161" i="10" s="1"/>
  <c r="A161" i="10"/>
  <c r="X160" i="10"/>
  <c r="W160" i="10"/>
  <c r="V160" i="10"/>
  <c r="U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F160" i="10"/>
  <c r="E160" i="10"/>
  <c r="C160" i="10"/>
  <c r="D160" i="10" s="1"/>
  <c r="B160" i="10"/>
  <c r="T160" i="10" s="1"/>
  <c r="A160" i="10"/>
  <c r="X159" i="10"/>
  <c r="W159" i="10"/>
  <c r="V159" i="10"/>
  <c r="U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T159" i="10" s="1"/>
  <c r="A159" i="10"/>
  <c r="X158" i="10"/>
  <c r="W158" i="10"/>
  <c r="V158" i="10"/>
  <c r="U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C158" i="10"/>
  <c r="B158" i="10"/>
  <c r="T158" i="10" s="1"/>
  <c r="A158" i="10"/>
  <c r="X157" i="10"/>
  <c r="W157" i="10"/>
  <c r="V157" i="10"/>
  <c r="U157" i="10"/>
  <c r="R157" i="10"/>
  <c r="Q157" i="10"/>
  <c r="P157" i="10"/>
  <c r="O157" i="10"/>
  <c r="N157" i="10"/>
  <c r="M157" i="10"/>
  <c r="L157" i="10"/>
  <c r="K157" i="10"/>
  <c r="J157" i="10"/>
  <c r="I157" i="10"/>
  <c r="H157" i="10"/>
  <c r="F157" i="10"/>
  <c r="C157" i="10"/>
  <c r="E157" i="10" s="1"/>
  <c r="B157" i="10"/>
  <c r="A157" i="10"/>
  <c r="X156" i="10"/>
  <c r="W156" i="10"/>
  <c r="V156" i="10"/>
  <c r="U156" i="10"/>
  <c r="R156" i="10"/>
  <c r="Q156" i="10"/>
  <c r="P156" i="10"/>
  <c r="O156" i="10"/>
  <c r="N156" i="10"/>
  <c r="M156" i="10"/>
  <c r="L156" i="10"/>
  <c r="K156" i="10"/>
  <c r="J156" i="10"/>
  <c r="I156" i="10"/>
  <c r="H156" i="10"/>
  <c r="E156" i="10"/>
  <c r="D156" i="10"/>
  <c r="C156" i="10"/>
  <c r="S156" i="10" s="1"/>
  <c r="B156" i="10"/>
  <c r="A156" i="10"/>
  <c r="X155" i="10"/>
  <c r="W155" i="10"/>
  <c r="V155" i="10"/>
  <c r="U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D155" i="10"/>
  <c r="C155" i="10"/>
  <c r="E155" i="10" s="1"/>
  <c r="B155" i="10"/>
  <c r="T155" i="10" s="1"/>
  <c r="A155" i="10"/>
  <c r="X154" i="10"/>
  <c r="W154" i="10"/>
  <c r="V154" i="10"/>
  <c r="U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C154" i="10"/>
  <c r="B154" i="10"/>
  <c r="T154" i="10" s="1"/>
  <c r="A154" i="10"/>
  <c r="X153" i="10"/>
  <c r="W153" i="10"/>
  <c r="V153" i="10"/>
  <c r="U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E153" i="10"/>
  <c r="D153" i="10"/>
  <c r="C153" i="10"/>
  <c r="B153" i="10"/>
  <c r="A153" i="10"/>
  <c r="X152" i="10"/>
  <c r="W152" i="10"/>
  <c r="V152" i="10"/>
  <c r="U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C152" i="10"/>
  <c r="E152" i="10" s="1"/>
  <c r="B152" i="10"/>
  <c r="T152" i="10" s="1"/>
  <c r="A152" i="10"/>
  <c r="X151" i="10"/>
  <c r="W151" i="10"/>
  <c r="V151" i="10"/>
  <c r="U151" i="10"/>
  <c r="R151" i="10"/>
  <c r="Q151" i="10"/>
  <c r="P151" i="10"/>
  <c r="O151" i="10"/>
  <c r="N151" i="10"/>
  <c r="M151" i="10"/>
  <c r="L151" i="10"/>
  <c r="K151" i="10"/>
  <c r="J151" i="10"/>
  <c r="I151" i="10"/>
  <c r="H151" i="10"/>
  <c r="C151" i="10"/>
  <c r="E151" i="10" s="1"/>
  <c r="B151" i="10"/>
  <c r="A151" i="10"/>
  <c r="X150" i="10"/>
  <c r="W150" i="10"/>
  <c r="V150" i="10"/>
  <c r="U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C150" i="10"/>
  <c r="D150" i="10" s="1"/>
  <c r="B150" i="10"/>
  <c r="A150" i="10"/>
  <c r="X149" i="10"/>
  <c r="W149" i="10"/>
  <c r="V149" i="10"/>
  <c r="U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T149" i="10" s="1"/>
  <c r="A149" i="10"/>
  <c r="X148" i="10"/>
  <c r="W148" i="10"/>
  <c r="V148" i="10"/>
  <c r="U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C148" i="10"/>
  <c r="S148" i="10" s="1"/>
  <c r="B148" i="10"/>
  <c r="T148" i="10" s="1"/>
  <c r="A148" i="10"/>
  <c r="X147" i="10"/>
  <c r="W147" i="10"/>
  <c r="V147" i="10"/>
  <c r="U147" i="10"/>
  <c r="R147" i="10"/>
  <c r="Q147" i="10"/>
  <c r="P147" i="10"/>
  <c r="O147" i="10"/>
  <c r="N147" i="10"/>
  <c r="M147" i="10"/>
  <c r="L147" i="10"/>
  <c r="K147" i="10"/>
  <c r="J147" i="10"/>
  <c r="I147" i="10"/>
  <c r="H147" i="10"/>
  <c r="E147" i="10"/>
  <c r="D147" i="10"/>
  <c r="C147" i="10"/>
  <c r="S147" i="10" s="1"/>
  <c r="B147" i="10"/>
  <c r="T147" i="10" s="1"/>
  <c r="A147" i="10"/>
  <c r="X146" i="10"/>
  <c r="W146" i="10"/>
  <c r="V146" i="10"/>
  <c r="U146" i="10"/>
  <c r="R146" i="10"/>
  <c r="Q146" i="10"/>
  <c r="P146" i="10"/>
  <c r="O146" i="10"/>
  <c r="N146" i="10"/>
  <c r="M146" i="10"/>
  <c r="L146" i="10"/>
  <c r="K146" i="10"/>
  <c r="J146" i="10"/>
  <c r="I146" i="10"/>
  <c r="H146" i="10"/>
  <c r="C146" i="10"/>
  <c r="E146" i="10" s="1"/>
  <c r="B146" i="10"/>
  <c r="T146" i="10" s="1"/>
  <c r="A146" i="10"/>
  <c r="X145" i="10"/>
  <c r="W145" i="10"/>
  <c r="V145" i="10"/>
  <c r="U145" i="10"/>
  <c r="R145" i="10"/>
  <c r="Q145" i="10"/>
  <c r="P145" i="10"/>
  <c r="O145" i="10"/>
  <c r="N145" i="10"/>
  <c r="M145" i="10"/>
  <c r="L145" i="10"/>
  <c r="K145" i="10"/>
  <c r="J145" i="10"/>
  <c r="I145" i="10"/>
  <c r="H145" i="10"/>
  <c r="C145" i="10"/>
  <c r="B145" i="10"/>
  <c r="A145" i="10"/>
  <c r="X144" i="10"/>
  <c r="W144" i="10"/>
  <c r="V144" i="10"/>
  <c r="U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E144" i="10"/>
  <c r="C144" i="10"/>
  <c r="D144" i="10" s="1"/>
  <c r="B144" i="10"/>
  <c r="A144" i="10"/>
  <c r="X143" i="10"/>
  <c r="W143" i="10"/>
  <c r="V143" i="10"/>
  <c r="U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D143" i="10"/>
  <c r="C143" i="10"/>
  <c r="E143" i="10" s="1"/>
  <c r="B143" i="10"/>
  <c r="T143" i="10" s="1"/>
  <c r="A143" i="10"/>
  <c r="X142" i="10"/>
  <c r="W142" i="10"/>
  <c r="V142" i="10"/>
  <c r="U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F142" i="10"/>
  <c r="C142" i="10"/>
  <c r="E142" i="10" s="1"/>
  <c r="B142" i="10"/>
  <c r="T142" i="10" s="1"/>
  <c r="A142" i="10"/>
  <c r="X141" i="10"/>
  <c r="W141" i="10"/>
  <c r="V141" i="10"/>
  <c r="U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E141" i="10"/>
  <c r="D141" i="10"/>
  <c r="C141" i="10"/>
  <c r="B141" i="10"/>
  <c r="T141" i="10" s="1"/>
  <c r="A141" i="10"/>
  <c r="X140" i="10"/>
  <c r="W140" i="10"/>
  <c r="V140" i="10"/>
  <c r="U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D140" i="10"/>
  <c r="C140" i="10"/>
  <c r="E140" i="10" s="1"/>
  <c r="B140" i="10"/>
  <c r="T140" i="10" s="1"/>
  <c r="A140" i="10"/>
  <c r="X139" i="10"/>
  <c r="W139" i="10"/>
  <c r="V139" i="10"/>
  <c r="U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C139" i="10"/>
  <c r="E139" i="10" s="1"/>
  <c r="B139" i="10"/>
  <c r="T139" i="10" s="1"/>
  <c r="A139" i="10"/>
  <c r="X138" i="10"/>
  <c r="W138" i="10"/>
  <c r="V138" i="10"/>
  <c r="U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E138" i="10"/>
  <c r="D138" i="10"/>
  <c r="C138" i="10"/>
  <c r="B138" i="10"/>
  <c r="T138" i="10" s="1"/>
  <c r="A138" i="10"/>
  <c r="X137" i="10"/>
  <c r="W137" i="10"/>
  <c r="V137" i="10"/>
  <c r="U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C137" i="10"/>
  <c r="E137" i="10" s="1"/>
  <c r="B137" i="10"/>
  <c r="T137" i="10" s="1"/>
  <c r="A137" i="10"/>
  <c r="X136" i="10"/>
  <c r="W136" i="10"/>
  <c r="V136" i="10"/>
  <c r="U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F136" i="10"/>
  <c r="E136" i="10"/>
  <c r="C136" i="10"/>
  <c r="D136" i="10" s="1"/>
  <c r="B136" i="10"/>
  <c r="T136" i="10" s="1"/>
  <c r="A136" i="10"/>
  <c r="X135" i="10"/>
  <c r="W135" i="10"/>
  <c r="V135" i="10"/>
  <c r="U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T135" i="10" s="1"/>
  <c r="A135" i="10"/>
  <c r="X134" i="10"/>
  <c r="W134" i="10"/>
  <c r="V134" i="10"/>
  <c r="U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C134" i="10"/>
  <c r="B134" i="10"/>
  <c r="T134" i="10" s="1"/>
  <c r="A134" i="10"/>
  <c r="X133" i="10"/>
  <c r="W133" i="10"/>
  <c r="V133" i="10"/>
  <c r="U133" i="10"/>
  <c r="R133" i="10"/>
  <c r="Q133" i="10"/>
  <c r="P133" i="10"/>
  <c r="O133" i="10"/>
  <c r="N133" i="10"/>
  <c r="M133" i="10"/>
  <c r="L133" i="10"/>
  <c r="K133" i="10"/>
  <c r="J133" i="10"/>
  <c r="I133" i="10"/>
  <c r="H133" i="10"/>
  <c r="F133" i="10"/>
  <c r="C133" i="10"/>
  <c r="B133" i="10"/>
  <c r="A133" i="10"/>
  <c r="X132" i="10"/>
  <c r="W132" i="10"/>
  <c r="V132" i="10"/>
  <c r="U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E132" i="10"/>
  <c r="D132" i="10"/>
  <c r="C132" i="10"/>
  <c r="S132" i="10" s="1"/>
  <c r="B132" i="10"/>
  <c r="A132" i="10"/>
  <c r="X131" i="10"/>
  <c r="W131" i="10"/>
  <c r="V131" i="10"/>
  <c r="U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D131" i="10"/>
  <c r="C131" i="10"/>
  <c r="E131" i="10" s="1"/>
  <c r="B131" i="10"/>
  <c r="T131" i="10" s="1"/>
  <c r="A131" i="10"/>
  <c r="X130" i="10"/>
  <c r="W130" i="10"/>
  <c r="V130" i="10"/>
  <c r="U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C130" i="10"/>
  <c r="B130" i="10"/>
  <c r="T130" i="10" s="1"/>
  <c r="A130" i="10"/>
  <c r="X129" i="10"/>
  <c r="W129" i="10"/>
  <c r="V129" i="10"/>
  <c r="U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E129" i="10"/>
  <c r="D129" i="10"/>
  <c r="C129" i="10"/>
  <c r="B129" i="10"/>
  <c r="A129" i="10"/>
  <c r="X128" i="10"/>
  <c r="W128" i="10"/>
  <c r="V128" i="10"/>
  <c r="U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S128" i="10" s="1"/>
  <c r="B128" i="10"/>
  <c r="T128" i="10" s="1"/>
  <c r="A128" i="10"/>
  <c r="X127" i="10"/>
  <c r="W127" i="10"/>
  <c r="V127" i="10"/>
  <c r="U127" i="10"/>
  <c r="R127" i="10"/>
  <c r="Q127" i="10"/>
  <c r="P127" i="10"/>
  <c r="O127" i="10"/>
  <c r="N127" i="10"/>
  <c r="M127" i="10"/>
  <c r="L127" i="10"/>
  <c r="K127" i="10"/>
  <c r="J127" i="10"/>
  <c r="I127" i="10"/>
  <c r="H127" i="10"/>
  <c r="C127" i="10"/>
  <c r="B127" i="10"/>
  <c r="T127" i="10" s="1"/>
  <c r="A127" i="10"/>
  <c r="X126" i="10"/>
  <c r="W126" i="10"/>
  <c r="V126" i="10"/>
  <c r="U126" i="10"/>
  <c r="R126" i="10"/>
  <c r="Q126" i="10"/>
  <c r="P126" i="10"/>
  <c r="O126" i="10"/>
  <c r="N126" i="10"/>
  <c r="M126" i="10"/>
  <c r="L126" i="10"/>
  <c r="K126" i="10"/>
  <c r="J126" i="10"/>
  <c r="I126" i="10"/>
  <c r="H126" i="10"/>
  <c r="F126" i="10"/>
  <c r="E126" i="10"/>
  <c r="C126" i="10"/>
  <c r="D126" i="10" s="1"/>
  <c r="B126" i="10"/>
  <c r="T126" i="10" s="1"/>
  <c r="A126" i="10"/>
  <c r="X125" i="10"/>
  <c r="W125" i="10"/>
  <c r="V125" i="10"/>
  <c r="U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E125" i="10"/>
  <c r="D125" i="10"/>
  <c r="C125" i="10"/>
  <c r="B125" i="10"/>
  <c r="T125" i="10" s="1"/>
  <c r="A125" i="10"/>
  <c r="X124" i="10"/>
  <c r="W124" i="10"/>
  <c r="V124" i="10"/>
  <c r="U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C124" i="10"/>
  <c r="S124" i="10" s="1"/>
  <c r="B124" i="10"/>
  <c r="T124" i="10" s="1"/>
  <c r="A124" i="10"/>
  <c r="X123" i="10"/>
  <c r="W123" i="10"/>
  <c r="V123" i="10"/>
  <c r="U123" i="10"/>
  <c r="R123" i="10"/>
  <c r="Q123" i="10"/>
  <c r="P123" i="10"/>
  <c r="O123" i="10"/>
  <c r="N123" i="10"/>
  <c r="M123" i="10"/>
  <c r="L123" i="10"/>
  <c r="K123" i="10"/>
  <c r="J123" i="10"/>
  <c r="I123" i="10"/>
  <c r="H123" i="10"/>
  <c r="D123" i="10"/>
  <c r="C123" i="10"/>
  <c r="S123" i="10" s="1"/>
  <c r="B123" i="10"/>
  <c r="A123" i="10"/>
  <c r="X122" i="10"/>
  <c r="W122" i="10"/>
  <c r="V122" i="10"/>
  <c r="U122" i="10"/>
  <c r="R122" i="10"/>
  <c r="Q122" i="10"/>
  <c r="P122" i="10"/>
  <c r="O122" i="10"/>
  <c r="N122" i="10"/>
  <c r="M122" i="10"/>
  <c r="L122" i="10"/>
  <c r="K122" i="10"/>
  <c r="J122" i="10"/>
  <c r="I122" i="10"/>
  <c r="H122" i="10"/>
  <c r="C122" i="10"/>
  <c r="E122" i="10" s="1"/>
  <c r="B122" i="10"/>
  <c r="A122" i="10"/>
  <c r="X121" i="10"/>
  <c r="W121" i="10"/>
  <c r="V121" i="10"/>
  <c r="U121" i="10"/>
  <c r="R121" i="10"/>
  <c r="Q121" i="10"/>
  <c r="P121" i="10"/>
  <c r="O121" i="10"/>
  <c r="N121" i="10"/>
  <c r="M121" i="10"/>
  <c r="L121" i="10"/>
  <c r="K121" i="10"/>
  <c r="J121" i="10"/>
  <c r="I121" i="10"/>
  <c r="H121" i="10"/>
  <c r="C121" i="10"/>
  <c r="B121" i="10"/>
  <c r="A121" i="10"/>
  <c r="X120" i="10"/>
  <c r="W120" i="10"/>
  <c r="V120" i="10"/>
  <c r="U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E120" i="10"/>
  <c r="C120" i="10"/>
  <c r="D120" i="10" s="1"/>
  <c r="B120" i="10"/>
  <c r="A120" i="10"/>
  <c r="X119" i="10"/>
  <c r="W119" i="10"/>
  <c r="V119" i="10"/>
  <c r="U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D119" i="10"/>
  <c r="C119" i="10"/>
  <c r="E119" i="10" s="1"/>
  <c r="B119" i="10"/>
  <c r="T119" i="10" s="1"/>
  <c r="A119" i="10"/>
  <c r="X118" i="10"/>
  <c r="W118" i="10"/>
  <c r="V118" i="10"/>
  <c r="U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F118" i="10"/>
  <c r="C118" i="10"/>
  <c r="E118" i="10" s="1"/>
  <c r="B118" i="10"/>
  <c r="T118" i="10" s="1"/>
  <c r="A118" i="10"/>
  <c r="X117" i="10"/>
  <c r="W117" i="10"/>
  <c r="V117" i="10"/>
  <c r="U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E117" i="10"/>
  <c r="D117" i="10"/>
  <c r="C117" i="10"/>
  <c r="B117" i="10"/>
  <c r="T117" i="10" s="1"/>
  <c r="A117" i="10"/>
  <c r="X116" i="10"/>
  <c r="W116" i="10"/>
  <c r="V116" i="10"/>
  <c r="U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D116" i="10"/>
  <c r="C116" i="10"/>
  <c r="E116" i="10" s="1"/>
  <c r="B116" i="10"/>
  <c r="T116" i="10" s="1"/>
  <c r="A116" i="10"/>
  <c r="X115" i="10"/>
  <c r="W115" i="10"/>
  <c r="V115" i="10"/>
  <c r="U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C115" i="10"/>
  <c r="B115" i="10"/>
  <c r="T115" i="10" s="1"/>
  <c r="A115" i="10"/>
  <c r="X114" i="10"/>
  <c r="W114" i="10"/>
  <c r="V114" i="10"/>
  <c r="U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E114" i="10"/>
  <c r="D114" i="10"/>
  <c r="C114" i="10"/>
  <c r="B114" i="10"/>
  <c r="A114" i="10"/>
  <c r="X113" i="10"/>
  <c r="W113" i="10"/>
  <c r="V113" i="10"/>
  <c r="U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C113" i="10"/>
  <c r="E113" i="10" s="1"/>
  <c r="B113" i="10"/>
  <c r="T113" i="10" s="1"/>
  <c r="A113" i="10"/>
  <c r="X112" i="10"/>
  <c r="W112" i="10"/>
  <c r="V112" i="10"/>
  <c r="U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F112" i="10"/>
  <c r="E112" i="10"/>
  <c r="C112" i="10"/>
  <c r="D112" i="10" s="1"/>
  <c r="B112" i="10"/>
  <c r="T112" i="10" s="1"/>
  <c r="A112" i="10"/>
  <c r="X111" i="10"/>
  <c r="W111" i="10"/>
  <c r="V111" i="10"/>
  <c r="U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S111" i="10" s="1"/>
  <c r="B111" i="10"/>
  <c r="T111" i="10" s="1"/>
  <c r="A111" i="10"/>
  <c r="X110" i="10"/>
  <c r="W110" i="10"/>
  <c r="V110" i="10"/>
  <c r="U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C110" i="10"/>
  <c r="D110" i="10" s="1"/>
  <c r="B110" i="10"/>
  <c r="T110" i="10" s="1"/>
  <c r="A110" i="10"/>
  <c r="X109" i="10"/>
  <c r="W109" i="10"/>
  <c r="V109" i="10"/>
  <c r="U109" i="10"/>
  <c r="R109" i="10"/>
  <c r="Q109" i="10"/>
  <c r="P109" i="10"/>
  <c r="O109" i="10"/>
  <c r="N109" i="10"/>
  <c r="M109" i="10"/>
  <c r="L109" i="10"/>
  <c r="K109" i="10"/>
  <c r="J109" i="10"/>
  <c r="I109" i="10"/>
  <c r="H109" i="10"/>
  <c r="C109" i="10"/>
  <c r="B109" i="10"/>
  <c r="F109" i="10" s="1"/>
  <c r="A109" i="10"/>
  <c r="X108" i="10"/>
  <c r="W108" i="10"/>
  <c r="V108" i="10"/>
  <c r="U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E108" i="10"/>
  <c r="D108" i="10"/>
  <c r="C108" i="10"/>
  <c r="S108" i="10" s="1"/>
  <c r="B108" i="10"/>
  <c r="A108" i="10"/>
  <c r="X107" i="10"/>
  <c r="W107" i="10"/>
  <c r="V107" i="10"/>
  <c r="U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D107" i="10"/>
  <c r="C107" i="10"/>
  <c r="E107" i="10" s="1"/>
  <c r="B107" i="10"/>
  <c r="T107" i="10" s="1"/>
  <c r="A107" i="10"/>
  <c r="X106" i="10"/>
  <c r="W106" i="10"/>
  <c r="V106" i="10"/>
  <c r="U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C106" i="10"/>
  <c r="E106" i="10" s="1"/>
  <c r="B106" i="10"/>
  <c r="T106" i="10" s="1"/>
  <c r="A106" i="10"/>
  <c r="X105" i="10"/>
  <c r="W105" i="10"/>
  <c r="V105" i="10"/>
  <c r="U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E105" i="10"/>
  <c r="D105" i="10"/>
  <c r="C105" i="10"/>
  <c r="B105" i="10"/>
  <c r="A105" i="10"/>
  <c r="X104" i="10"/>
  <c r="W104" i="10"/>
  <c r="V104" i="10"/>
  <c r="U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C104" i="10"/>
  <c r="S104" i="10" s="1"/>
  <c r="B104" i="10"/>
  <c r="T104" i="10" s="1"/>
  <c r="A104" i="10"/>
  <c r="X103" i="10"/>
  <c r="W103" i="10"/>
  <c r="V103" i="10"/>
  <c r="U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C103" i="10"/>
  <c r="D103" i="10" s="1"/>
  <c r="B103" i="10"/>
  <c r="T103" i="10" s="1"/>
  <c r="A103" i="10"/>
  <c r="X102" i="10"/>
  <c r="W102" i="10"/>
  <c r="V102" i="10"/>
  <c r="U102" i="10"/>
  <c r="R102" i="10"/>
  <c r="Q102" i="10"/>
  <c r="P102" i="10"/>
  <c r="O102" i="10"/>
  <c r="N102" i="10"/>
  <c r="M102" i="10"/>
  <c r="L102" i="10"/>
  <c r="K102" i="10"/>
  <c r="J102" i="10"/>
  <c r="I102" i="10"/>
  <c r="H102" i="10"/>
  <c r="C102" i="10"/>
  <c r="D102" i="10" s="1"/>
  <c r="B102" i="10"/>
  <c r="T102" i="10" s="1"/>
  <c r="A102" i="10"/>
  <c r="X101" i="10"/>
  <c r="W101" i="10"/>
  <c r="V101" i="10"/>
  <c r="U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E101" i="10"/>
  <c r="D101" i="10"/>
  <c r="C101" i="10"/>
  <c r="B101" i="10"/>
  <c r="T101" i="10" s="1"/>
  <c r="A101" i="10"/>
  <c r="X100" i="10"/>
  <c r="W100" i="10"/>
  <c r="V100" i="10"/>
  <c r="U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C100" i="10"/>
  <c r="S100" i="10" s="1"/>
  <c r="B100" i="10"/>
  <c r="T100" i="10" s="1"/>
  <c r="A100" i="10"/>
  <c r="X99" i="10"/>
  <c r="W99" i="10"/>
  <c r="V99" i="10"/>
  <c r="U99" i="10"/>
  <c r="R99" i="10"/>
  <c r="Q99" i="10"/>
  <c r="P99" i="10"/>
  <c r="O99" i="10"/>
  <c r="N99" i="10"/>
  <c r="M99" i="10"/>
  <c r="L99" i="10"/>
  <c r="K99" i="10"/>
  <c r="J99" i="10"/>
  <c r="I99" i="10"/>
  <c r="H99" i="10"/>
  <c r="C99" i="10"/>
  <c r="S99" i="10" s="1"/>
  <c r="B99" i="10"/>
  <c r="A99" i="10"/>
  <c r="X98" i="10"/>
  <c r="W98" i="10"/>
  <c r="V98" i="10"/>
  <c r="U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D98" i="10"/>
  <c r="C98" i="10"/>
  <c r="E98" i="10" s="1"/>
  <c r="B98" i="10"/>
  <c r="A98" i="10"/>
  <c r="X97" i="10"/>
  <c r="W97" i="10"/>
  <c r="V97" i="10"/>
  <c r="U97" i="10"/>
  <c r="R97" i="10"/>
  <c r="Q97" i="10"/>
  <c r="P97" i="10"/>
  <c r="O97" i="10"/>
  <c r="N97" i="10"/>
  <c r="M97" i="10"/>
  <c r="L97" i="10"/>
  <c r="K97" i="10"/>
  <c r="J97" i="10"/>
  <c r="I97" i="10"/>
  <c r="H97" i="10"/>
  <c r="C97" i="10"/>
  <c r="B97" i="10"/>
  <c r="A97" i="10"/>
  <c r="X96" i="10"/>
  <c r="W96" i="10"/>
  <c r="V96" i="10"/>
  <c r="U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E96" i="10"/>
  <c r="C96" i="10"/>
  <c r="D96" i="10" s="1"/>
  <c r="B96" i="10"/>
  <c r="A96" i="10"/>
  <c r="X95" i="10"/>
  <c r="W95" i="10"/>
  <c r="V95" i="10"/>
  <c r="U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D95" i="10"/>
  <c r="C95" i="10"/>
  <c r="E95" i="10" s="1"/>
  <c r="B95" i="10"/>
  <c r="T95" i="10" s="1"/>
  <c r="A95" i="10"/>
  <c r="X94" i="10"/>
  <c r="W94" i="10"/>
  <c r="V94" i="10"/>
  <c r="U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F94" i="10"/>
  <c r="C94" i="10"/>
  <c r="E94" i="10" s="1"/>
  <c r="B94" i="10"/>
  <c r="T94" i="10" s="1"/>
  <c r="A94" i="10"/>
  <c r="X93" i="10"/>
  <c r="W93" i="10"/>
  <c r="V93" i="10"/>
  <c r="U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E93" i="10"/>
  <c r="C93" i="10"/>
  <c r="D93" i="10" s="1"/>
  <c r="B93" i="10"/>
  <c r="T93" i="10" s="1"/>
  <c r="A93" i="10"/>
  <c r="X92" i="10"/>
  <c r="W92" i="10"/>
  <c r="V92" i="10"/>
  <c r="U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D92" i="10"/>
  <c r="C92" i="10"/>
  <c r="E92" i="10" s="1"/>
  <c r="B92" i="10"/>
  <c r="T92" i="10" s="1"/>
  <c r="A92" i="10"/>
  <c r="X91" i="10"/>
  <c r="W91" i="10"/>
  <c r="V91" i="10"/>
  <c r="U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C91" i="10"/>
  <c r="D91" i="10" s="1"/>
  <c r="B91" i="10"/>
  <c r="T91" i="10" s="1"/>
  <c r="A91" i="10"/>
  <c r="X90" i="10"/>
  <c r="W90" i="10"/>
  <c r="V90" i="10"/>
  <c r="U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E90" i="10"/>
  <c r="D90" i="10"/>
  <c r="C90" i="10"/>
  <c r="B90" i="10"/>
  <c r="A90" i="10"/>
  <c r="X89" i="10"/>
  <c r="W89" i="10"/>
  <c r="V89" i="10"/>
  <c r="U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C89" i="10"/>
  <c r="B89" i="10"/>
  <c r="T89" i="10" s="1"/>
  <c r="A89" i="10"/>
  <c r="X88" i="10"/>
  <c r="W88" i="10"/>
  <c r="V88" i="10"/>
  <c r="U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E88" i="10"/>
  <c r="C88" i="10"/>
  <c r="D88" i="10" s="1"/>
  <c r="B88" i="10"/>
  <c r="A88" i="10"/>
  <c r="X87" i="10"/>
  <c r="W87" i="10"/>
  <c r="V87" i="10"/>
  <c r="U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S87" i="10" s="1"/>
  <c r="B87" i="10"/>
  <c r="T87" i="10" s="1"/>
  <c r="A87" i="10"/>
  <c r="X86" i="10"/>
  <c r="W86" i="10"/>
  <c r="V86" i="10"/>
  <c r="U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C86" i="10"/>
  <c r="E86" i="10" s="1"/>
  <c r="B86" i="10"/>
  <c r="T86" i="10" s="1"/>
  <c r="A86" i="10"/>
  <c r="X85" i="10"/>
  <c r="W85" i="10"/>
  <c r="V85" i="10"/>
  <c r="U85" i="10"/>
  <c r="R85" i="10"/>
  <c r="Q85" i="10"/>
  <c r="P85" i="10"/>
  <c r="O85" i="10"/>
  <c r="N85" i="10"/>
  <c r="M85" i="10"/>
  <c r="L85" i="10"/>
  <c r="K85" i="10"/>
  <c r="J85" i="10"/>
  <c r="I85" i="10"/>
  <c r="H85" i="10"/>
  <c r="C85" i="10"/>
  <c r="B85" i="10"/>
  <c r="A85" i="10"/>
  <c r="X84" i="10"/>
  <c r="W84" i="10"/>
  <c r="V84" i="10"/>
  <c r="U84" i="10"/>
  <c r="R84" i="10"/>
  <c r="Q84" i="10"/>
  <c r="P84" i="10"/>
  <c r="O84" i="10"/>
  <c r="N84" i="10"/>
  <c r="M84" i="10"/>
  <c r="L84" i="10"/>
  <c r="K84" i="10"/>
  <c r="J84" i="10"/>
  <c r="I84" i="10"/>
  <c r="H84" i="10"/>
  <c r="E84" i="10"/>
  <c r="D84" i="10"/>
  <c r="C84" i="10"/>
  <c r="S84" i="10" s="1"/>
  <c r="B84" i="10"/>
  <c r="A84" i="10"/>
  <c r="X83" i="10"/>
  <c r="W83" i="10"/>
  <c r="V83" i="10"/>
  <c r="U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C83" i="10"/>
  <c r="E83" i="10" s="1"/>
  <c r="B83" i="10"/>
  <c r="T83" i="10" s="1"/>
  <c r="A83" i="10"/>
  <c r="X82" i="10"/>
  <c r="W82" i="10"/>
  <c r="V82" i="10"/>
  <c r="U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C82" i="10"/>
  <c r="B82" i="10"/>
  <c r="T82" i="10" s="1"/>
  <c r="A82" i="10"/>
  <c r="X81" i="10"/>
  <c r="W81" i="10"/>
  <c r="V81" i="10"/>
  <c r="U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E81" i="10"/>
  <c r="D81" i="10"/>
  <c r="C81" i="10"/>
  <c r="B81" i="10"/>
  <c r="A81" i="10"/>
  <c r="X80" i="10"/>
  <c r="W80" i="10"/>
  <c r="V80" i="10"/>
  <c r="U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D80" i="10"/>
  <c r="C80" i="10"/>
  <c r="S80" i="10" s="1"/>
  <c r="B80" i="10"/>
  <c r="T80" i="10" s="1"/>
  <c r="A80" i="10"/>
  <c r="X79" i="10"/>
  <c r="W79" i="10"/>
  <c r="V79" i="10"/>
  <c r="U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C79" i="10"/>
  <c r="B79" i="10"/>
  <c r="T79" i="10" s="1"/>
  <c r="A79" i="10"/>
  <c r="X78" i="10"/>
  <c r="W78" i="10"/>
  <c r="V78" i="10"/>
  <c r="U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C78" i="10"/>
  <c r="D78" i="10" s="1"/>
  <c r="B78" i="10"/>
  <c r="T78" i="10" s="1"/>
  <c r="A78" i="10"/>
  <c r="X77" i="10"/>
  <c r="W77" i="10"/>
  <c r="V77" i="10"/>
  <c r="U77" i="10"/>
  <c r="T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C77" i="10"/>
  <c r="D77" i="10" s="1"/>
  <c r="B77" i="10"/>
  <c r="A77" i="10"/>
  <c r="X76" i="10"/>
  <c r="W76" i="10"/>
  <c r="V76" i="10"/>
  <c r="U76" i="10"/>
  <c r="R76" i="10"/>
  <c r="Q76" i="10"/>
  <c r="P76" i="10"/>
  <c r="O76" i="10"/>
  <c r="N76" i="10"/>
  <c r="M76" i="10"/>
  <c r="L76" i="10"/>
  <c r="K76" i="10"/>
  <c r="J76" i="10"/>
  <c r="I76" i="10"/>
  <c r="H76" i="10"/>
  <c r="C76" i="10"/>
  <c r="D76" i="10" s="1"/>
  <c r="B76" i="10"/>
  <c r="T76" i="10" s="1"/>
  <c r="A76" i="10"/>
  <c r="X75" i="10"/>
  <c r="W75" i="10"/>
  <c r="V75" i="10"/>
  <c r="U75" i="10"/>
  <c r="R75" i="10"/>
  <c r="Q75" i="10"/>
  <c r="P75" i="10"/>
  <c r="O75" i="10"/>
  <c r="N75" i="10"/>
  <c r="M75" i="10"/>
  <c r="L75" i="10"/>
  <c r="K75" i="10"/>
  <c r="J75" i="10"/>
  <c r="I75" i="10"/>
  <c r="H75" i="10"/>
  <c r="F75" i="10"/>
  <c r="C75" i="10"/>
  <c r="D75" i="10" s="1"/>
  <c r="B75" i="10"/>
  <c r="T75" i="10" s="1"/>
  <c r="A75" i="10"/>
  <c r="X74" i="10"/>
  <c r="W74" i="10"/>
  <c r="V74" i="10"/>
  <c r="U74" i="10"/>
  <c r="R74" i="10"/>
  <c r="Q74" i="10"/>
  <c r="P74" i="10"/>
  <c r="O74" i="10"/>
  <c r="N74" i="10"/>
  <c r="M74" i="10"/>
  <c r="L74" i="10"/>
  <c r="K74" i="10"/>
  <c r="J74" i="10"/>
  <c r="I74" i="10"/>
  <c r="H74" i="10"/>
  <c r="F74" i="10"/>
  <c r="E74" i="10"/>
  <c r="C74" i="10"/>
  <c r="D74" i="10" s="1"/>
  <c r="B74" i="10"/>
  <c r="T74" i="10" s="1"/>
  <c r="A74" i="10"/>
  <c r="X73" i="10"/>
  <c r="W73" i="10"/>
  <c r="V73" i="10"/>
  <c r="U73" i="10"/>
  <c r="R73" i="10"/>
  <c r="Q73" i="10"/>
  <c r="P73" i="10"/>
  <c r="O73" i="10"/>
  <c r="N73" i="10"/>
  <c r="M73" i="10"/>
  <c r="L73" i="10"/>
  <c r="K73" i="10"/>
  <c r="J73" i="10"/>
  <c r="I73" i="10"/>
  <c r="H73" i="10"/>
  <c r="C73" i="10"/>
  <c r="D73" i="10" s="1"/>
  <c r="B73" i="10"/>
  <c r="T73" i="10" s="1"/>
  <c r="A73" i="10"/>
  <c r="X72" i="10"/>
  <c r="W72" i="10"/>
  <c r="V72" i="10"/>
  <c r="U72" i="10"/>
  <c r="R72" i="10"/>
  <c r="Q72" i="10"/>
  <c r="P72" i="10"/>
  <c r="O72" i="10"/>
  <c r="N72" i="10"/>
  <c r="M72" i="10"/>
  <c r="L72" i="10"/>
  <c r="K72" i="10"/>
  <c r="J72" i="10"/>
  <c r="I72" i="10"/>
  <c r="H72" i="10"/>
  <c r="C72" i="10"/>
  <c r="D72" i="10" s="1"/>
  <c r="B72" i="10"/>
  <c r="T72" i="10" s="1"/>
  <c r="A72" i="10"/>
  <c r="X71" i="10"/>
  <c r="W71" i="10"/>
  <c r="V71" i="10"/>
  <c r="U71" i="10"/>
  <c r="R71" i="10"/>
  <c r="Q71" i="10"/>
  <c r="P71" i="10"/>
  <c r="O71" i="10"/>
  <c r="N71" i="10"/>
  <c r="M71" i="10"/>
  <c r="L71" i="10"/>
  <c r="K71" i="10"/>
  <c r="J71" i="10"/>
  <c r="I71" i="10"/>
  <c r="H71" i="10"/>
  <c r="C71" i="10"/>
  <c r="D71" i="10" s="1"/>
  <c r="B71" i="10"/>
  <c r="T71" i="10" s="1"/>
  <c r="A71" i="10"/>
  <c r="X70" i="10"/>
  <c r="W70" i="10"/>
  <c r="V70" i="10"/>
  <c r="U70" i="10"/>
  <c r="R70" i="10"/>
  <c r="Q70" i="10"/>
  <c r="P70" i="10"/>
  <c r="O70" i="10"/>
  <c r="N70" i="10"/>
  <c r="M70" i="10"/>
  <c r="L70" i="10"/>
  <c r="K70" i="10"/>
  <c r="J70" i="10"/>
  <c r="I70" i="10"/>
  <c r="H70" i="10"/>
  <c r="E70" i="10"/>
  <c r="C70" i="10"/>
  <c r="D70" i="10" s="1"/>
  <c r="B70" i="10"/>
  <c r="T70" i="10" s="1"/>
  <c r="A70" i="10"/>
  <c r="X69" i="10"/>
  <c r="W69" i="10"/>
  <c r="V69" i="10"/>
  <c r="U69" i="10"/>
  <c r="T69" i="10"/>
  <c r="R69" i="10"/>
  <c r="Q69" i="10"/>
  <c r="P69" i="10"/>
  <c r="O69" i="10"/>
  <c r="N69" i="10"/>
  <c r="M69" i="10"/>
  <c r="L69" i="10"/>
  <c r="K69" i="10"/>
  <c r="J69" i="10"/>
  <c r="I69" i="10"/>
  <c r="H69" i="10"/>
  <c r="C69" i="10"/>
  <c r="D69" i="10" s="1"/>
  <c r="B69" i="10"/>
  <c r="G69" i="10" s="1"/>
  <c r="A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C68" i="10"/>
  <c r="D68" i="10" s="1"/>
  <c r="B68" i="10"/>
  <c r="G68" i="10" s="1"/>
  <c r="A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C67" i="10"/>
  <c r="D67" i="10" s="1"/>
  <c r="B67" i="10"/>
  <c r="G67" i="10" s="1"/>
  <c r="A67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C66" i="10"/>
  <c r="D66" i="10" s="1"/>
  <c r="B66" i="10"/>
  <c r="F66" i="10" s="1"/>
  <c r="A66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C65" i="10"/>
  <c r="D65" i="10" s="1"/>
  <c r="B65" i="10"/>
  <c r="A65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C64" i="10"/>
  <c r="D64" i="10" s="1"/>
  <c r="B64" i="10"/>
  <c r="A64" i="10"/>
  <c r="X63" i="10"/>
  <c r="W63" i="10"/>
  <c r="V63" i="10"/>
  <c r="U63" i="10"/>
  <c r="T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C63" i="10"/>
  <c r="D63" i="10" s="1"/>
  <c r="B63" i="10"/>
  <c r="A63" i="10"/>
  <c r="X62" i="10"/>
  <c r="W62" i="10"/>
  <c r="V62" i="10"/>
  <c r="U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E62" i="10"/>
  <c r="C62" i="10"/>
  <c r="D62" i="10" s="1"/>
  <c r="B62" i="10"/>
  <c r="F62" i="10" s="1"/>
  <c r="A62" i="10"/>
  <c r="X61" i="10"/>
  <c r="W61" i="10"/>
  <c r="V61" i="10"/>
  <c r="U61" i="10"/>
  <c r="T61" i="10"/>
  <c r="R61" i="10"/>
  <c r="Q61" i="10"/>
  <c r="P61" i="10"/>
  <c r="O61" i="10"/>
  <c r="N61" i="10"/>
  <c r="M61" i="10"/>
  <c r="L61" i="10"/>
  <c r="K61" i="10"/>
  <c r="J61" i="10"/>
  <c r="I61" i="10"/>
  <c r="H61" i="10"/>
  <c r="C61" i="10"/>
  <c r="D61" i="10" s="1"/>
  <c r="B61" i="10"/>
  <c r="G61" i="10" s="1"/>
  <c r="A61" i="10"/>
  <c r="X60" i="10"/>
  <c r="W60" i="10"/>
  <c r="V60" i="10"/>
  <c r="U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C60" i="10"/>
  <c r="D60" i="10" s="1"/>
  <c r="B60" i="10"/>
  <c r="G60" i="10" s="1"/>
  <c r="A60" i="10"/>
  <c r="X59" i="10"/>
  <c r="W59" i="10"/>
  <c r="V59" i="10"/>
  <c r="U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E59" i="10"/>
  <c r="C59" i="10"/>
  <c r="D59" i="10" s="1"/>
  <c r="B59" i="10"/>
  <c r="F59" i="10" s="1"/>
  <c r="A59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C58" i="10"/>
  <c r="D58" i="10" s="1"/>
  <c r="B58" i="10"/>
  <c r="G58" i="10" s="1"/>
  <c r="A58" i="10"/>
  <c r="X57" i="10"/>
  <c r="W57" i="10"/>
  <c r="V57" i="10"/>
  <c r="U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C57" i="10"/>
  <c r="D57" i="10" s="1"/>
  <c r="B57" i="10"/>
  <c r="G57" i="10" s="1"/>
  <c r="A57" i="10"/>
  <c r="X56" i="10"/>
  <c r="W56" i="10"/>
  <c r="V56" i="10"/>
  <c r="U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C56" i="10"/>
  <c r="D56" i="10" s="1"/>
  <c r="B56" i="10"/>
  <c r="F56" i="10" s="1"/>
  <c r="A56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C55" i="10"/>
  <c r="D55" i="10" s="1"/>
  <c r="B55" i="10"/>
  <c r="A55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C54" i="10"/>
  <c r="D54" i="10" s="1"/>
  <c r="B54" i="10"/>
  <c r="A54" i="10"/>
  <c r="X53" i="10"/>
  <c r="W53" i="10"/>
  <c r="V53" i="10"/>
  <c r="U53" i="10"/>
  <c r="T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C53" i="10"/>
  <c r="D53" i="10" s="1"/>
  <c r="B53" i="10"/>
  <c r="A53" i="10"/>
  <c r="X52" i="10"/>
  <c r="W52" i="10"/>
  <c r="V52" i="10"/>
  <c r="U52" i="10"/>
  <c r="R52" i="10"/>
  <c r="Q52" i="10"/>
  <c r="P52" i="10"/>
  <c r="O52" i="10"/>
  <c r="N52" i="10"/>
  <c r="M52" i="10"/>
  <c r="L52" i="10"/>
  <c r="K52" i="10"/>
  <c r="J52" i="10"/>
  <c r="I52" i="10"/>
  <c r="H52" i="10"/>
  <c r="C52" i="10"/>
  <c r="D52" i="10" s="1"/>
  <c r="B52" i="10"/>
  <c r="T52" i="10" s="1"/>
  <c r="A52" i="10"/>
  <c r="X51" i="10"/>
  <c r="W51" i="10"/>
  <c r="V51" i="10"/>
  <c r="U51" i="10"/>
  <c r="R51" i="10"/>
  <c r="Q51" i="10"/>
  <c r="P51" i="10"/>
  <c r="O51" i="10"/>
  <c r="N51" i="10"/>
  <c r="M51" i="10"/>
  <c r="L51" i="10"/>
  <c r="K51" i="10"/>
  <c r="J51" i="10"/>
  <c r="I51" i="10"/>
  <c r="H51" i="10"/>
  <c r="C51" i="10"/>
  <c r="D51" i="10" s="1"/>
  <c r="B51" i="10"/>
  <c r="T51" i="10" s="1"/>
  <c r="A51" i="10"/>
  <c r="X50" i="10"/>
  <c r="W50" i="10"/>
  <c r="V50" i="10"/>
  <c r="U50" i="10"/>
  <c r="R50" i="10"/>
  <c r="Q50" i="10"/>
  <c r="P50" i="10"/>
  <c r="O50" i="10"/>
  <c r="N50" i="10"/>
  <c r="M50" i="10"/>
  <c r="L50" i="10"/>
  <c r="K50" i="10"/>
  <c r="J50" i="10"/>
  <c r="I50" i="10"/>
  <c r="H50" i="10"/>
  <c r="F50" i="10"/>
  <c r="E50" i="10"/>
  <c r="C50" i="10"/>
  <c r="D50" i="10" s="1"/>
  <c r="B50" i="10"/>
  <c r="T50" i="10" s="1"/>
  <c r="A50" i="10"/>
  <c r="X49" i="10"/>
  <c r="W49" i="10"/>
  <c r="V49" i="10"/>
  <c r="U49" i="10"/>
  <c r="R49" i="10"/>
  <c r="Q49" i="10"/>
  <c r="P49" i="10"/>
  <c r="O49" i="10"/>
  <c r="N49" i="10"/>
  <c r="M49" i="10"/>
  <c r="L49" i="10"/>
  <c r="K49" i="10"/>
  <c r="J49" i="10"/>
  <c r="I49" i="10"/>
  <c r="H49" i="10"/>
  <c r="C49" i="10"/>
  <c r="D49" i="10" s="1"/>
  <c r="B49" i="10"/>
  <c r="T49" i="10" s="1"/>
  <c r="A49" i="10"/>
  <c r="X48" i="10"/>
  <c r="W48" i="10"/>
  <c r="V48" i="10"/>
  <c r="U48" i="10"/>
  <c r="R48" i="10"/>
  <c r="Q48" i="10"/>
  <c r="P48" i="10"/>
  <c r="O48" i="10"/>
  <c r="N48" i="10"/>
  <c r="M48" i="10"/>
  <c r="L48" i="10"/>
  <c r="K48" i="10"/>
  <c r="J48" i="10"/>
  <c r="I48" i="10"/>
  <c r="H48" i="10"/>
  <c r="C48" i="10"/>
  <c r="D48" i="10" s="1"/>
  <c r="B48" i="10"/>
  <c r="T48" i="10" s="1"/>
  <c r="A48" i="10"/>
  <c r="X47" i="10"/>
  <c r="W47" i="10"/>
  <c r="V47" i="10"/>
  <c r="U47" i="10"/>
  <c r="R47" i="10"/>
  <c r="Q47" i="10"/>
  <c r="P47" i="10"/>
  <c r="O47" i="10"/>
  <c r="N47" i="10"/>
  <c r="M47" i="10"/>
  <c r="L47" i="10"/>
  <c r="K47" i="10"/>
  <c r="J47" i="10"/>
  <c r="I47" i="10"/>
  <c r="H47" i="10"/>
  <c r="C47" i="10"/>
  <c r="D47" i="10" s="1"/>
  <c r="B47" i="10"/>
  <c r="T47" i="10" s="1"/>
  <c r="A47" i="10"/>
  <c r="X46" i="10"/>
  <c r="W46" i="10"/>
  <c r="V46" i="10"/>
  <c r="U46" i="10"/>
  <c r="R46" i="10"/>
  <c r="Q46" i="10"/>
  <c r="P46" i="10"/>
  <c r="O46" i="10"/>
  <c r="N46" i="10"/>
  <c r="M46" i="10"/>
  <c r="L46" i="10"/>
  <c r="K46" i="10"/>
  <c r="J46" i="10"/>
  <c r="I46" i="10"/>
  <c r="H46" i="10"/>
  <c r="E46" i="10"/>
  <c r="C46" i="10"/>
  <c r="D46" i="10" s="1"/>
  <c r="B46" i="10"/>
  <c r="T46" i="10" s="1"/>
  <c r="A46" i="10"/>
  <c r="X45" i="10"/>
  <c r="W45" i="10"/>
  <c r="V45" i="10"/>
  <c r="U45" i="10"/>
  <c r="T45" i="10"/>
  <c r="R45" i="10"/>
  <c r="Q45" i="10"/>
  <c r="P45" i="10"/>
  <c r="O45" i="10"/>
  <c r="N45" i="10"/>
  <c r="M45" i="10"/>
  <c r="L45" i="10"/>
  <c r="K45" i="10"/>
  <c r="J45" i="10"/>
  <c r="I45" i="10"/>
  <c r="H45" i="10"/>
  <c r="C45" i="10"/>
  <c r="D45" i="10" s="1"/>
  <c r="B45" i="10"/>
  <c r="G45" i="10" s="1"/>
  <c r="A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C44" i="10"/>
  <c r="D44" i="10" s="1"/>
  <c r="B44" i="10"/>
  <c r="G44" i="10" s="1"/>
  <c r="A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C43" i="10"/>
  <c r="D43" i="10" s="1"/>
  <c r="B43" i="10"/>
  <c r="G43" i="10" s="1"/>
  <c r="A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C42" i="10"/>
  <c r="D42" i="10" s="1"/>
  <c r="B42" i="10"/>
  <c r="F42" i="10" s="1"/>
  <c r="A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C41" i="10"/>
  <c r="D41" i="10" s="1"/>
  <c r="B41" i="10"/>
  <c r="A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D40" i="10" s="1"/>
  <c r="B40" i="10"/>
  <c r="A40" i="10"/>
  <c r="X39" i="10"/>
  <c r="W39" i="10"/>
  <c r="V39" i="10"/>
  <c r="U39" i="10"/>
  <c r="T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C39" i="10"/>
  <c r="D39" i="10" s="1"/>
  <c r="B39" i="10"/>
  <c r="A39" i="10"/>
  <c r="X38" i="10"/>
  <c r="W38" i="10"/>
  <c r="V38" i="10"/>
  <c r="U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E38" i="10"/>
  <c r="C38" i="10"/>
  <c r="D38" i="10" s="1"/>
  <c r="B38" i="10"/>
  <c r="F38" i="10" s="1"/>
  <c r="A38" i="10"/>
  <c r="X37" i="10"/>
  <c r="W37" i="10"/>
  <c r="V37" i="10"/>
  <c r="U37" i="10"/>
  <c r="T37" i="10"/>
  <c r="R37" i="10"/>
  <c r="Q37" i="10"/>
  <c r="P37" i="10"/>
  <c r="O37" i="10"/>
  <c r="N37" i="10"/>
  <c r="M37" i="10"/>
  <c r="L37" i="10"/>
  <c r="K37" i="10"/>
  <c r="J37" i="10"/>
  <c r="I37" i="10"/>
  <c r="H37" i="10"/>
  <c r="C37" i="10"/>
  <c r="D37" i="10" s="1"/>
  <c r="B37" i="10"/>
  <c r="G37" i="10" s="1"/>
  <c r="A37" i="10"/>
  <c r="X36" i="10"/>
  <c r="W36" i="10"/>
  <c r="V36" i="10"/>
  <c r="U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C36" i="10"/>
  <c r="D36" i="10" s="1"/>
  <c r="B36" i="10"/>
  <c r="G36" i="10" s="1"/>
  <c r="A36" i="10"/>
  <c r="X35" i="10"/>
  <c r="W35" i="10"/>
  <c r="V35" i="10"/>
  <c r="U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E35" i="10"/>
  <c r="C35" i="10"/>
  <c r="D35" i="10" s="1"/>
  <c r="B35" i="10"/>
  <c r="G35" i="10" s="1"/>
  <c r="A35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C34" i="10"/>
  <c r="D34" i="10" s="1"/>
  <c r="B34" i="10"/>
  <c r="G34" i="10" s="1"/>
  <c r="A34" i="10"/>
  <c r="X33" i="10"/>
  <c r="W33" i="10"/>
  <c r="V33" i="10"/>
  <c r="U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C33" i="10"/>
  <c r="D33" i="10" s="1"/>
  <c r="B33" i="10"/>
  <c r="G33" i="10" s="1"/>
  <c r="A33" i="10"/>
  <c r="X32" i="10"/>
  <c r="W32" i="10"/>
  <c r="V32" i="10"/>
  <c r="U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C32" i="10"/>
  <c r="D32" i="10" s="1"/>
  <c r="B32" i="10"/>
  <c r="F32" i="10" s="1"/>
  <c r="A32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D31" i="10" s="1"/>
  <c r="B31" i="10"/>
  <c r="A31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D30" i="10" s="1"/>
  <c r="B30" i="10"/>
  <c r="A30" i="10"/>
  <c r="X29" i="10"/>
  <c r="W29" i="10"/>
  <c r="V29" i="10"/>
  <c r="U29" i="10"/>
  <c r="T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C29" i="10"/>
  <c r="D29" i="10" s="1"/>
  <c r="B29" i="10"/>
  <c r="A29" i="10"/>
  <c r="X28" i="10"/>
  <c r="W28" i="10"/>
  <c r="V28" i="10"/>
  <c r="U28" i="10"/>
  <c r="R28" i="10"/>
  <c r="Q28" i="10"/>
  <c r="P28" i="10"/>
  <c r="O28" i="10"/>
  <c r="N28" i="10"/>
  <c r="M28" i="10"/>
  <c r="L28" i="10"/>
  <c r="K28" i="10"/>
  <c r="J28" i="10"/>
  <c r="I28" i="10"/>
  <c r="H28" i="10"/>
  <c r="C28" i="10"/>
  <c r="D28" i="10" s="1"/>
  <c r="B28" i="10"/>
  <c r="T28" i="10" s="1"/>
  <c r="A28" i="10"/>
  <c r="X27" i="10"/>
  <c r="W27" i="10"/>
  <c r="V27" i="10"/>
  <c r="U27" i="10"/>
  <c r="R27" i="10"/>
  <c r="Q27" i="10"/>
  <c r="P27" i="10"/>
  <c r="O27" i="10"/>
  <c r="N27" i="10"/>
  <c r="M27" i="10"/>
  <c r="L27" i="10"/>
  <c r="K27" i="10"/>
  <c r="J27" i="10"/>
  <c r="I27" i="10"/>
  <c r="H27" i="10"/>
  <c r="C27" i="10"/>
  <c r="D27" i="10" s="1"/>
  <c r="B27" i="10"/>
  <c r="T27" i="10" s="1"/>
  <c r="A27" i="10"/>
  <c r="X26" i="10"/>
  <c r="W26" i="10"/>
  <c r="V26" i="10"/>
  <c r="U26" i="10"/>
  <c r="R26" i="10"/>
  <c r="Q26" i="10"/>
  <c r="P26" i="10"/>
  <c r="O26" i="10"/>
  <c r="N26" i="10"/>
  <c r="M26" i="10"/>
  <c r="L26" i="10"/>
  <c r="K26" i="10"/>
  <c r="J26" i="10"/>
  <c r="I26" i="10"/>
  <c r="H26" i="10"/>
  <c r="F26" i="10"/>
  <c r="E26" i="10"/>
  <c r="C26" i="10"/>
  <c r="D26" i="10" s="1"/>
  <c r="B26" i="10"/>
  <c r="T26" i="10" s="1"/>
  <c r="A26" i="10"/>
  <c r="X25" i="10"/>
  <c r="W25" i="10"/>
  <c r="V25" i="10"/>
  <c r="U25" i="10"/>
  <c r="R25" i="10"/>
  <c r="Q25" i="10"/>
  <c r="P25" i="10"/>
  <c r="O25" i="10"/>
  <c r="N25" i="10"/>
  <c r="M25" i="10"/>
  <c r="L25" i="10"/>
  <c r="K25" i="10"/>
  <c r="J25" i="10"/>
  <c r="I25" i="10"/>
  <c r="H25" i="10"/>
  <c r="C25" i="10"/>
  <c r="D25" i="10" s="1"/>
  <c r="B25" i="10"/>
  <c r="T25" i="10" s="1"/>
  <c r="A25" i="10"/>
  <c r="X24" i="10"/>
  <c r="W24" i="10"/>
  <c r="V24" i="10"/>
  <c r="U24" i="10"/>
  <c r="R24" i="10"/>
  <c r="Q24" i="10"/>
  <c r="P24" i="10"/>
  <c r="O24" i="10"/>
  <c r="N24" i="10"/>
  <c r="M24" i="10"/>
  <c r="L24" i="10"/>
  <c r="K24" i="10"/>
  <c r="J24" i="10"/>
  <c r="I24" i="10"/>
  <c r="H24" i="10"/>
  <c r="C24" i="10"/>
  <c r="D24" i="10" s="1"/>
  <c r="B24" i="10"/>
  <c r="T24" i="10" s="1"/>
  <c r="A24" i="10"/>
  <c r="X23" i="10"/>
  <c r="W23" i="10"/>
  <c r="V23" i="10"/>
  <c r="U23" i="10"/>
  <c r="R23" i="10"/>
  <c r="Q23" i="10"/>
  <c r="P23" i="10"/>
  <c r="O23" i="10"/>
  <c r="N23" i="10"/>
  <c r="M23" i="10"/>
  <c r="L23" i="10"/>
  <c r="K23" i="10"/>
  <c r="J23" i="10"/>
  <c r="I23" i="10"/>
  <c r="H23" i="10"/>
  <c r="C23" i="10"/>
  <c r="D23" i="10" s="1"/>
  <c r="B23" i="10"/>
  <c r="T23" i="10" s="1"/>
  <c r="A23" i="10"/>
  <c r="X22" i="10"/>
  <c r="W22" i="10"/>
  <c r="V22" i="10"/>
  <c r="U22" i="10"/>
  <c r="R22" i="10"/>
  <c r="Q22" i="10"/>
  <c r="P22" i="10"/>
  <c r="O22" i="10"/>
  <c r="N22" i="10"/>
  <c r="M22" i="10"/>
  <c r="L22" i="10"/>
  <c r="K22" i="10"/>
  <c r="J22" i="10"/>
  <c r="I22" i="10"/>
  <c r="H22" i="10"/>
  <c r="F22" i="10"/>
  <c r="E22" i="10"/>
  <c r="C22" i="10"/>
  <c r="D22" i="10" s="1"/>
  <c r="B22" i="10"/>
  <c r="T22" i="10" s="1"/>
  <c r="A22" i="10"/>
  <c r="X21" i="10"/>
  <c r="W21" i="10"/>
  <c r="V21" i="10"/>
  <c r="U21" i="10"/>
  <c r="T21" i="10"/>
  <c r="R21" i="10"/>
  <c r="Q21" i="10"/>
  <c r="P21" i="10"/>
  <c r="O21" i="10"/>
  <c r="N21" i="10"/>
  <c r="M21" i="10"/>
  <c r="L21" i="10"/>
  <c r="K21" i="10"/>
  <c r="J21" i="10"/>
  <c r="I21" i="10"/>
  <c r="H21" i="10"/>
  <c r="F21" i="10"/>
  <c r="C21" i="10"/>
  <c r="D21" i="10" s="1"/>
  <c r="B21" i="10"/>
  <c r="G21" i="10" s="1"/>
  <c r="A21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C20" i="10"/>
  <c r="D20" i="10" s="1"/>
  <c r="B20" i="10"/>
  <c r="F20" i="10" s="1"/>
  <c r="A20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C19" i="10"/>
  <c r="D19" i="10" s="1"/>
  <c r="B19" i="10"/>
  <c r="G19" i="10" s="1"/>
  <c r="A19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C18" i="10"/>
  <c r="D18" i="10" s="1"/>
  <c r="B18" i="10"/>
  <c r="F18" i="10" s="1"/>
  <c r="A18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C17" i="10"/>
  <c r="D17" i="10" s="1"/>
  <c r="B17" i="10"/>
  <c r="A17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D16" i="10" s="1"/>
  <c r="B16" i="10"/>
  <c r="A16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D4" i="7"/>
  <c r="D3" i="7"/>
  <c r="E2" i="7"/>
  <c r="D2" i="7"/>
  <c r="E53" i="10" l="1"/>
  <c r="E77" i="10"/>
  <c r="E127" i="10"/>
  <c r="S127" i="10"/>
  <c r="E28" i="10"/>
  <c r="E52" i="10"/>
  <c r="E76" i="10"/>
  <c r="D86" i="10"/>
  <c r="D127" i="10"/>
  <c r="T156" i="10"/>
  <c r="G156" i="10"/>
  <c r="F156" i="10"/>
  <c r="D170" i="10"/>
  <c r="E29" i="10"/>
  <c r="T150" i="10"/>
  <c r="F150" i="10"/>
  <c r="E27" i="10"/>
  <c r="F28" i="10"/>
  <c r="E51" i="10"/>
  <c r="F52" i="10"/>
  <c r="E75" i="10"/>
  <c r="F76" i="10"/>
  <c r="E102" i="10"/>
  <c r="S122" i="10"/>
  <c r="F127" i="10"/>
  <c r="S146" i="10"/>
  <c r="G150" i="10"/>
  <c r="G51" i="10"/>
  <c r="S63" i="10"/>
  <c r="E73" i="10"/>
  <c r="T85" i="10"/>
  <c r="G85" i="10"/>
  <c r="E134" i="10"/>
  <c r="S134" i="10"/>
  <c r="S217" i="10"/>
  <c r="E217" i="10"/>
  <c r="D217" i="10"/>
  <c r="E24" i="10"/>
  <c r="F25" i="10"/>
  <c r="G26" i="10"/>
  <c r="E48" i="10"/>
  <c r="F49" i="10"/>
  <c r="G50" i="10"/>
  <c r="E72" i="10"/>
  <c r="F73" i="10"/>
  <c r="G74" i="10"/>
  <c r="E85" i="10"/>
  <c r="D85" i="10"/>
  <c r="S85" i="10"/>
  <c r="D100" i="10"/>
  <c r="F101" i="10"/>
  <c r="G126" i="10"/>
  <c r="D134" i="10"/>
  <c r="T169" i="10"/>
  <c r="G169" i="10"/>
  <c r="F169" i="10"/>
  <c r="T229" i="10"/>
  <c r="G229" i="10"/>
  <c r="G75" i="10"/>
  <c r="G102" i="10"/>
  <c r="E182" i="10"/>
  <c r="D182" i="10"/>
  <c r="S182" i="10"/>
  <c r="E23" i="10"/>
  <c r="F24" i="10"/>
  <c r="G25" i="10"/>
  <c r="S37" i="10"/>
  <c r="T38" i="10"/>
  <c r="E47" i="10"/>
  <c r="F48" i="10"/>
  <c r="G49" i="10"/>
  <c r="S61" i="10"/>
  <c r="T62" i="10"/>
  <c r="E71" i="10"/>
  <c r="F72" i="10"/>
  <c r="G73" i="10"/>
  <c r="F85" i="10"/>
  <c r="E100" i="10"/>
  <c r="G101" i="10"/>
  <c r="D124" i="10"/>
  <c r="F125" i="10"/>
  <c r="S169" i="10"/>
  <c r="E169" i="10"/>
  <c r="D169" i="10"/>
  <c r="E202" i="10"/>
  <c r="D202" i="10"/>
  <c r="S202" i="10"/>
  <c r="D6" i="7"/>
  <c r="E6" i="7" s="1"/>
  <c r="E21" i="10"/>
  <c r="G23" i="10"/>
  <c r="T36" i="10"/>
  <c r="E45" i="10"/>
  <c r="F46" i="10"/>
  <c r="G47" i="10"/>
  <c r="T60" i="10"/>
  <c r="E69" i="10"/>
  <c r="F70" i="10"/>
  <c r="G71" i="10"/>
  <c r="E109" i="10"/>
  <c r="D109" i="10"/>
  <c r="S109" i="10"/>
  <c r="T123" i="10"/>
  <c r="G123" i="10"/>
  <c r="F123" i="10"/>
  <c r="T133" i="10"/>
  <c r="G133" i="10"/>
  <c r="E154" i="10"/>
  <c r="D154" i="10"/>
  <c r="S154" i="10"/>
  <c r="T181" i="10"/>
  <c r="G181" i="10"/>
  <c r="T201" i="10"/>
  <c r="G201" i="10"/>
  <c r="F201" i="10"/>
  <c r="F229" i="10"/>
  <c r="G22" i="10"/>
  <c r="T35" i="10"/>
  <c r="E44" i="10"/>
  <c r="F45" i="10"/>
  <c r="G46" i="10"/>
  <c r="T59" i="10"/>
  <c r="E68" i="10"/>
  <c r="F69" i="10"/>
  <c r="G70" i="10"/>
  <c r="D99" i="10"/>
  <c r="E133" i="10"/>
  <c r="D133" i="10"/>
  <c r="S133" i="10"/>
  <c r="T168" i="10"/>
  <c r="G168" i="10"/>
  <c r="F168" i="10"/>
  <c r="F27" i="10"/>
  <c r="G28" i="10"/>
  <c r="G52" i="10"/>
  <c r="F102" i="10"/>
  <c r="E110" i="10"/>
  <c r="S110" i="10"/>
  <c r="G127" i="10"/>
  <c r="E230" i="10"/>
  <c r="D230" i="10"/>
  <c r="S230" i="10"/>
  <c r="E25" i="10"/>
  <c r="G27" i="10"/>
  <c r="F47" i="10"/>
  <c r="G48" i="10"/>
  <c r="F71" i="10"/>
  <c r="G72" i="10"/>
  <c r="T84" i="10"/>
  <c r="F84" i="10"/>
  <c r="T99" i="10"/>
  <c r="G99" i="10"/>
  <c r="F99" i="10"/>
  <c r="T216" i="10"/>
  <c r="G216" i="10"/>
  <c r="F216" i="10"/>
  <c r="E19" i="10"/>
  <c r="E43" i="10"/>
  <c r="F44" i="10"/>
  <c r="E67" i="10"/>
  <c r="F68" i="10"/>
  <c r="E99" i="10"/>
  <c r="E18" i="10"/>
  <c r="F19" i="10"/>
  <c r="G20" i="10"/>
  <c r="T33" i="10"/>
  <c r="E42" i="10"/>
  <c r="F43" i="10"/>
  <c r="T57" i="10"/>
  <c r="E66" i="10"/>
  <c r="F67" i="10"/>
  <c r="D83" i="10"/>
  <c r="G84" i="10"/>
  <c r="T98" i="10"/>
  <c r="G98" i="10"/>
  <c r="F98" i="10"/>
  <c r="E123" i="10"/>
  <c r="T132" i="10"/>
  <c r="F132" i="10"/>
  <c r="F51" i="10"/>
  <c r="T217" i="10"/>
  <c r="G217" i="10"/>
  <c r="F217" i="10"/>
  <c r="S39" i="10"/>
  <c r="E49" i="10"/>
  <c r="D5" i="7"/>
  <c r="E5" i="7" s="1"/>
  <c r="E3" i="7"/>
  <c r="F23" i="10"/>
  <c r="G24" i="10"/>
  <c r="T109" i="10"/>
  <c r="G109" i="10"/>
  <c r="E4" i="7"/>
  <c r="E20" i="10"/>
  <c r="T108" i="10"/>
  <c r="F108" i="10"/>
  <c r="T153" i="10"/>
  <c r="G153" i="10"/>
  <c r="F153" i="10"/>
  <c r="E17" i="10"/>
  <c r="T32" i="10"/>
  <c r="E41" i="10"/>
  <c r="T56" i="10"/>
  <c r="E65" i="10"/>
  <c r="T122" i="10"/>
  <c r="G122" i="10"/>
  <c r="F122" i="10"/>
  <c r="D194" i="10"/>
  <c r="D82" i="10"/>
  <c r="S82" i="10"/>
  <c r="T90" i="10"/>
  <c r="F90" i="10"/>
  <c r="S170" i="10"/>
  <c r="S29" i="10"/>
  <c r="E39" i="10"/>
  <c r="S53" i="10"/>
  <c r="E63" i="10"/>
  <c r="S77" i="10"/>
  <c r="T81" i="10"/>
  <c r="G81" i="10"/>
  <c r="E82" i="10"/>
  <c r="E115" i="10"/>
  <c r="D115" i="10"/>
  <c r="D122" i="10"/>
  <c r="D146" i="10"/>
  <c r="S26" i="10"/>
  <c r="E36" i="10"/>
  <c r="F37" i="10"/>
  <c r="G38" i="10"/>
  <c r="S50" i="10"/>
  <c r="E60" i="10"/>
  <c r="F61" i="10"/>
  <c r="G62" i="10"/>
  <c r="S74" i="10"/>
  <c r="E89" i="10"/>
  <c r="D89" i="10"/>
  <c r="G90" i="10"/>
  <c r="T97" i="10"/>
  <c r="G97" i="10"/>
  <c r="F97" i="10"/>
  <c r="T105" i="10"/>
  <c r="G105" i="10"/>
  <c r="S126" i="10"/>
  <c r="D130" i="10"/>
  <c r="S130" i="10"/>
  <c r="E158" i="10"/>
  <c r="D158" i="10"/>
  <c r="S158" i="10"/>
  <c r="S193" i="10"/>
  <c r="E193" i="10"/>
  <c r="D193" i="10"/>
  <c r="G76" i="10"/>
  <c r="S75" i="10"/>
  <c r="S25" i="10"/>
  <c r="F36" i="10"/>
  <c r="S49" i="10"/>
  <c r="F60" i="10"/>
  <c r="S73" i="10"/>
  <c r="F81" i="10"/>
  <c r="S97" i="10"/>
  <c r="E97" i="10"/>
  <c r="D97" i="10"/>
  <c r="T121" i="10"/>
  <c r="G121" i="10"/>
  <c r="F121" i="10"/>
  <c r="T129" i="10"/>
  <c r="G129" i="10"/>
  <c r="T145" i="10"/>
  <c r="G145" i="10"/>
  <c r="F145" i="10"/>
  <c r="E34" i="10"/>
  <c r="E178" i="10"/>
  <c r="D178" i="10"/>
  <c r="S178" i="10"/>
  <c r="T205" i="10"/>
  <c r="G205" i="10"/>
  <c r="T225" i="10"/>
  <c r="G225" i="10"/>
  <c r="F225" i="10"/>
  <c r="S28" i="10"/>
  <c r="S52" i="10"/>
  <c r="T114" i="10"/>
  <c r="F114" i="10"/>
  <c r="E37" i="10"/>
  <c r="S102" i="10"/>
  <c r="D106" i="10"/>
  <c r="S106" i="10"/>
  <c r="T193" i="10"/>
  <c r="G193" i="10"/>
  <c r="F193" i="10"/>
  <c r="S24" i="10"/>
  <c r="F35" i="10"/>
  <c r="T88" i="10"/>
  <c r="G88" i="10"/>
  <c r="G114" i="10"/>
  <c r="S145" i="10"/>
  <c r="E145" i="10"/>
  <c r="D145" i="10"/>
  <c r="S23" i="10"/>
  <c r="E33" i="10"/>
  <c r="F34" i="10"/>
  <c r="S47" i="10"/>
  <c r="E57" i="10"/>
  <c r="F58" i="10"/>
  <c r="G59" i="10"/>
  <c r="S71" i="10"/>
  <c r="E79" i="10"/>
  <c r="S79" i="10"/>
  <c r="T151" i="10"/>
  <c r="G151" i="10"/>
  <c r="F151" i="10"/>
  <c r="T192" i="10"/>
  <c r="G192" i="10"/>
  <c r="F192" i="10"/>
  <c r="E103" i="10"/>
  <c r="S103" i="10"/>
  <c r="S76" i="10"/>
  <c r="S86" i="10"/>
  <c r="E206" i="10"/>
  <c r="D206" i="10"/>
  <c r="S206" i="10"/>
  <c r="S27" i="10"/>
  <c r="S51" i="10"/>
  <c r="E61" i="10"/>
  <c r="E226" i="10"/>
  <c r="D226" i="10"/>
  <c r="S226" i="10"/>
  <c r="S48" i="10"/>
  <c r="E58" i="10"/>
  <c r="S72" i="10"/>
  <c r="E80" i="10"/>
  <c r="S121" i="10"/>
  <c r="E121" i="10"/>
  <c r="D121" i="10"/>
  <c r="S22" i="10"/>
  <c r="E32" i="10"/>
  <c r="F33" i="10"/>
  <c r="S46" i="10"/>
  <c r="E56" i="10"/>
  <c r="F57" i="10"/>
  <c r="S70" i="10"/>
  <c r="D79" i="10"/>
  <c r="T96" i="10"/>
  <c r="G96" i="10"/>
  <c r="F96" i="10"/>
  <c r="D104" i="10"/>
  <c r="F105" i="10"/>
  <c r="T157" i="10"/>
  <c r="G157" i="10"/>
  <c r="T177" i="10"/>
  <c r="G177" i="10"/>
  <c r="F177" i="10"/>
  <c r="F205" i="10"/>
  <c r="S21" i="10"/>
  <c r="S45" i="10"/>
  <c r="S69" i="10"/>
  <c r="F79" i="10"/>
  <c r="F88" i="10"/>
  <c r="T120" i="10"/>
  <c r="G120" i="10"/>
  <c r="F120" i="10"/>
  <c r="F129" i="10"/>
  <c r="T144" i="10"/>
  <c r="G144" i="10"/>
  <c r="F144" i="10"/>
  <c r="E218" i="10"/>
  <c r="D218" i="10"/>
  <c r="E150" i="10"/>
  <c r="E174" i="10"/>
  <c r="F175" i="10"/>
  <c r="E198" i="10"/>
  <c r="F199" i="10"/>
  <c r="E222" i="10"/>
  <c r="F223" i="10"/>
  <c r="G224" i="10"/>
  <c r="S236" i="10"/>
  <c r="D148" i="10"/>
  <c r="D172" i="10"/>
  <c r="F174" i="10"/>
  <c r="G175" i="10"/>
  <c r="D196" i="10"/>
  <c r="F198" i="10"/>
  <c r="G199" i="10"/>
  <c r="S211" i="10"/>
  <c r="D220" i="10"/>
  <c r="G223" i="10"/>
  <c r="S235" i="10"/>
  <c r="F147" i="10"/>
  <c r="F171" i="10"/>
  <c r="F195" i="10"/>
  <c r="F219" i="10"/>
  <c r="D241" i="10"/>
  <c r="F146" i="10"/>
  <c r="G147" i="10"/>
  <c r="F170" i="10"/>
  <c r="G171" i="10"/>
  <c r="F194" i="10"/>
  <c r="G195" i="10"/>
  <c r="F218" i="10"/>
  <c r="G219" i="10"/>
  <c r="D240" i="10"/>
  <c r="E241" i="10"/>
  <c r="G146" i="10"/>
  <c r="G170" i="10"/>
  <c r="G194" i="10"/>
  <c r="G218" i="10"/>
  <c r="D239" i="10"/>
  <c r="E240" i="10"/>
  <c r="F241" i="10"/>
  <c r="D94" i="10"/>
  <c r="D118" i="10"/>
  <c r="D142" i="10"/>
  <c r="S157" i="10"/>
  <c r="D166" i="10"/>
  <c r="S181" i="10"/>
  <c r="D190" i="10"/>
  <c r="S205" i="10"/>
  <c r="D214" i="10"/>
  <c r="D238" i="10"/>
  <c r="E239" i="10"/>
  <c r="F240" i="10"/>
  <c r="G241" i="10"/>
  <c r="F95" i="10"/>
  <c r="F119" i="10"/>
  <c r="F143" i="10"/>
  <c r="F167" i="10"/>
  <c r="F191" i="10"/>
  <c r="F215" i="10"/>
  <c r="F93" i="10"/>
  <c r="G94" i="10"/>
  <c r="F117" i="10"/>
  <c r="G118" i="10"/>
  <c r="D139" i="10"/>
  <c r="F141" i="10"/>
  <c r="G142" i="10"/>
  <c r="D163" i="10"/>
  <c r="F165" i="10"/>
  <c r="G166" i="10"/>
  <c r="D187" i="10"/>
  <c r="F189" i="10"/>
  <c r="G190" i="10"/>
  <c r="D211" i="10"/>
  <c r="F213" i="10"/>
  <c r="G214" i="10"/>
  <c r="D235" i="10"/>
  <c r="G117" i="10"/>
  <c r="G141" i="10"/>
  <c r="G165" i="10"/>
  <c r="G189" i="10"/>
  <c r="G213" i="10"/>
  <c r="D113" i="10"/>
  <c r="D137" i="10"/>
  <c r="F139" i="10"/>
  <c r="S152" i="10"/>
  <c r="D161" i="10"/>
  <c r="F163" i="10"/>
  <c r="G164" i="10"/>
  <c r="S176" i="10"/>
  <c r="D185" i="10"/>
  <c r="F187" i="10"/>
  <c r="G188" i="10"/>
  <c r="S200" i="10"/>
  <c r="D209" i="10"/>
  <c r="F211" i="10"/>
  <c r="G212" i="10"/>
  <c r="S224" i="10"/>
  <c r="D233" i="10"/>
  <c r="F235" i="10"/>
  <c r="G236" i="10"/>
  <c r="F138" i="10"/>
  <c r="G139" i="10"/>
  <c r="S151" i="10"/>
  <c r="F162" i="10"/>
  <c r="G163" i="10"/>
  <c r="S175" i="10"/>
  <c r="F186" i="10"/>
  <c r="G187" i="10"/>
  <c r="S199" i="10"/>
  <c r="F210" i="10"/>
  <c r="G211" i="10"/>
  <c r="F234" i="10"/>
  <c r="G235" i="10"/>
  <c r="F233" i="10"/>
  <c r="G234" i="10"/>
  <c r="F232" i="10"/>
  <c r="G233" i="10"/>
  <c r="G112" i="10"/>
  <c r="G136" i="10"/>
  <c r="D157" i="10"/>
  <c r="G160" i="10"/>
  <c r="D181" i="10"/>
  <c r="G184" i="10"/>
  <c r="D205" i="10"/>
  <c r="F231" i="10"/>
  <c r="G232" i="10"/>
  <c r="F180" i="10"/>
  <c r="F204" i="10"/>
  <c r="G180" i="10"/>
  <c r="G204" i="10"/>
  <c r="D152" i="10"/>
  <c r="D176" i="10"/>
  <c r="D200" i="10"/>
  <c r="D224" i="10"/>
  <c r="F226" i="10"/>
  <c r="G227" i="10"/>
  <c r="D151" i="10"/>
  <c r="D175" i="10"/>
  <c r="D199" i="10"/>
  <c r="G226" i="10"/>
  <c r="F224" i="10"/>
</calcChain>
</file>

<file path=xl/sharedStrings.xml><?xml version="1.0" encoding="utf-8"?>
<sst xmlns="http://schemas.openxmlformats.org/spreadsheetml/2006/main" count="6684" uniqueCount="2277">
  <si>
    <t>Field</t>
  </si>
  <si>
    <t>Value</t>
  </si>
  <si>
    <t>Source_URL</t>
  </si>
  <si>
    <t>Notes</t>
  </si>
  <si>
    <t>Model_ID</t>
  </si>
  <si>
    <t>VCF-AFA-CN</t>
  </si>
  <si>
    <t>Stable canonical model identifier</t>
  </si>
  <si>
    <t>Model_Name</t>
  </si>
  <si>
    <t>VCF-AFA Canonical Model</t>
  </si>
  <si>
    <t>Customer-facing VCF product/feature model with Functionality_ID as analysis key</t>
  </si>
  <si>
    <t>Model_Version</t>
  </si>
  <si>
    <t>v0.3</t>
  </si>
  <si>
    <t>New top-level product list and rebuilt cascade</t>
  </si>
  <si>
    <t>Schema_Version</t>
  </si>
  <si>
    <t>1.1</t>
  </si>
  <si>
    <t>Adds Integration/Add-On registry and VCF 9.1 modeling columns</t>
  </si>
  <si>
    <t>Status</t>
  </si>
  <si>
    <t>Draft</t>
  </si>
  <si>
    <t>For review and further validation</t>
  </si>
  <si>
    <t>Target_Product_Count</t>
  </si>
  <si>
    <t>Planning target</t>
  </si>
  <si>
    <t>Target_Feature_Count</t>
  </si>
  <si>
    <t>Target_Functionality_Count</t>
  </si>
  <si>
    <t>Official_Basis</t>
  </si>
  <si>
    <t>VCF 9.1 official Broadcom/VMware documentation and KBs</t>
  </si>
  <si>
    <t>https://techdocs.broadcom.com/us/en/vmware-cis/vcf/vcf-9-0-and-later/9-1/release-notes/vmware-cloud-foundation-9-1-0-0-release-notes.html</t>
  </si>
  <si>
    <t>Release notes and component BOM were used as primary scope anchors</t>
  </si>
  <si>
    <t>Primary_Scope_Decision</t>
  </si>
  <si>
    <t>12 top-level products + integration/add-on registry</t>
  </si>
  <si>
    <t>https://techdocs.broadcom.com/us/en/vmware-cis/vcf/vcf-9-0-and-later/9-1/release-notes/vmware-cloud-foundation-9-1-0-0-release-notes/vmware-cloud-foundation-bill-of-materials.html</t>
  </si>
  <si>
    <t>Prevents endless top-level product churn</t>
  </si>
  <si>
    <t>Assessment_View</t>
  </si>
  <si>
    <t>VCF Product/Component -&gt; Major Feature</t>
  </si>
  <si>
    <t>Workshop-facing capture model</t>
  </si>
  <si>
    <t>Scoring_Key</t>
  </si>
  <si>
    <t>Functionality_ID</t>
  </si>
  <si>
    <t>Analysis/scoring/parity key</t>
  </si>
  <si>
    <t>Created_Date</t>
  </si>
  <si>
    <t>Creation date</t>
  </si>
  <si>
    <t>Last_Updated</t>
  </si>
  <si>
    <t>Last update date</t>
  </si>
  <si>
    <t>Owner</t>
  </si>
  <si>
    <t>VCF-AFA</t>
  </si>
  <si>
    <t>Project owner placeholder</t>
  </si>
  <si>
    <t>CN v0.3 is a rebuilt draft for review; not yet approved as final canonical scope.</t>
  </si>
  <si>
    <t>Product_ID</t>
  </si>
  <si>
    <t>Product_Name</t>
  </si>
  <si>
    <t>Product_Type</t>
  </si>
  <si>
    <t>Product_Description</t>
  </si>
  <si>
    <t>Assessment_Included</t>
  </si>
  <si>
    <t>Official_VCF91_Category</t>
  </si>
  <si>
    <t>Modeling_Treatment</t>
  </si>
  <si>
    <t>Entitlement_Treatment</t>
  </si>
  <si>
    <t>Primary_Source_URL</t>
  </si>
  <si>
    <t>Source_Confidence</t>
  </si>
  <si>
    <t>Sort_Order</t>
  </si>
  <si>
    <t>PC-PLATFORM</t>
  </si>
  <si>
    <t>VCF Platform, Fleet &amp; Workload Domains</t>
  </si>
  <si>
    <t>Platform</t>
  </si>
  <si>
    <t>Defines the VCF private cloud construct, fleet context, management and workload domain model, and deployment profile applicability.</t>
  </si>
  <si>
    <t>Yes</t>
  </si>
  <si>
    <t>VCF 9.1 Core</t>
  </si>
  <si>
    <t>Top-Level Product</t>
  </si>
  <si>
    <t>Core VCF</t>
  </si>
  <si>
    <t>https://techdocs.broadcom.com/us/en/vmware-cis/vcf/vcf-9-0-and-later/9-1/release-notes/vmware-cloud-foundation-9-1-0-0-release-notes/what-s-new.html</t>
  </si>
  <si>
    <t>High</t>
  </si>
  <si>
    <t>Rebased from CN v0.2 to stabilize VCF 9.1 customer-assessment surface.</t>
  </si>
  <si>
    <t>PC-LIFECYCLE</t>
  </si>
  <si>
    <t>VCF Installer, SDDC Manager &amp; Lifecycle Services</t>
  </si>
  <si>
    <t>Lifecycle</t>
  </si>
  <si>
    <t>Covers Day 0 deployment, SDDC Manager orchestration, convergence/import, component lifecycle, software depot, and management-services lifecycle functions.</t>
  </si>
  <si>
    <t>Cloud Builder is represented here as a deployment/bring-up capability rather than as a top-level product.</t>
  </si>
  <si>
    <t>PC-VSPHERE</t>
  </si>
  <si>
    <t>vSphere Compute &amp; Management</t>
  </si>
  <si>
    <t>Compute</t>
  </si>
  <si>
    <t>Combines vCenter and ESX/ESXi compute-management capabilities into one customer-facing product/component group.</t>
  </si>
  <si>
    <t>vCenter and ESX are kept as feature groups under one product to reduce model churn.</t>
  </si>
  <si>
    <t>PC-VSAN</t>
  </si>
  <si>
    <t>vSAN &amp; Storage Services</t>
  </si>
  <si>
    <t>Storage</t>
  </si>
  <si>
    <t>Covers vSAN architecture, storage policies, resilience, file services, snapshots, external storage context, and storage data services.</t>
  </si>
  <si>
    <t>Includes vSAN ESA/OSA witness and file-services context from the BOM.</t>
  </si>
  <si>
    <t>PC-NSX-NET</t>
  </si>
  <si>
    <t>NSX Networking, Edge &amp; VPC Services</t>
  </si>
  <si>
    <t>Network</t>
  </si>
  <si>
    <t>Covers NSX network virtualization, transport, edge, routing, IP services, VPN, VPC constructs, and load-balancer integration context.</t>
  </si>
  <si>
    <t>Avi is tracked as an integration/add-on; NSX Load Balancer transition context remains relevant.</t>
  </si>
  <si>
    <t>PC-NSX-SEC</t>
  </si>
  <si>
    <t>NSX Security &amp; Firewall Services</t>
  </si>
  <si>
    <t>Security</t>
  </si>
  <si>
    <t>Covers NSX distributed security, gateway security, policy grouping, advanced threat services, security logging, and vDefend linkage.</t>
  </si>
  <si>
    <t>VCF 9.1 Core / Advanced</t>
  </si>
  <si>
    <t>Core plus add-on linkage</t>
  </si>
  <si>
    <t>https://www.vmware.com/docs/vmware-cloud-foundation-9-1-feature-comparison-and-upgrade-paths</t>
  </si>
  <si>
    <t>Medium</t>
  </si>
  <si>
    <t>Advanced Security/vDefend is kept in integration registry where separately licensed.</t>
  </si>
  <si>
    <t>PC-OPS</t>
  </si>
  <si>
    <t>VCF Operations &amp; Observability</t>
  </si>
  <si>
    <t>Operations</t>
  </si>
  <si>
    <t>Covers VCF Operations, cloud proxy, network/log observability, real-time metrics, compliance posture, management packs, and business/capacity visibility.</t>
  </si>
  <si>
    <t>Core VCF with advanced-service linkage</t>
  </si>
  <si>
    <t>https://techdocs.broadcom.com/us/en/vmware-cis/vcf/vcf-9-0-and-later/9-1/release-notes/vmware-cloud-foundation-9-1-0-0-release-notes/what-s-new/whats-new-vcf-ops.html</t>
  </si>
  <si>
    <t>VCF Operations for Networks and Logs are features/capabilities here, not separate products.</t>
  </si>
  <si>
    <t>PC-AUTOMATION</t>
  </si>
  <si>
    <t>VCF Automation &amp; Self-Service</t>
  </si>
  <si>
    <t>Automation</t>
  </si>
  <si>
    <t>Covers self-service private cloud consumption, organizations/projects, catalogs, policy, provisioning, and extensibility.</t>
  </si>
  <si>
    <t>https://techdocs.broadcom.com/us/en/vmware-cis/vcf/vcf-9-0-and-later/9-0/overview-of-vmware-cloud-foundation-9/what-is-vmware-cloud-foundation-and-vmware-vsphere-foundation/vcf-automation-overview.html</t>
  </si>
  <si>
    <t>Former Aria Automation capabilities are modeled here under VCF Automation.</t>
  </si>
  <si>
    <t>PC-VKS</t>
  </si>
  <si>
    <t>vSphere Kubernetes Service &amp; Application Platform</t>
  </si>
  <si>
    <t>Application Platform</t>
  </si>
  <si>
    <t>Covers Supervisor, VKS clusters, VM Service, supervisor services, registry, packages, ingress, and app platform services.</t>
  </si>
  <si>
    <t>Uses VKS terminology instead of broader legacy Tanzu naming.</t>
  </si>
  <si>
    <t>PC-MOBILITY</t>
  </si>
  <si>
    <t>HCX, Import, Converge &amp; Workload Mobility</t>
  </si>
  <si>
    <t>Migration</t>
  </si>
  <si>
    <t>Covers HCX lifecycle, workload migration, network extension, import/converge workflows, and migration governance.</t>
  </si>
  <si>
    <t>VCF 9.1 Core / Operations</t>
  </si>
  <si>
    <t>HCX is explicit in VCF BOM and material to migration feasibility.</t>
  </si>
  <si>
    <t>PC-RESILIENCE</t>
  </si>
  <si>
    <t>Protection, Recovery &amp; Resilience</t>
  </si>
  <si>
    <t>Resilience</t>
  </si>
  <si>
    <t>Covers VCF management backup/restore, replication, site recovery, vSAN snapshots, protection/recovery add-ons, and recovery validation.</t>
  </si>
  <si>
    <t>VCF 9.1 Add-on / Core linkage</t>
  </si>
  <si>
    <t>Separates resilience as an assessment axis because it strongly affects migration risk.</t>
  </si>
  <si>
    <t>PC-PRIVATEAI</t>
  </si>
  <si>
    <t>VCF Private AI Services</t>
  </si>
  <si>
    <t>AI</t>
  </si>
  <si>
    <t>Covers Private AI services, GPU/vGPU visibility, model runtime/store, AI blueprints, RAG/data indexing, and vector services.</t>
  </si>
  <si>
    <t>Core VCF capability with advanced-service linkage</t>
  </si>
  <si>
    <t>https://www.vmware.com/docs/vmware-cloud-foundation-9-1-general-faqs</t>
  </si>
  <si>
    <t>Included because VCF 9.1 positioning and APIs explicitly include Private AI services.</t>
  </si>
  <si>
    <t>Integration_ID</t>
  </si>
  <si>
    <t>Integration_Name</t>
  </si>
  <si>
    <t>Integration_Type</t>
  </si>
  <si>
    <t>Official_Status</t>
  </si>
  <si>
    <t>Core_or_AddOn</t>
  </si>
  <si>
    <t>Parent_Product_IDs</t>
  </si>
  <si>
    <t>Assessment_Relevance</t>
  </si>
  <si>
    <t>Include_By_Default</t>
  </si>
  <si>
    <t>Evidence_Source</t>
  </si>
  <si>
    <t>Evidence_Confidence</t>
  </si>
  <si>
    <t>INT-AVI</t>
  </si>
  <si>
    <t>VMware Avi Load Balancer / NSX Advanced Load Balancer</t>
  </si>
  <si>
    <t>Advanced Service / Add-on</t>
  </si>
  <si>
    <t>Interoperable VCF add-on</t>
  </si>
  <si>
    <t>Add-on</t>
  </si>
  <si>
    <t>PC-NSX-NET;PC-VKS;PC-AUTOMATION</t>
  </si>
  <si>
    <t>Conditional</t>
  </si>
  <si>
    <t>https://techdocs.broadcom.com/us/en/vmware-security-load-balancing/avi-load-balancer/avi-load-balancer-vmware-cloud-foundation/9-1.html</t>
  </si>
  <si>
    <t>Mandatory registry item for load balancing; not promoted to top-level product to avoid model churn.</t>
  </si>
  <si>
    <t>INT-NSX-LB-TRANS</t>
  </si>
  <si>
    <t>NSX Load Balancer transition to Avi</t>
  </si>
  <si>
    <t>Transition / Compatibility</t>
  </si>
  <si>
    <t>VCF 9.0/9.1 transition article</t>
  </si>
  <si>
    <t>Transition</t>
  </si>
  <si>
    <t>https://knowledge.broadcom.com/external/article/439411/nsx-load-balancer-to-vmware-avi-load-bal.html</t>
  </si>
  <si>
    <t>Track legacy NSX LB impact separately from core NSX networking.</t>
  </si>
  <si>
    <t>INT-DSM</t>
  </si>
  <si>
    <t>VMware Data Services Manager</t>
  </si>
  <si>
    <t>VCF add-on</t>
  </si>
  <si>
    <t>PC-VKS;PC-AUTOMATION;PC-VSAN</t>
  </si>
  <si>
    <t>Data services should not force a separate top-level product unless assessment scope requires it.</t>
  </si>
  <si>
    <t>INT-PROTECTION-RECOVERY</t>
  </si>
  <si>
    <t>Protection and Recovery Add-on</t>
  </si>
  <si>
    <t>Maps to Protection, Recovery &amp; Resilience product.</t>
  </si>
  <si>
    <t>INT-DEEP-LEARNING-VM</t>
  </si>
  <si>
    <t>Deep Learning VM</t>
  </si>
  <si>
    <t>Advanced Service / AI</t>
  </si>
  <si>
    <t>PC-PRIVATEAI;PC-VSPHERE</t>
  </si>
  <si>
    <t>Tracked under Private AI / compute integration.</t>
  </si>
  <si>
    <t>INT-OPS-NETWORKS</t>
  </si>
  <si>
    <t>VCF Operations for Networks</t>
  </si>
  <si>
    <t>Operations Component</t>
  </si>
  <si>
    <t>VCF BOM component</t>
  </si>
  <si>
    <t>Core/Component</t>
  </si>
  <si>
    <t>PC-OPS;PC-NSX-NET</t>
  </si>
  <si>
    <t>Feature group under VCF Operations &amp; Observability, not a product.</t>
  </si>
  <si>
    <t>INT-OPS-LOGS</t>
  </si>
  <si>
    <t>Log Management / VCF Operations for Logs</t>
  </si>
  <si>
    <t>Feature group under VCF Operations &amp; Observability.</t>
  </si>
  <si>
    <t>INT-CLOUD-PROXY</t>
  </si>
  <si>
    <t>Cloud Proxy</t>
  </si>
  <si>
    <t>Operations component, not assessment product.</t>
  </si>
  <si>
    <t>INT-LICENSE-SERVER</t>
  </si>
  <si>
    <t>VCF License Server</t>
  </si>
  <si>
    <t>Management Component</t>
  </si>
  <si>
    <t>PC-PLATFORM;PC-LIFECYCLE</t>
  </si>
  <si>
    <t>Licensing component; captured in platform/lifecycle features.</t>
  </si>
  <si>
    <t>INT-FLEET-LCM</t>
  </si>
  <si>
    <t>Fleet Lifecycle</t>
  </si>
  <si>
    <t>Lifecycle Component</t>
  </si>
  <si>
    <t>Required component binary</t>
  </si>
  <si>
    <t>PC-LIFECYCLE;PC-PLATFORM</t>
  </si>
  <si>
    <t>https://knowledge.broadcom.com/external/article/425089/required-component-binaries-for-vcf-91.html</t>
  </si>
  <si>
    <t>Lifecycle internal component; not product.</t>
  </si>
  <si>
    <t>INT-SDDC-LCM</t>
  </si>
  <si>
    <t>SDDC Lifecycle</t>
  </si>
  <si>
    <t>INT-SOFTWARE-DEPOT</t>
  </si>
  <si>
    <t>Software Depot</t>
  </si>
  <si>
    <t>Software supply/lifecycle component.</t>
  </si>
  <si>
    <t>INT-IDENTITY-BROKER</t>
  </si>
  <si>
    <t>VCF Identity Broker</t>
  </si>
  <si>
    <t>Identity Component</t>
  </si>
  <si>
    <t>Identity component represented under platform/lifecycle features.</t>
  </si>
  <si>
    <t>INT-SALT</t>
  </si>
  <si>
    <t>Salt Master and Salt RaaS</t>
  </si>
  <si>
    <t>Operations/Lifecycle Component</t>
  </si>
  <si>
    <t>PC-LIFECYCLE;PC-OPS</t>
  </si>
  <si>
    <t>Internal automation/lifecycle component; not product.</t>
  </si>
  <si>
    <t>INT-TELEMETRY</t>
  </si>
  <si>
    <t>Telemetry</t>
  </si>
  <si>
    <t>Operations telemetry component.</t>
  </si>
  <si>
    <t>INT-MSE</t>
  </si>
  <si>
    <t>Migration Service Engine</t>
  </si>
  <si>
    <t>VCF Service</t>
  </si>
  <si>
    <t>VCF service</t>
  </si>
  <si>
    <t>PC-MOBILITY;PC-LIFECYCLE</t>
  </si>
  <si>
    <t>Supports import/migration workflows.</t>
  </si>
  <si>
    <t>INT-RUNTIME</t>
  </si>
  <si>
    <t>VCF Services Runtime</t>
  </si>
  <si>
    <t>Management Runtime</t>
  </si>
  <si>
    <t>Common runtime for management services.</t>
  </si>
  <si>
    <t>INT-HARBOR</t>
  </si>
  <si>
    <t>Harbor / Container Registry</t>
  </si>
  <si>
    <t>Supervisor Service</t>
  </si>
  <si>
    <t>VCF/Supervisor service</t>
  </si>
  <si>
    <t>Registry capability under VKS/Application Platform.</t>
  </si>
  <si>
    <t>INT-ARGOCD</t>
  </si>
  <si>
    <t>Argo CD Supervisor Service</t>
  </si>
  <si>
    <t>PC-VKS;PC-AUTOMATION</t>
  </si>
  <si>
    <t>Application delivery service under VKS/Application Platform.</t>
  </si>
  <si>
    <t>INT-CONTOUR</t>
  </si>
  <si>
    <t>Contour Supervisor Service</t>
  </si>
  <si>
    <t>PC-VKS;PC-NSX-NET</t>
  </si>
  <si>
    <t>Ingress capability under VKS/Application Platform.</t>
  </si>
  <si>
    <t>INT-EXTERNAL-DNS</t>
  </si>
  <si>
    <t>External DNS Supervisor Service</t>
  </si>
  <si>
    <t>DNS automation integration for application platform.</t>
  </si>
  <si>
    <t>INT-ADV-CYBER</t>
  </si>
  <si>
    <t>VMware Advanced Cyber Compliance</t>
  </si>
  <si>
    <t>Advanced Service</t>
  </si>
  <si>
    <t>Advanced service</t>
  </si>
  <si>
    <t>PC-NSX-SEC;PC-OPS;PC-RESILIENCE</t>
  </si>
  <si>
    <t>Tracked as advanced service; not top-level product.</t>
  </si>
  <si>
    <t>INT-VDEFEND</t>
  </si>
  <si>
    <t>vDefend Firewall / Advanced Security</t>
  </si>
  <si>
    <t>Advanced Security Service</t>
  </si>
  <si>
    <t>Separately licensed advanced security capability.</t>
  </si>
  <si>
    <t>INT-BUSINESS-OPS</t>
  </si>
  <si>
    <t>Business Operations</t>
  </si>
  <si>
    <t>PC-OPS;PC-AUTOMATION</t>
  </si>
  <si>
    <t>Financial/business operations add-on context.</t>
  </si>
  <si>
    <t>INT-IDENTITY-SEC</t>
  </si>
  <si>
    <t>Identity Security</t>
  </si>
  <si>
    <t>PC-NSX-SEC;PC-PLATFORM</t>
  </si>
  <si>
    <t>Security add-on context for identity risk posture.</t>
  </si>
  <si>
    <t>INT-ECOSYSTEM</t>
  </si>
  <si>
    <t>ServiceNow / Ansible / Puppet / Salt / Infoblox / AD / IPAM integrations</t>
  </si>
  <si>
    <t>Ecosystem Integration</t>
  </si>
  <si>
    <t>External integration</t>
  </si>
  <si>
    <t>External</t>
  </si>
  <si>
    <t>PC-AUTOMATION;PC-OPS;PC-NSX-NET</t>
  </si>
  <si>
    <t>External integrations should not create product rows.</t>
  </si>
  <si>
    <t>Feature_ID</t>
  </si>
  <si>
    <t>Feature_Name</t>
  </si>
  <si>
    <t>Feature_Description</t>
  </si>
  <si>
    <t>Customer_Assessment_Prompt</t>
  </si>
  <si>
    <t>Default_Assessment_Level</t>
  </si>
  <si>
    <t>Requires_Functionality_Detail</t>
  </si>
  <si>
    <t>Default_Criticality</t>
  </si>
  <si>
    <t>Sovereignty_Relevance</t>
  </si>
  <si>
    <t>Primary_Analysis_Domain</t>
  </si>
  <si>
    <t>Capability_Group</t>
  </si>
  <si>
    <t>FT-PLATFORM-01</t>
  </si>
  <si>
    <t>Platform architecture and taxonomy</t>
  </si>
  <si>
    <t>VCF instance, fleet, and private-cloud boundary model.</t>
  </si>
  <si>
    <t>Does the customer depend on VCF-wide platform/fleet constructs and workload-domain taxonomy?</t>
  </si>
  <si>
    <t>Feature</t>
  </si>
  <si>
    <t>No</t>
  </si>
  <si>
    <t>Management</t>
  </si>
  <si>
    <t>Platform Governance</t>
  </si>
  <si>
    <t>CN v0.3 rebuilt cascade</t>
  </si>
  <si>
    <t>FT-PLATFORM-02</t>
  </si>
  <si>
    <t>Management domain and workload domain model</t>
  </si>
  <si>
    <t>Management domain and workload domain separation and composition.</t>
  </si>
  <si>
    <t>How important are VCF management/workload domain boundaries?</t>
  </si>
  <si>
    <t>Critical</t>
  </si>
  <si>
    <t>Domain Architecture</t>
  </si>
  <si>
    <t>FT-PLATFORM-03</t>
  </si>
  <si>
    <t>Fleet management and multi-instance governance</t>
  </si>
  <si>
    <t>Multi-instance VCF visibility and fleet-governance context.</t>
  </si>
  <si>
    <t>Does the customer manage multiple VCF instances or require fleet-level governance?</t>
  </si>
  <si>
    <t>Fleet Management</t>
  </si>
  <si>
    <t>FT-PLATFORM-04</t>
  </si>
  <si>
    <t>VCF management services deployment model</t>
  </si>
  <si>
    <t>Common runtime and management-services component model.</t>
  </si>
  <si>
    <t>Does the customer require explicit control over VCF management services placement and availability?</t>
  </si>
  <si>
    <t>Management Services</t>
  </si>
  <si>
    <t>https://techdocs.broadcom.com/us/en/vmware-cis/vcf/vcf-9-0-and-later/9-1/design/vmware-cloud-foundation-concepts/vcf-management-services-models.html</t>
  </si>
  <si>
    <t>FT-PLATFORM-05</t>
  </si>
  <si>
    <t>Identity, licensing and platform access context</t>
  </si>
  <si>
    <t>Platform identity, license server, and role context for VCF management.</t>
  </si>
  <si>
    <t>Are identity, licensing, and access-control mechanics material to the assessment?</t>
  </si>
  <si>
    <t>Access Governance</t>
  </si>
  <si>
    <t>FT-PLATFORM-06</t>
  </si>
  <si>
    <t>Deployment profile and edge applicability</t>
  </si>
  <si>
    <t>Standard, consolidated, edge, and site-topology applicability.</t>
  </si>
  <si>
    <t>Does the target environment include edge or constrained deployment profiles?</t>
  </si>
  <si>
    <t>Sovereignty</t>
  </si>
  <si>
    <t>Deployment Profile</t>
  </si>
  <si>
    <t>FT-LIFECYCLE-01</t>
  </si>
  <si>
    <t>VCF deployment and bring-up</t>
  </si>
  <si>
    <t>Installer-driven private-cloud deployment and bring-up workflows.</t>
  </si>
  <si>
    <t>Does the customer require VCF-style guided deployment and bring-up automation?</t>
  </si>
  <si>
    <t>Deployment Automation</t>
  </si>
  <si>
    <t>FT-LIFECYCLE-02</t>
  </si>
  <si>
    <t>SDDC Manager inventory and domain orchestration</t>
  </si>
  <si>
    <t>Domain inventory, domain creation, and orchestration functions.</t>
  </si>
  <si>
    <t>How important is SDDC Manager-style inventory and domain orchestration?</t>
  </si>
  <si>
    <t>Domain Orchestration</t>
  </si>
  <si>
    <t>FT-LIFECYCLE-03</t>
  </si>
  <si>
    <t>Converge and import workflows</t>
  </si>
  <si>
    <t>Brownfield import, converge, and environment onboarding workflows.</t>
  </si>
  <si>
    <t>Does the customer need import/converge paths from existing vSphere or VCF estates?</t>
  </si>
  <si>
    <t>Import and Converge</t>
  </si>
  <si>
    <t>https://knowledge.broadcom.com/external/article/440630/upgrade-sequence-and-related-issues-for.html</t>
  </si>
  <si>
    <t>FT-LIFECYCLE-04</t>
  </si>
  <si>
    <t>Fleet and SDDC lifecycle management</t>
  </si>
  <si>
    <t>Fleet lifecycle and SDDC lifecycle services.</t>
  </si>
  <si>
    <t>Is automated multi-component lifecycle management a required operating model capability?</t>
  </si>
  <si>
    <t>Lifecycle Orchestration</t>
  </si>
  <si>
    <t>FT-LIFECYCLE-05</t>
  </si>
  <si>
    <t>Software depot and download tooling</t>
  </si>
  <si>
    <t>Software depot, download tooling, bundles, and metadata management.</t>
  </si>
  <si>
    <t>Does the customer require controlled software depot and download workflows?</t>
  </si>
  <si>
    <t>Software Supply</t>
  </si>
  <si>
    <t>FT-LIFECYCLE-06</t>
  </si>
  <si>
    <t>Lifecycle prechecks and remediation workflows</t>
  </si>
  <si>
    <t>Precheck, validation, remediation, and failed-upgrade control.</t>
  </si>
  <si>
    <t>How important are built-in upgrade prechecks and remediation workflows?</t>
  </si>
  <si>
    <t>Risk Control</t>
  </si>
  <si>
    <t>FT-LIFECYCLE-07</t>
  </si>
  <si>
    <t>Certificate and password lifecycle</t>
  </si>
  <si>
    <t>Credential, certificate, and trust lifecycle operations.</t>
  </si>
  <si>
    <t>Does the customer require built-in certificate and password lifecycle automation?</t>
  </si>
  <si>
    <t>Credential Lifecycle</t>
  </si>
  <si>
    <t>FT-LIFECYCLE-08</t>
  </si>
  <si>
    <t>API and CLI lifecycle automation</t>
  </si>
  <si>
    <t>VCF Installer, SDDC Manager, lifecycle APIs, SDKs, and CLIs.</t>
  </si>
  <si>
    <t>Does the customer automate lifecycle operations through APIs/CLI?</t>
  </si>
  <si>
    <t>Lifecycle API</t>
  </si>
  <si>
    <t>https://techdocs.broadcom.com/us/en/vmware-cis/vcf/vcf-9-0-and-later/9-1/release-notes/vmware-cloud-foundation-9-1-0-0-release-notes/what-s-new/whats-new-vcf-cli-api-sdk/vcf-changelog.html</t>
  </si>
  <si>
    <t>FT-VSPHERE-01</t>
  </si>
  <si>
    <t>vCenter inventory and object management</t>
  </si>
  <si>
    <t>vCenter inventory, folders, clusters, datacenters, and object governance.</t>
  </si>
  <si>
    <t>How much does the customer depend on vCenter inventory and object management semantics?</t>
  </si>
  <si>
    <t>Management Plane</t>
  </si>
  <si>
    <t>FT-VSPHERE-02</t>
  </si>
  <si>
    <t>ESX host lifecycle and cluster management</t>
  </si>
  <si>
    <t>Host onboarding, clusters, maintenance, and hardware/host lifecycle.</t>
  </si>
  <si>
    <t>Is host and cluster lifecycle a material assessment requirement?</t>
  </si>
  <si>
    <t>Cluster Operations</t>
  </si>
  <si>
    <t>FT-VSPHERE-03</t>
  </si>
  <si>
    <t>VM lifecycle and templates</t>
  </si>
  <si>
    <t>VM creation, cloning, templates, images, and placement.</t>
  </si>
  <si>
    <t>Does the customer require mature VM lifecycle and template operations?</t>
  </si>
  <si>
    <t>VM Lifecycle</t>
  </si>
  <si>
    <t>FT-VSPHERE-04</t>
  </si>
  <si>
    <t>vMotion and live workload mobility</t>
  </si>
  <si>
    <t>Live VM migration and maintenance mobility.</t>
  </si>
  <si>
    <t>Are live migration and maintenance mobility required?</t>
  </si>
  <si>
    <t>Low</t>
  </si>
  <si>
    <t>Live Mobility</t>
  </si>
  <si>
    <t>FT-VSPHERE-05</t>
  </si>
  <si>
    <t>High availability and failure response</t>
  </si>
  <si>
    <t>vSphere HA and failure-response functions.</t>
  </si>
  <si>
    <t>What level of automated compute failure response is required?</t>
  </si>
  <si>
    <t>Availability</t>
  </si>
  <si>
    <t>FT-VSPHERE-06</t>
  </si>
  <si>
    <t>DRS and resource optimization</t>
  </si>
  <si>
    <t>Cluster scheduling, resource balancing, and performance optimization.</t>
  </si>
  <si>
    <t>Is automated resource optimization required?</t>
  </si>
  <si>
    <t>Resource Optimization</t>
  </si>
  <si>
    <t>FT-VSPHERE-07</t>
  </si>
  <si>
    <t>vSphere security and access control</t>
  </si>
  <si>
    <t>vSphere permissions, roles, lockdown, certificates, and secure configuration.</t>
  </si>
  <si>
    <t>Are vSphere security semantics and RBAC material to the target design?</t>
  </si>
  <si>
    <t>Compute Security</t>
  </si>
  <si>
    <t>FT-VSPHERE-08</t>
  </si>
  <si>
    <t>VM hardware, tools and console operations</t>
  </si>
  <si>
    <t>VM virtual hardware, VMware Tools, remote console, and guest operations.</t>
  </si>
  <si>
    <t>Are VM hardware compatibility, tools, and console operations material?</t>
  </si>
  <si>
    <t>Guest Operations</t>
  </si>
  <si>
    <t>FT-VSAN-01</t>
  </si>
  <si>
    <t>vSAN cluster architecture ESA/OSA</t>
  </si>
  <si>
    <t>vSAN architecture, disk groups, ESA/OSA, witness components, and cluster layout.</t>
  </si>
  <si>
    <t>Does the customer rely on vSAN architecture or ESA/OSA-specific behavior?</t>
  </si>
  <si>
    <t>Storage Architecture</t>
  </si>
  <si>
    <t>FT-VSAN-02</t>
  </si>
  <si>
    <t>Storage policy based management</t>
  </si>
  <si>
    <t>SPBM policies, placement, availability, and service-level intent.</t>
  </si>
  <si>
    <t>How important are storage policies and VM-level storage intent?</t>
  </si>
  <si>
    <t>Policy Based Storage</t>
  </si>
  <si>
    <t>FT-VSAN-03</t>
  </si>
  <si>
    <t>Resilience, fault domains and stretched clusters</t>
  </si>
  <si>
    <t>Fault domains, witness placement, stretched cluster and availability behavior.</t>
  </si>
  <si>
    <t>Does the customer require site/fault-domain aware storage resilience?</t>
  </si>
  <si>
    <t>Storage Resilience</t>
  </si>
  <si>
    <t>FT-VSAN-04</t>
  </si>
  <si>
    <t>Capacity efficiency and space management</t>
  </si>
  <si>
    <t>Deduplication, compression, capacity views, reclaim, and efficiency management.</t>
  </si>
  <si>
    <t>Are storage efficiency and capacity management required?</t>
  </si>
  <si>
    <t>Capacity Management</t>
  </si>
  <si>
    <t>FT-VSAN-05</t>
  </si>
  <si>
    <t>vSAN file services</t>
  </si>
  <si>
    <t>vSAN file services and NFS/file-service consumption.</t>
  </si>
  <si>
    <t>Does the customer use vSAN file services?</t>
  </si>
  <si>
    <t>File Services</t>
  </si>
  <si>
    <t>FT-VSAN-06</t>
  </si>
  <si>
    <t>vSAN data protection hooks and snapshots</t>
  </si>
  <si>
    <t>vSAN snapshots and protection/recovery integration hooks.</t>
  </si>
  <si>
    <t>Are vSAN snapshots and protection hooks material?</t>
  </si>
  <si>
    <t>Storage Protection</t>
  </si>
  <si>
    <t>FT-VSAN-07</t>
  </si>
  <si>
    <t>External storage and data services integration</t>
  </si>
  <si>
    <t>External storage integration and data service adjacency.</t>
  </si>
  <si>
    <t>Does the customer use external storage or data-service integrations alongside VCF?</t>
  </si>
  <si>
    <t>External Storage</t>
  </si>
  <si>
    <t>FT-NSX-NET-01</t>
  </si>
  <si>
    <t>NSX manager and policy model</t>
  </si>
  <si>
    <t>NSX management, policy objects, and API-driven network configuration.</t>
  </si>
  <si>
    <t>Does the customer depend on NSX policy object semantics?</t>
  </si>
  <si>
    <t>NSX Policy</t>
  </si>
  <si>
    <t>FT-NSX-NET-02</t>
  </si>
  <si>
    <t>Overlay networking and transport zones</t>
  </si>
  <si>
    <t>Overlay networking, segments, transport zones, and host transport configuration.</t>
  </si>
  <si>
    <t>Are NSX overlays and transport zones required?</t>
  </si>
  <si>
    <t>Overlay Networking</t>
  </si>
  <si>
    <t>FT-NSX-NET-03</t>
  </si>
  <si>
    <t>Tier-0/Tier-1 routing and gateways</t>
  </si>
  <si>
    <t>Gateway routing, T0/T1 topology, and route control.</t>
  </si>
  <si>
    <t>Does the customer require NSX gateway routing semantics?</t>
  </si>
  <si>
    <t>Gateway Routing</t>
  </si>
  <si>
    <t>FT-NSX-NET-04</t>
  </si>
  <si>
    <t>Edge cluster and edge node lifecycle</t>
  </si>
  <si>
    <t>Edge nodes, edge clusters, placement and lifecycle.</t>
  </si>
  <si>
    <t>Are NSX Edge placement and lifecycle materially required?</t>
  </si>
  <si>
    <t>Edge Lifecycle</t>
  </si>
  <si>
    <t>FT-NSX-NET-05</t>
  </si>
  <si>
    <t>NAT, DHCP and DNS services</t>
  </si>
  <si>
    <t>NSX IP services such as NAT, DHCP, and DNS forwarding.</t>
  </si>
  <si>
    <t>Does the customer rely on NSX embedded IP services?</t>
  </si>
  <si>
    <t>IP Services</t>
  </si>
  <si>
    <t>FT-NSX-NET-06</t>
  </si>
  <si>
    <t>VPN and remote connectivity</t>
  </si>
  <si>
    <t>IPsec/L2 VPN and remote connectivity functions.</t>
  </si>
  <si>
    <t>Does the customer use NSX VPN or extension capabilities?</t>
  </si>
  <si>
    <t>VPN Services</t>
  </si>
  <si>
    <t>FT-NSX-NET-07</t>
  </si>
  <si>
    <t>VPC/private cloud networking constructs</t>
  </si>
  <si>
    <t>VPC-like private-cloud networking and consumption constructs.</t>
  </si>
  <si>
    <t>Are VPC/private-cloud network constructs required for consumers?</t>
  </si>
  <si>
    <t>VPC Networking</t>
  </si>
  <si>
    <t>FT-NSX-NET-08</t>
  </si>
  <si>
    <t>Load-balancing service integration</t>
  </si>
  <si>
    <t>Load-balancer integration context, including Avi and NSX load-balancer transition.</t>
  </si>
  <si>
    <t>Does the customer require integrated L4/L7 load-balancing services?</t>
  </si>
  <si>
    <t>Functionality</t>
  </si>
  <si>
    <t>Load Balancing</t>
  </si>
  <si>
    <t>FT-NSX-SEC-01</t>
  </si>
  <si>
    <t>Distributed firewall and microsegmentation</t>
  </si>
  <si>
    <t>East-west firewalling, segmentation and microsegmentation policy.</t>
  </si>
  <si>
    <t>Does the customer require distributed firewall or microsegmentation?</t>
  </si>
  <si>
    <t>Microsegmentation</t>
  </si>
  <si>
    <t>FT-NSX-SEC-02</t>
  </si>
  <si>
    <t>Gateway firewall and perimeter policy</t>
  </si>
  <si>
    <t>North-south gateway firewall and perimeter control.</t>
  </si>
  <si>
    <t>Does the customer require gateway firewall behavior?</t>
  </si>
  <si>
    <t>Gateway Security</t>
  </si>
  <si>
    <t>FT-NSX-SEC-03</t>
  </si>
  <si>
    <t>Security groups and dynamic membership</t>
  </si>
  <si>
    <t>Groups, tags, dynamic membership and policy targeting.</t>
  </si>
  <si>
    <t>Does the customer depend on dynamic grouping and tagging semantics?</t>
  </si>
  <si>
    <t>Security Policy</t>
  </si>
  <si>
    <t>FT-NSX-SEC-04</t>
  </si>
  <si>
    <t>IDS/IPS and advanced threat controls</t>
  </si>
  <si>
    <t>Advanced security controls such as IDS/IPS and threat detection linkage.</t>
  </si>
  <si>
    <t>Does the customer require advanced threat inspection capabilities?</t>
  </si>
  <si>
    <t>Threat Controls</t>
  </si>
  <si>
    <t>FT-NSX-SEC-05</t>
  </si>
  <si>
    <t>Network security logging and compliance evidence</t>
  </si>
  <si>
    <t>Firewall/log evidence and compliance reporting context.</t>
  </si>
  <si>
    <t>Are security logs and compliance evidence required for network controls?</t>
  </si>
  <si>
    <t>Security Evidence</t>
  </si>
  <si>
    <t>FT-NSX-SEC-06</t>
  </si>
  <si>
    <t>vDefend and Advanced Security integration</t>
  </si>
  <si>
    <t>Separately licensed advanced security service linkage.</t>
  </si>
  <si>
    <t>Is vDefend/Advanced Security in scope for comparator evaluation?</t>
  </si>
  <si>
    <t>Advanced Security</t>
  </si>
  <si>
    <t>FT-OPS-01</t>
  </si>
  <si>
    <t>Infrastructure health and operations dashboards</t>
  </si>
  <si>
    <t>VCF Operations views for infrastructure health, alerts, and operational status.</t>
  </si>
  <si>
    <t>Does the customer rely on VCF Operations for health and operational visibility?</t>
  </si>
  <si>
    <t>Health Operations</t>
  </si>
  <si>
    <t>FT-OPS-02</t>
  </si>
  <si>
    <t>Capacity, cost and performance management</t>
  </si>
  <si>
    <t>Capacity, cost, performance and optimization views.</t>
  </si>
  <si>
    <t>Are capacity, cost, or performance planning functions required?</t>
  </si>
  <si>
    <t>FT-OPS-03</t>
  </si>
  <si>
    <t>Log management and troubleshooting</t>
  </si>
  <si>
    <t>VCF Operations for Logs/log management and troubleshooting workflows.</t>
  </si>
  <si>
    <t>Does the customer require integrated log management?</t>
  </si>
  <si>
    <t>Log Operations</t>
  </si>
  <si>
    <t>FT-OPS-04</t>
  </si>
  <si>
    <t>Network observability and flow analytics</t>
  </si>
  <si>
    <t>VCF Operations for Networks, network topology, flow and dependency visibility.</t>
  </si>
  <si>
    <t>Does the customer rely on network observability or flow analytics?</t>
  </si>
  <si>
    <t>Network Observability</t>
  </si>
  <si>
    <t>FT-OPS-05</t>
  </si>
  <si>
    <t>Real-time metrics and metrics store</t>
  </si>
  <si>
    <t>Real-time metrics components and data store.</t>
  </si>
  <si>
    <t>Are real-time metrics required for operations or automation?</t>
  </si>
  <si>
    <t>Metrics</t>
  </si>
  <si>
    <t>FT-OPS-06</t>
  </si>
  <si>
    <t>Compliance posture and configuration drift</t>
  </si>
  <si>
    <t>Compliance, drift, and security posture visibility.</t>
  </si>
  <si>
    <t>Does the customer require compliance posture and drift management?</t>
  </si>
  <si>
    <t>Compliance Operations</t>
  </si>
  <si>
    <t>FT-OPS-07</t>
  </si>
  <si>
    <t>Management packs and external telemetry ingestion</t>
  </si>
  <si>
    <t>Management packs, Prometheus and third-party telemetry integration.</t>
  </si>
  <si>
    <t>Does the customer need external telemetry ingestion?</t>
  </si>
  <si>
    <t>Telemetry Integration</t>
  </si>
  <si>
    <t>FT-OPS-08</t>
  </si>
  <si>
    <t>VCF Operations orchestrator workflows</t>
  </si>
  <si>
    <t>Operational workflows, orchestration and runbook context.</t>
  </si>
  <si>
    <t>Are operational workflows and orchestrated actions required?</t>
  </si>
  <si>
    <t>Operations Automation</t>
  </si>
  <si>
    <t>FT-OPS-09</t>
  </si>
  <si>
    <t>Business operations and financial visibility</t>
  </si>
  <si>
    <t>Business operations, chargeback/showback, and financial visibility.</t>
  </si>
  <si>
    <t>Does the customer require business operations or cost transparency?</t>
  </si>
  <si>
    <t>FT-AUTOMATION-01</t>
  </si>
  <si>
    <t>Organizations, projects and tenancy</t>
  </si>
  <si>
    <t>Org/project tenancy and access-control segmentation for cloud consumers.</t>
  </si>
  <si>
    <t>Does the customer require provider/tenant organization and project governance?</t>
  </si>
  <si>
    <t>Tenancy</t>
  </si>
  <si>
    <t>FT-AUTOMATION-02</t>
  </si>
  <si>
    <t>Self-service catalog and blueprints</t>
  </si>
  <si>
    <t>Catalog items, blueprints/templates, and service consumption.</t>
  </si>
  <si>
    <t>Does the customer require self-service catalog and blueprint capabilities?</t>
  </si>
  <si>
    <t>Catalog</t>
  </si>
  <si>
    <t>FT-AUTOMATION-03</t>
  </si>
  <si>
    <t>Policy governance and approvals</t>
  </si>
  <si>
    <t>Policy controls, approvals, limits, leases and guardrails.</t>
  </si>
  <si>
    <t>Are governance policies and approvals required for provisioning?</t>
  </si>
  <si>
    <t>Governance</t>
  </si>
  <si>
    <t>FT-AUTOMATION-04</t>
  </si>
  <si>
    <t>Infrastructure provisioning for VM apps</t>
  </si>
  <si>
    <t>Provisioning VM-based applications and infrastructure services.</t>
  </si>
  <si>
    <t>Does the customer provision VM apps through automation?</t>
  </si>
  <si>
    <t>Provisioning</t>
  </si>
  <si>
    <t>FT-AUTOMATION-05</t>
  </si>
  <si>
    <t>VPC and IaaS consumption services</t>
  </si>
  <si>
    <t>IaaS/VPC consumption models for application teams.</t>
  </si>
  <si>
    <t>Are VPC-style or IaaS consumption services required?</t>
  </si>
  <si>
    <t>IaaS Consumption</t>
  </si>
  <si>
    <t>FT-AUTOMATION-06</t>
  </si>
  <si>
    <t>Extensibility, events and orchestrator integration</t>
  </si>
  <si>
    <t>Event broker, workflows, orchestrator integration and custom actions.</t>
  </si>
  <si>
    <t>Does the customer require extensibility and workflow integration?</t>
  </si>
  <si>
    <t>Extensibility</t>
  </si>
  <si>
    <t>FT-AUTOMATION-07</t>
  </si>
  <si>
    <t>External ecosystem integrations</t>
  </si>
  <si>
    <t>Integrations with ServiceNow, Ansible, Puppet, Salt, Infoblox, AD/IPAM and related systems.</t>
  </si>
  <si>
    <t>Are external ecosystem integrations required?</t>
  </si>
  <si>
    <t>FT-VKS-01</t>
  </si>
  <si>
    <t>Supervisor activation and lifecycle</t>
  </si>
  <si>
    <t>vSphere Supervisor activation, lifecycle, and service configuration.</t>
  </si>
  <si>
    <t>Does the customer use or require Supervisor capability?</t>
  </si>
  <si>
    <t>Supervisor</t>
  </si>
  <si>
    <t>FT-VKS-02</t>
  </si>
  <si>
    <t>VKS cluster provisioning and lifecycle</t>
  </si>
  <si>
    <t>VKS cluster provisioning, upgrade and lifecycle control.</t>
  </si>
  <si>
    <t>Does the customer require VKS cluster lifecycle management?</t>
  </si>
  <si>
    <t>Kubernetes Lifecycle</t>
  </si>
  <si>
    <t>FT-VKS-03</t>
  </si>
  <si>
    <t>VM Service and fast deploy</t>
  </si>
  <si>
    <t>VM Service and fast-deploy capabilities for VM workloads.</t>
  </si>
  <si>
    <t>Does the customer require VM Service or fast-deploy behavior?</t>
  </si>
  <si>
    <t>VM Service</t>
  </si>
  <si>
    <t>FT-VKS-04</t>
  </si>
  <si>
    <t>Supervisor services and packages</t>
  </si>
  <si>
    <t>Supervisor services such as Harbor, Argo CD, Contour, External DNS, and related packages.</t>
  </si>
  <si>
    <t>Which Supervisor services are required for the application platform?</t>
  </si>
  <si>
    <t>Supervisor Services</t>
  </si>
  <si>
    <t>FT-VKS-05</t>
  </si>
  <si>
    <t>Container registry and image services</t>
  </si>
  <si>
    <t>Harbor/container registry and image governance capabilities.</t>
  </si>
  <si>
    <t>Does the customer require an integrated container registry?</t>
  </si>
  <si>
    <t>Registry</t>
  </si>
  <si>
    <t>FT-VKS-06</t>
  </si>
  <si>
    <t>Kubernetes networking and ingress/load-balancer integration</t>
  </si>
  <si>
    <t>Kubernetes networking, ingress, Contour, and load-balancer integration.</t>
  </si>
  <si>
    <t>Are Kubernetes ingress and load-balancing services required?</t>
  </si>
  <si>
    <t>Ingress</t>
  </si>
  <si>
    <t>FT-VKS-07</t>
  </si>
  <si>
    <t>Persistent storage and data services integration</t>
  </si>
  <si>
    <t>Persistent volumes, storage classes, DSM and data-service adjacency.</t>
  </si>
  <si>
    <t>Does the customer require integrated data services or persistent storage for Kubernetes?</t>
  </si>
  <si>
    <t>Data Services</t>
  </si>
  <si>
    <t>FT-MOBILITY-01</t>
  </si>
  <si>
    <t>HCX deployment and lifecycle</t>
  </si>
  <si>
    <t>HCX component deployment, import and lifecycle management.</t>
  </si>
  <si>
    <t>Is HCX deployment and lifecycle in scope?</t>
  </si>
  <si>
    <t>HCX Lifecycle</t>
  </si>
  <si>
    <t>FT-MOBILITY-02</t>
  </si>
  <si>
    <t>Workload migration services</t>
  </si>
  <si>
    <t>Bulk, live, replicated or scheduled migration services.</t>
  </si>
  <si>
    <t>Does the customer require workload migration services?</t>
  </si>
  <si>
    <t>Workload Migration</t>
  </si>
  <si>
    <t>FT-MOBILITY-03</t>
  </si>
  <si>
    <t>Network extension and mobility groups</t>
  </si>
  <si>
    <t>Layer-2 extension, mobility groups and network cutover support.</t>
  </si>
  <si>
    <t>Does the migration require network extension or mobility groups?</t>
  </si>
  <si>
    <t>Network Extension</t>
  </si>
  <si>
    <t>FT-MOBILITY-04</t>
  </si>
  <si>
    <t>Import existing environments</t>
  </si>
  <si>
    <t>Import existing vCenter/NSX environments into VCF domain governance.</t>
  </si>
  <si>
    <t>Does the customer need to import existing environments?</t>
  </si>
  <si>
    <t>Import</t>
  </si>
  <si>
    <t>FT-MOBILITY-05</t>
  </si>
  <si>
    <t>Migration assessment and cutover governance</t>
  </si>
  <si>
    <t>Migration planning, validation, waves, rollback and cutover governance.</t>
  </si>
  <si>
    <t>Are migration assessment and cutover governance required?</t>
  </si>
  <si>
    <t>Cutover Governance</t>
  </si>
  <si>
    <t>FT-RESILIENCE-01</t>
  </si>
  <si>
    <t>VCF management backup and restore</t>
  </si>
  <si>
    <t>Backup/restore of management components and platform state.</t>
  </si>
  <si>
    <t>Does the customer require VCF management backup and restore parity?</t>
  </si>
  <si>
    <t>Management Protection</t>
  </si>
  <si>
    <t>FT-RESILIENCE-02</t>
  </si>
  <si>
    <t>VM and workload replication</t>
  </si>
  <si>
    <t>VM replication and workload protection capabilities.</t>
  </si>
  <si>
    <t>Are VM/workload replication capabilities required?</t>
  </si>
  <si>
    <t>Replication</t>
  </si>
  <si>
    <t>FT-RESILIENCE-03</t>
  </si>
  <si>
    <t>Site recovery orchestration</t>
  </si>
  <si>
    <t>Site recovery, failover orchestration and recovery-plan management.</t>
  </si>
  <si>
    <t>Does the customer require site recovery orchestration?</t>
  </si>
  <si>
    <t>Site Recovery</t>
  </si>
  <si>
    <t>FT-RESILIENCE-04</t>
  </si>
  <si>
    <t>vSAN data protection and snapshots</t>
  </si>
  <si>
    <t>vSAN snapshot and data protection APIs/services.</t>
  </si>
  <si>
    <t>Does the customer require vSAN data protection features?</t>
  </si>
  <si>
    <t>vSAN Protection</t>
  </si>
  <si>
    <t>FT-RESILIENCE-05</t>
  </si>
  <si>
    <t>Resilience operations and recovery validation</t>
  </si>
  <si>
    <t>Recovery testing, observability, evidence and operational readiness.</t>
  </si>
  <si>
    <t>Are recovery validation and resilience evidence required?</t>
  </si>
  <si>
    <t>Recovery Assurance</t>
  </si>
  <si>
    <t>FT-PRIVATEAI-01</t>
  </si>
  <si>
    <t>Private AI platform services</t>
  </si>
  <si>
    <t>Private AI service foundations and platform capability exposure.</t>
  </si>
  <si>
    <t>Is Private AI in scope for this assessment?</t>
  </si>
  <si>
    <t>AI Platform</t>
  </si>
  <si>
    <t>FT-PRIVATEAI-02</t>
  </si>
  <si>
    <t>GPU/vGPU infrastructure visibility</t>
  </si>
  <si>
    <t>GPU/vGPU inventory, allocation visibility and infrastructure readiness.</t>
  </si>
  <si>
    <t>Does the customer require GPU/vGPU operational visibility?</t>
  </si>
  <si>
    <t>GPU Operations</t>
  </si>
  <si>
    <t>FT-PRIVATEAI-03</t>
  </si>
  <si>
    <t>Model runtime/store and AI blueprints</t>
  </si>
  <si>
    <t>Model runtime, model store, AI blueprints and provisioning patterns.</t>
  </si>
  <si>
    <t>Does the customer require model runtime/store and AI blueprints?</t>
  </si>
  <si>
    <t>AI Runtime</t>
  </si>
  <si>
    <t>FT-PRIVATEAI-04</t>
  </si>
  <si>
    <t>RAG, data indexing and vector services</t>
  </si>
  <si>
    <t>Retrieval augmented generation support, data indexing and vector database service context.</t>
  </si>
  <si>
    <t>Does the customer require RAG/data indexing/vector service support?</t>
  </si>
  <si>
    <t>RAG Data Services</t>
  </si>
  <si>
    <t>Functionality_Name</t>
  </si>
  <si>
    <t>Functionality_Description</t>
  </si>
  <si>
    <t>Includes</t>
  </si>
  <si>
    <t>Excludes</t>
  </si>
  <si>
    <t>Comparator_Evaluation_Question</t>
  </si>
  <si>
    <t>Evidence_Expectation</t>
  </si>
  <si>
    <t>AI_Seed_Search_Terms</t>
  </si>
  <si>
    <t>Assessment_Enabled</t>
  </si>
  <si>
    <t>FN-PLATFORM-01-01</t>
  </si>
  <si>
    <t>VCF instance and fleet boundary definition</t>
  </si>
  <si>
    <t>Major functionality for vcf instance and fleet boundary definition.</t>
  </si>
  <si>
    <t>Includes major assessment behavior for vcf instance and fleet boundary definition in the context of platform architecture and taxonomy.</t>
  </si>
  <si>
    <t>Excludes low-level configuration toggles, cosmetic UI behavior, and implementation-specific inventory minutiae unless they materially affect parity or risk.</t>
  </si>
  <si>
    <t>Can the comparator provide defensible parity for vcf instance and fleet boundary definition with supportable evidence and acceptable operational impact?</t>
  </si>
  <si>
    <t>Official vendor documentation, release notes, validated KB/article, product guide, or architecture reference with version applicability.</t>
  </si>
  <si>
    <t>VCF 9.1 Platform architecture and taxonomy VCF instance and fleet boundary definition comparator parity evidence</t>
  </si>
  <si>
    <t>Seeded from VCF 9.1 top-level product/component scope.</t>
  </si>
  <si>
    <t>FN-PLATFORM-01-02</t>
  </si>
  <si>
    <t>Private-cloud taxonomy and component scope</t>
  </si>
  <si>
    <t>Major functionality for private-cloud taxonomy and component scope.</t>
  </si>
  <si>
    <t>Includes major assessment behavior for private-cloud taxonomy and component scope in the context of platform architecture and taxonomy.</t>
  </si>
  <si>
    <t>Can the comparator provide defensible parity for private-cloud taxonomy and component scope with supportable evidence and acceptable operational impact?</t>
  </si>
  <si>
    <t>VCF 9.1 Platform architecture and taxonomy Private-cloud taxonomy and component scope comparator parity evidence</t>
  </si>
  <si>
    <t>FN-PLATFORM-01-03</t>
  </si>
  <si>
    <t>Platform role and responsibility mapping</t>
  </si>
  <si>
    <t>Major functionality for platform role and responsibility mapping.</t>
  </si>
  <si>
    <t>Includes major assessment behavior for platform role and responsibility mapping in the context of platform architecture and taxonomy.</t>
  </si>
  <si>
    <t>Can the comparator provide defensible parity for platform role and responsibility mapping with supportable evidence and acceptable operational impact?</t>
  </si>
  <si>
    <t>VCF 9.1 Platform architecture and taxonomy Platform role and responsibility mapping comparator parity evidence</t>
  </si>
  <si>
    <t>FN-PLATFORM-02-01</t>
  </si>
  <si>
    <t>Management domain separation</t>
  </si>
  <si>
    <t>Major functionality for management domain separation.</t>
  </si>
  <si>
    <t>Includes major assessment behavior for management domain separation in the context of management domain and workload domain model.</t>
  </si>
  <si>
    <t>Can the comparator provide defensible parity for management domain separation with supportable evidence and acceptable operational impact?</t>
  </si>
  <si>
    <t>VCF 9.1 Management domain and workload domain model Management domain separation comparator parity evidence</t>
  </si>
  <si>
    <t>FN-PLATFORM-02-02</t>
  </si>
  <si>
    <t>Workload domain creation and control</t>
  </si>
  <si>
    <t>Major functionality for workload domain creation and control.</t>
  </si>
  <si>
    <t>Includes major assessment behavior for workload domain creation and control in the context of management domain and workload domain model.</t>
  </si>
  <si>
    <t>Can the comparator provide defensible parity for workload domain creation and control with supportable evidence and acceptable operational impact?</t>
  </si>
  <si>
    <t>VCF 9.1 Management domain and workload domain model Workload domain creation and control comparator parity evidence</t>
  </si>
  <si>
    <t>FN-PLATFORM-02-03</t>
  </si>
  <si>
    <t>Domain-specific cluster and component mapping</t>
  </si>
  <si>
    <t>Major functionality for domain-specific cluster and component mapping.</t>
  </si>
  <si>
    <t>Includes major assessment behavior for domain-specific cluster and component mapping in the context of management domain and workload domain model.</t>
  </si>
  <si>
    <t>Can the comparator provide defensible parity for domain-specific cluster and component mapping with supportable evidence and acceptable operational impact?</t>
  </si>
  <si>
    <t>VCF 9.1 Management domain and workload domain model Domain-specific cluster and component mapping comparator parity evidence</t>
  </si>
  <si>
    <t>FN-PLATFORM-03-01</t>
  </si>
  <si>
    <t>Fleet inventory visibility</t>
  </si>
  <si>
    <t>Major functionality for fleet inventory visibility.</t>
  </si>
  <si>
    <t>Includes major assessment behavior for fleet inventory visibility in the context of fleet management and multi-instance governance.</t>
  </si>
  <si>
    <t>Can the comparator provide defensible parity for fleet inventory visibility with supportable evidence and acceptable operational impact?</t>
  </si>
  <si>
    <t>VCF 9.1 Fleet management and multi-instance governance Fleet inventory visibility comparator parity evidence</t>
  </si>
  <si>
    <t>FN-PLATFORM-03-02</t>
  </si>
  <si>
    <t>Multi-instance operational governance</t>
  </si>
  <si>
    <t>Major functionality for multi-instance operational governance.</t>
  </si>
  <si>
    <t>Includes major assessment behavior for multi-instance operational governance in the context of fleet management and multi-instance governance.</t>
  </si>
  <si>
    <t>Can the comparator provide defensible parity for multi-instance operational governance with supportable evidence and acceptable operational impact?</t>
  </si>
  <si>
    <t>VCF 9.1 Fleet management and multi-instance governance Multi-instance operational governance comparator parity evidence</t>
  </si>
  <si>
    <t>FN-PLATFORM-03-03</t>
  </si>
  <si>
    <t>Fleet-level policy and version awareness</t>
  </si>
  <si>
    <t>Major functionality for fleet-level policy and version awareness.</t>
  </si>
  <si>
    <t>Includes major assessment behavior for fleet-level policy and version awareness in the context of fleet management and multi-instance governance.</t>
  </si>
  <si>
    <t>Can the comparator provide defensible parity for fleet-level policy and version awareness with supportable evidence and acceptable operational impact?</t>
  </si>
  <si>
    <t>VCF 9.1 Fleet management and multi-instance governance Fleet-level policy and version awareness comparator parity evidence</t>
  </si>
  <si>
    <t>FN-PLATFORM-04-01</t>
  </si>
  <si>
    <t>Management services placement model</t>
  </si>
  <si>
    <t>Major functionality for management services placement model.</t>
  </si>
  <si>
    <t>Includes major assessment behavior for management services placement model in the context of vcf management services deployment model.</t>
  </si>
  <si>
    <t>Can the comparator provide defensible parity for management services placement model with supportable evidence and acceptable operational impact?</t>
  </si>
  <si>
    <t>VCF 9.1 VCF management services deployment model Management services placement model comparator parity evidence</t>
  </si>
  <si>
    <t>FN-PLATFORM-04-02</t>
  </si>
  <si>
    <t>Management services availability model</t>
  </si>
  <si>
    <t>Major functionality for management services availability model.</t>
  </si>
  <si>
    <t>Includes major assessment behavior for management services availability model in the context of vcf management services deployment model.</t>
  </si>
  <si>
    <t>Can the comparator provide defensible parity for management services availability model with supportable evidence and acceptable operational impact?</t>
  </si>
  <si>
    <t>VCF 9.1 VCF management services deployment model Management services availability model comparator parity evidence</t>
  </si>
  <si>
    <t>FN-PLATFORM-04-03</t>
  </si>
  <si>
    <t>Management services network requirements</t>
  </si>
  <si>
    <t>Major functionality for management services network requirements.</t>
  </si>
  <si>
    <t>Includes major assessment behavior for management services network requirements in the context of vcf management services deployment model.</t>
  </si>
  <si>
    <t>Can the comparator provide defensible parity for management services network requirements with supportable evidence and acceptable operational impact?</t>
  </si>
  <si>
    <t>VCF 9.1 VCF management services deployment model Management services network requirements comparator parity evidence</t>
  </si>
  <si>
    <t>FN-PLATFORM-05-01</t>
  </si>
  <si>
    <t>License server integration</t>
  </si>
  <si>
    <t>Major functionality for license server integration.</t>
  </si>
  <si>
    <t>Includes major assessment behavior for license server integration in the context of identity, licensing and platform access context.</t>
  </si>
  <si>
    <t>Can the comparator provide defensible parity for license server integration with supportable evidence and acceptable operational impact?</t>
  </si>
  <si>
    <t>VCF 9.1 Identity, licensing and platform access context License server integration comparator parity evidence</t>
  </si>
  <si>
    <t>FN-PLATFORM-05-02</t>
  </si>
  <si>
    <t>Identity broker and authentication integration</t>
  </si>
  <si>
    <t>Major functionality for identity broker and authentication integration.</t>
  </si>
  <si>
    <t>Includes major assessment behavior for identity broker and authentication integration in the context of identity, licensing and platform access context.</t>
  </si>
  <si>
    <t>Can the comparator provide defensible parity for identity broker and authentication integration with supportable evidence and acceptable operational impact?</t>
  </si>
  <si>
    <t>VCF 9.1 Identity, licensing and platform access context Identity broker and authentication integration comparator parity evidence</t>
  </si>
  <si>
    <t>FN-PLATFORM-05-03</t>
  </si>
  <si>
    <t>Role and access governance context</t>
  </si>
  <si>
    <t>Major functionality for role and access governance context.</t>
  </si>
  <si>
    <t>Includes major assessment behavior for role and access governance context in the context of identity, licensing and platform access context.</t>
  </si>
  <si>
    <t>Can the comparator provide defensible parity for role and access governance context with supportable evidence and acceptable operational impact?</t>
  </si>
  <si>
    <t>VCF 9.1 Identity, licensing and platform access context Role and access governance context comparator parity evidence</t>
  </si>
  <si>
    <t>FN-PLATFORM-06-01</t>
  </si>
  <si>
    <t>Standard deployment profile support</t>
  </si>
  <si>
    <t>Major functionality for standard deployment profile support.</t>
  </si>
  <si>
    <t>Includes major assessment behavior for standard deployment profile support in the context of deployment profile and edge applicability.</t>
  </si>
  <si>
    <t>Can the comparator provide defensible parity for standard deployment profile support with supportable evidence and acceptable operational impact?</t>
  </si>
  <si>
    <t>VCF 9.1 Deployment profile and edge applicability Standard deployment profile support comparator parity evidence</t>
  </si>
  <si>
    <t>FN-PLATFORM-06-02</t>
  </si>
  <si>
    <t>Edge/constrained profile applicability</t>
  </si>
  <si>
    <t>Major functionality for edge/constrained profile applicability.</t>
  </si>
  <si>
    <t>Includes major assessment behavior for edge/constrained profile applicability in the context of deployment profile and edge applicability.</t>
  </si>
  <si>
    <t>Can the comparator provide defensible parity for edge/constrained profile applicability with supportable evidence and acceptable operational impact?</t>
  </si>
  <si>
    <t>VCF 9.1 Deployment profile and edge applicability Edge/constrained profile applicability comparator parity evidence</t>
  </si>
  <si>
    <t>FN-PLATFORM-06-03</t>
  </si>
  <si>
    <t>Site topology and placement constraints</t>
  </si>
  <si>
    <t>Major functionality for site topology and placement constraints.</t>
  </si>
  <si>
    <t>Includes major assessment behavior for site topology and placement constraints in the context of deployment profile and edge applicability.</t>
  </si>
  <si>
    <t>Can the comparator provide defensible parity for site topology and placement constraints with supportable evidence and acceptable operational impact?</t>
  </si>
  <si>
    <t>VCF 9.1 Deployment profile and edge applicability Site topology and placement constraints comparator parity evidence</t>
  </si>
  <si>
    <t>FN-LIFECYCLE-01-01</t>
  </si>
  <si>
    <t>Deployment specification validation</t>
  </si>
  <si>
    <t>Major functionality for deployment specification validation.</t>
  </si>
  <si>
    <t>Includes major assessment behavior for deployment specification validation in the context of vcf deployment and bring-up.</t>
  </si>
  <si>
    <t>Can the comparator provide defensible parity for deployment specification validation with supportable evidence and acceptable operational impact?</t>
  </si>
  <si>
    <t>VCF 9.1 VCF deployment and bring-up Deployment specification validation comparator parity evidence</t>
  </si>
  <si>
    <t>FN-LIFECYCLE-01-02</t>
  </si>
  <si>
    <t>Installer-driven management domain bring-up</t>
  </si>
  <si>
    <t>Major functionality for installer-driven management domain bring-up.</t>
  </si>
  <si>
    <t>Includes major assessment behavior for installer-driven management domain bring-up in the context of vcf deployment and bring-up.</t>
  </si>
  <si>
    <t>Can the comparator provide defensible parity for installer-driven management domain bring-up with supportable evidence and acceptable operational impact?</t>
  </si>
  <si>
    <t>VCF 9.1 VCF deployment and bring-up Installer-driven management domain bring-up comparator parity evidence</t>
  </si>
  <si>
    <t>FN-LIFECYCLE-01-03</t>
  </si>
  <si>
    <t>Component binary preparation for deployment</t>
  </si>
  <si>
    <t>Major functionality for component binary preparation for deployment.</t>
  </si>
  <si>
    <t>Includes major assessment behavior for component binary preparation for deployment in the context of vcf deployment and bring-up.</t>
  </si>
  <si>
    <t>Can the comparator provide defensible parity for component binary preparation for deployment with supportable evidence and acceptable operational impact?</t>
  </si>
  <si>
    <t>VCF 9.1 VCF deployment and bring-up Component binary preparation for deployment comparator parity evidence</t>
  </si>
  <si>
    <t>FN-LIFECYCLE-02-01</t>
  </si>
  <si>
    <t>VCF domain inventory model</t>
  </si>
  <si>
    <t>Major functionality for vcf domain inventory model.</t>
  </si>
  <si>
    <t>Includes major assessment behavior for vcf domain inventory model in the context of sddc manager inventory and domain orchestration.</t>
  </si>
  <si>
    <t>Can the comparator provide defensible parity for vcf domain inventory model with supportable evidence and acceptable operational impact?</t>
  </si>
  <si>
    <t>VCF 9.1 SDDC Manager inventory and domain orchestration VCF domain inventory model comparator parity evidence</t>
  </si>
  <si>
    <t>FN-LIFECYCLE-02-02</t>
  </si>
  <si>
    <t>Domain creation orchestration</t>
  </si>
  <si>
    <t>Major functionality for domain creation orchestration.</t>
  </si>
  <si>
    <t>Includes major assessment behavior for domain creation orchestration in the context of sddc manager inventory and domain orchestration.</t>
  </si>
  <si>
    <t>Can the comparator provide defensible parity for domain creation orchestration with supportable evidence and acceptable operational impact?</t>
  </si>
  <si>
    <t>VCF 9.1 SDDC Manager inventory and domain orchestration Domain creation orchestration comparator parity evidence</t>
  </si>
  <si>
    <t>FN-LIFECYCLE-02-03</t>
  </si>
  <si>
    <t>Host and cluster domain expansion</t>
  </si>
  <si>
    <t>Major functionality for host and cluster domain expansion.</t>
  </si>
  <si>
    <t>Includes major assessment behavior for host and cluster domain expansion in the context of sddc manager inventory and domain orchestration.</t>
  </si>
  <si>
    <t>Can the comparator provide defensible parity for host and cluster domain expansion with supportable evidence and acceptable operational impact?</t>
  </si>
  <si>
    <t>VCF 9.1 SDDC Manager inventory and domain orchestration Host and cluster domain expansion comparator parity evidence</t>
  </si>
  <si>
    <t>FN-LIFECYCLE-03-01</t>
  </si>
  <si>
    <t>vCenter import and converge workflows</t>
  </si>
  <si>
    <t>Major functionality for vcenter import and converge workflows.</t>
  </si>
  <si>
    <t>Includes major assessment behavior for vcenter import and converge workflows in the context of converge and import workflows.</t>
  </si>
  <si>
    <t>Can the comparator provide defensible parity for vcenter import and converge workflows with supportable evidence and acceptable operational impact?</t>
  </si>
  <si>
    <t>VCF 9.1 Converge and import workflows vCenter import and converge workflows comparator parity evidence</t>
  </si>
  <si>
    <t>FN-LIFECYCLE-03-02</t>
  </si>
  <si>
    <t>Brownfield environment discovery</t>
  </si>
  <si>
    <t>Major functionality for brownfield environment discovery.</t>
  </si>
  <si>
    <t>Includes major assessment behavior for brownfield environment discovery in the context of converge and import workflows.</t>
  </si>
  <si>
    <t>Can the comparator provide defensible parity for brownfield environment discovery with supportable evidence and acceptable operational impact?</t>
  </si>
  <si>
    <t>VCF 9.1 Converge and import workflows Brownfield environment discovery comparator parity evidence</t>
  </si>
  <si>
    <t>FN-LIFECYCLE-03-03</t>
  </si>
  <si>
    <t>Pre-import compatibility validation</t>
  </si>
  <si>
    <t>Major functionality for pre-import compatibility validation.</t>
  </si>
  <si>
    <t>Includes major assessment behavior for pre-import compatibility validation in the context of converge and import workflows.</t>
  </si>
  <si>
    <t>Can the comparator provide defensible parity for pre-import compatibility validation with supportable evidence and acceptable operational impact?</t>
  </si>
  <si>
    <t>VCF 9.1 Converge and import workflows Pre-import compatibility validation comparator parity evidence</t>
  </si>
  <si>
    <t>FN-LIFECYCLE-04-01</t>
  </si>
  <si>
    <t>Fleet lifecycle planning</t>
  </si>
  <si>
    <t>Major functionality for fleet lifecycle planning.</t>
  </si>
  <si>
    <t>Includes major assessment behavior for fleet lifecycle planning in the context of fleet and sddc lifecycle management.</t>
  </si>
  <si>
    <t>Can the comparator provide defensible parity for fleet lifecycle planning with supportable evidence and acceptable operational impact?</t>
  </si>
  <si>
    <t>VCF 9.1 Fleet and SDDC lifecycle management Fleet lifecycle planning comparator parity evidence</t>
  </si>
  <si>
    <t>FN-LIFECYCLE-04-02</t>
  </si>
  <si>
    <t>SDDC lifecycle orchestration</t>
  </si>
  <si>
    <t>Major functionality for sddc lifecycle orchestration.</t>
  </si>
  <si>
    <t>Includes major assessment behavior for sddc lifecycle orchestration in the context of fleet and sddc lifecycle management.</t>
  </si>
  <si>
    <t>Can the comparator provide defensible parity for sddc lifecycle orchestration with supportable evidence and acceptable operational impact?</t>
  </si>
  <si>
    <t>VCF 9.1 Fleet and SDDC lifecycle management SDDC lifecycle orchestration comparator parity evidence</t>
  </si>
  <si>
    <t>FN-LIFECYCLE-04-03</t>
  </si>
  <si>
    <t>Cross-component upgrade sequencing</t>
  </si>
  <si>
    <t>Major functionality for cross-component upgrade sequencing.</t>
  </si>
  <si>
    <t>Includes major assessment behavior for cross-component upgrade sequencing in the context of fleet and sddc lifecycle management.</t>
  </si>
  <si>
    <t>Can the comparator provide defensible parity for cross-component upgrade sequencing with supportable evidence and acceptable operational impact?</t>
  </si>
  <si>
    <t>VCF 9.1 Fleet and SDDC lifecycle management Cross-component upgrade sequencing comparator parity evidence</t>
  </si>
  <si>
    <t>FN-LIFECYCLE-05-01</t>
  </si>
  <si>
    <t>Software depot configuration</t>
  </si>
  <si>
    <t>Major functionality for software depot configuration.</t>
  </si>
  <si>
    <t>Includes major assessment behavior for software depot configuration in the context of software depot and download tooling.</t>
  </si>
  <si>
    <t>Can the comparator provide defensible parity for software depot configuration with supportable evidence and acceptable operational impact?</t>
  </si>
  <si>
    <t>VCF 9.1 Software depot and download tooling Software depot configuration comparator parity evidence</t>
  </si>
  <si>
    <t>FN-LIFECYCLE-05-02</t>
  </si>
  <si>
    <t>Binary download and metadata management</t>
  </si>
  <si>
    <t>Major functionality for binary download and metadata management.</t>
  </si>
  <si>
    <t>Includes major assessment behavior for binary download and metadata management in the context of software depot and download tooling.</t>
  </si>
  <si>
    <t>Can the comparator provide defensible parity for binary download and metadata management with supportable evidence and acceptable operational impact?</t>
  </si>
  <si>
    <t>VCF 9.1 Software depot and download tooling Binary download and metadata management comparator parity evidence</t>
  </si>
  <si>
    <t>FN-LIFECYCLE-05-03</t>
  </si>
  <si>
    <t>Offline/air-gapped bundle handling</t>
  </si>
  <si>
    <t>Major functionality for offline/air-gapped bundle handling.</t>
  </si>
  <si>
    <t>Includes major assessment behavior for offline/air-gapped bundle handling in the context of software depot and download tooling.</t>
  </si>
  <si>
    <t>Can the comparator provide defensible parity for offline/air-gapped bundle handling with supportable evidence and acceptable operational impact?</t>
  </si>
  <si>
    <t>VCF 9.1 Software depot and download tooling Offline/air-gapped bundle handling comparator parity evidence</t>
  </si>
  <si>
    <t>FN-LIFECYCLE-06-01</t>
  </si>
  <si>
    <t>Lifecycle precheck execution</t>
  </si>
  <si>
    <t>Major functionality for lifecycle precheck execution.</t>
  </si>
  <si>
    <t>Includes major assessment behavior for lifecycle precheck execution in the context of lifecycle prechecks and remediation workflows.</t>
  </si>
  <si>
    <t>Can the comparator provide defensible parity for lifecycle precheck execution with supportable evidence and acceptable operational impact?</t>
  </si>
  <si>
    <t>VCF 9.1 Lifecycle prechecks and remediation workflows Lifecycle precheck execution comparator parity evidence</t>
  </si>
  <si>
    <t>FN-LIFECYCLE-06-02</t>
  </si>
  <si>
    <t>Upgrade blocker identification</t>
  </si>
  <si>
    <t>Major functionality for upgrade blocker identification.</t>
  </si>
  <si>
    <t>Includes major assessment behavior for upgrade blocker identification in the context of lifecycle prechecks and remediation workflows.</t>
  </si>
  <si>
    <t>Can the comparator provide defensible parity for upgrade blocker identification with supportable evidence and acceptable operational impact?</t>
  </si>
  <si>
    <t>VCF 9.1 Lifecycle prechecks and remediation workflows Upgrade blocker identification comparator parity evidence</t>
  </si>
  <si>
    <t>FN-LIFECYCLE-06-03</t>
  </si>
  <si>
    <t>Remediation and retry workflow support</t>
  </si>
  <si>
    <t>Major functionality for remediation and retry workflow support.</t>
  </si>
  <si>
    <t>Includes major assessment behavior for remediation and retry workflow support in the context of lifecycle prechecks and remediation workflows.</t>
  </si>
  <si>
    <t>Can the comparator provide defensible parity for remediation and retry workflow support with supportable evidence and acceptable operational impact?</t>
  </si>
  <si>
    <t>VCF 9.1 Lifecycle prechecks and remediation workflows Remediation and retry workflow support comparator parity evidence</t>
  </si>
  <si>
    <t>FN-LIFECYCLE-07-01</t>
  </si>
  <si>
    <t>Certificate lifecycle operations</t>
  </si>
  <si>
    <t>Major functionality for certificate lifecycle operations.</t>
  </si>
  <si>
    <t>Includes major assessment behavior for certificate lifecycle operations in the context of certificate and password lifecycle.</t>
  </si>
  <si>
    <t>Can the comparator provide defensible parity for certificate lifecycle operations with supportable evidence and acceptable operational impact?</t>
  </si>
  <si>
    <t>VCF 9.1 Certificate and password lifecycle Certificate lifecycle operations comparator parity evidence</t>
  </si>
  <si>
    <t>FN-LIFECYCLE-07-02</t>
  </si>
  <si>
    <t>Password lifecycle operations</t>
  </si>
  <si>
    <t>Major functionality for password lifecycle operations.</t>
  </si>
  <si>
    <t>Includes major assessment behavior for password lifecycle operations in the context of certificate and password lifecycle.</t>
  </si>
  <si>
    <t>Can the comparator provide defensible parity for password lifecycle operations with supportable evidence and acceptable operational impact?</t>
  </si>
  <si>
    <t>VCF 9.1 Certificate and password lifecycle Password lifecycle operations comparator parity evidence</t>
  </si>
  <si>
    <t>FN-LIFECYCLE-07-03</t>
  </si>
  <si>
    <t>Credential trust and rotation evidence</t>
  </si>
  <si>
    <t>Major functionality for credential trust and rotation evidence.</t>
  </si>
  <si>
    <t>Includes major assessment behavior for credential trust and rotation evidence in the context of certificate and password lifecycle.</t>
  </si>
  <si>
    <t>Can the comparator provide defensible parity for credential trust and rotation evidence with supportable evidence and acceptable operational impact?</t>
  </si>
  <si>
    <t>VCF 9.1 Certificate and password lifecycle Credential trust and rotation evidence comparator parity evidence</t>
  </si>
  <si>
    <t>FN-LIFECYCLE-08-01</t>
  </si>
  <si>
    <t>SDDC Manager API lifecycle operations</t>
  </si>
  <si>
    <t>Major functionality for sddc manager api lifecycle operations.</t>
  </si>
  <si>
    <t>Includes major assessment behavior for sddc manager api lifecycle operations in the context of api and cli lifecycle automation.</t>
  </si>
  <si>
    <t>Can the comparator provide defensible parity for sddc manager api lifecycle operations with supportable evidence and acceptable operational impact?</t>
  </si>
  <si>
    <t>VCF 9.1 API and CLI lifecycle automation SDDC Manager API lifecycle operations comparator parity evidence</t>
  </si>
  <si>
    <t>FN-LIFECYCLE-08-02</t>
  </si>
  <si>
    <t>VCF Installer API operations</t>
  </si>
  <si>
    <t>Major functionality for vcf installer api operations.</t>
  </si>
  <si>
    <t>Includes major assessment behavior for vcf installer api operations in the context of api and cli lifecycle automation.</t>
  </si>
  <si>
    <t>Can the comparator provide defensible parity for vcf installer api operations with supportable evidence and acceptable operational impact?</t>
  </si>
  <si>
    <t>VCF 9.1 API and CLI lifecycle automation VCF Installer API operations comparator parity evidence</t>
  </si>
  <si>
    <t>FN-LIFECYCLE-08-03</t>
  </si>
  <si>
    <t>Lifecycle CLI and scripted workflows</t>
  </si>
  <si>
    <t>Major functionality for lifecycle cli and scripted workflows.</t>
  </si>
  <si>
    <t>Includes major assessment behavior for lifecycle cli and scripted workflows in the context of api and cli lifecycle automation.</t>
  </si>
  <si>
    <t>Can the comparator provide defensible parity for lifecycle cli and scripted workflows with supportable evidence and acceptable operational impact?</t>
  </si>
  <si>
    <t>VCF 9.1 API and CLI lifecycle automation Lifecycle CLI and scripted workflows comparator parity evidence</t>
  </si>
  <si>
    <t>FN-VSPHERE-01-01</t>
  </si>
  <si>
    <t>vCenter object inventory hierarchy</t>
  </si>
  <si>
    <t>Major functionality for vcenter object inventory hierarchy.</t>
  </si>
  <si>
    <t>Includes major assessment behavior for vcenter object inventory hierarchy in the context of vcenter inventory and object management.</t>
  </si>
  <si>
    <t>Can the comparator provide defensible parity for vcenter object inventory hierarchy with supportable evidence and acceptable operational impact?</t>
  </si>
  <si>
    <t>VCF 9.1 vCenter inventory and object management vCenter object inventory hierarchy comparator parity evidence</t>
  </si>
  <si>
    <t>FN-VSPHERE-01-02</t>
  </si>
  <si>
    <t>Datacenter/cluster/folder organization</t>
  </si>
  <si>
    <t>Major functionality for datacenter/cluster/folder organization.</t>
  </si>
  <si>
    <t>Includes major assessment behavior for datacenter/cluster/folder organization in the context of vcenter inventory and object management.</t>
  </si>
  <si>
    <t>Can the comparator provide defensible parity for datacenter/cluster/folder organization with supportable evidence and acceptable operational impact?</t>
  </si>
  <si>
    <t>VCF 9.1 vCenter inventory and object management Datacenter/cluster/folder organization comparator parity evidence</t>
  </si>
  <si>
    <t>FN-VSPHERE-01-03</t>
  </si>
  <si>
    <t>Tagging and object metadata governance</t>
  </si>
  <si>
    <t>Major functionality for tagging and object metadata governance.</t>
  </si>
  <si>
    <t>Includes major assessment behavior for tagging and object metadata governance in the context of vcenter inventory and object management.</t>
  </si>
  <si>
    <t>Can the comparator provide defensible parity for tagging and object metadata governance with supportable evidence and acceptable operational impact?</t>
  </si>
  <si>
    <t>VCF 9.1 vCenter inventory and object management Tagging and object metadata governance comparator parity evidence</t>
  </si>
  <si>
    <t>FN-VSPHERE-02-01</t>
  </si>
  <si>
    <t>ESX host onboarding and maintenance</t>
  </si>
  <si>
    <t>Major functionality for esx host onboarding and maintenance.</t>
  </si>
  <si>
    <t>Includes major assessment behavior for esx host onboarding and maintenance in the context of esx host lifecycle and cluster management.</t>
  </si>
  <si>
    <t>Can the comparator provide defensible parity for esx host onboarding and maintenance with supportable evidence and acceptable operational impact?</t>
  </si>
  <si>
    <t>VCF 9.1 ESX host lifecycle and cluster management ESX host onboarding and maintenance comparator parity evidence</t>
  </si>
  <si>
    <t>FN-VSPHERE-02-02</t>
  </si>
  <si>
    <t>Cluster configuration and membership</t>
  </si>
  <si>
    <t>Major functionality for cluster configuration and membership.</t>
  </si>
  <si>
    <t>Includes major assessment behavior for cluster configuration and membership in the context of esx host lifecycle and cluster management.</t>
  </si>
  <si>
    <t>Can the comparator provide defensible parity for cluster configuration and membership with supportable evidence and acceptable operational impact?</t>
  </si>
  <si>
    <t>VCF 9.1 ESX host lifecycle and cluster management Cluster configuration and membership comparator parity evidence</t>
  </si>
  <si>
    <t>FN-VSPHERE-02-03</t>
  </si>
  <si>
    <t>Hardware compatibility and host lifecycle evidence</t>
  </si>
  <si>
    <t>Major functionality for hardware compatibility and host lifecycle evidence.</t>
  </si>
  <si>
    <t>Includes major assessment behavior for hardware compatibility and host lifecycle evidence in the context of esx host lifecycle and cluster management.</t>
  </si>
  <si>
    <t>Can the comparator provide defensible parity for hardware compatibility and host lifecycle evidence with supportable evidence and acceptable operational impact?</t>
  </si>
  <si>
    <t>VCF 9.1 ESX host lifecycle and cluster management Hardware compatibility and host lifecycle evidence comparator parity evidence</t>
  </si>
  <si>
    <t>FN-VSPHERE-03-01</t>
  </si>
  <si>
    <t>VM provisioning and cloning</t>
  </si>
  <si>
    <t>Major functionality for vm provisioning and cloning.</t>
  </si>
  <si>
    <t>Includes major assessment behavior for vm provisioning and cloning in the context of vm lifecycle and templates.</t>
  </si>
  <si>
    <t>Can the comparator provide defensible parity for vm provisioning and cloning with supportable evidence and acceptable operational impact?</t>
  </si>
  <si>
    <t>VCF 9.1 VM lifecycle and templates VM provisioning and cloning comparator parity evidence</t>
  </si>
  <si>
    <t>FN-VSPHERE-03-02</t>
  </si>
  <si>
    <t>Template and image management</t>
  </si>
  <si>
    <t>Major functionality for template and image management.</t>
  </si>
  <si>
    <t>Includes major assessment behavior for template and image management in the context of vm lifecycle and templates.</t>
  </si>
  <si>
    <t>Can the comparator provide defensible parity for template and image management with supportable evidence and acceptable operational impact?</t>
  </si>
  <si>
    <t>VCF 9.1 VM lifecycle and templates Template and image management comparator parity evidence</t>
  </si>
  <si>
    <t>FN-VSPHERE-03-03</t>
  </si>
  <si>
    <t>VM placement and configuration policy</t>
  </si>
  <si>
    <t>Major functionality for vm placement and configuration policy.</t>
  </si>
  <si>
    <t>Includes major assessment behavior for vm placement and configuration policy in the context of vm lifecycle and templates.</t>
  </si>
  <si>
    <t>Can the comparator provide defensible parity for vm placement and configuration policy with supportable evidence and acceptable operational impact?</t>
  </si>
  <si>
    <t>VCF 9.1 VM lifecycle and templates VM placement and configuration policy comparator parity evidence</t>
  </si>
  <si>
    <t>FN-VSPHERE-04-01</t>
  </si>
  <si>
    <t>Live VM migration</t>
  </si>
  <si>
    <t>Major functionality for live vm migration.</t>
  </si>
  <si>
    <t>Includes major assessment behavior for live vm migration in the context of vmotion and live workload mobility.</t>
  </si>
  <si>
    <t>Can the comparator provide defensible parity for live vm migration with supportable evidence and acceptable operational impact?</t>
  </si>
  <si>
    <t>VCF 9.1 vMotion and live workload mobility Live VM migration comparator parity evidence</t>
  </si>
  <si>
    <t>FN-VSPHERE-04-02</t>
  </si>
  <si>
    <t>Maintenance evacuation workflow</t>
  </si>
  <si>
    <t>Major functionality for maintenance evacuation workflow.</t>
  </si>
  <si>
    <t>Includes major assessment behavior for maintenance evacuation workflow in the context of vmotion and live workload mobility.</t>
  </si>
  <si>
    <t>Can the comparator provide defensible parity for maintenance evacuation workflow with supportable evidence and acceptable operational impact?</t>
  </si>
  <si>
    <t>VCF 9.1 vMotion and live workload mobility Maintenance evacuation workflow comparator parity evidence</t>
  </si>
  <si>
    <t>FN-VSPHERE-04-03</t>
  </si>
  <si>
    <t>Migration compatibility validation</t>
  </si>
  <si>
    <t>Major functionality for migration compatibility validation.</t>
  </si>
  <si>
    <t>Includes major assessment behavior for migration compatibility validation in the context of vmotion and live workload mobility.</t>
  </si>
  <si>
    <t>Can the comparator provide defensible parity for migration compatibility validation with supportable evidence and acceptable operational impact?</t>
  </si>
  <si>
    <t>VCF 9.1 vMotion and live workload mobility Migration compatibility validation comparator parity evidence</t>
  </si>
  <si>
    <t>FN-VSPHERE-05-01</t>
  </si>
  <si>
    <t>Cluster HA admission and restart policy</t>
  </si>
  <si>
    <t>Major functionality for cluster ha admission and restart policy.</t>
  </si>
  <si>
    <t>Includes major assessment behavior for cluster ha admission and restart policy in the context of high availability and failure response.</t>
  </si>
  <si>
    <t>Can the comparator provide defensible parity for cluster ha admission and restart policy with supportable evidence and acceptable operational impact?</t>
  </si>
  <si>
    <t>VCF 9.1 High availability and failure response Cluster HA admission and restart policy comparator parity evidence</t>
  </si>
  <si>
    <t>FN-VSPHERE-05-02</t>
  </si>
  <si>
    <t>Host failure detection and response</t>
  </si>
  <si>
    <t>Major functionality for host failure detection and response.</t>
  </si>
  <si>
    <t>Includes major assessment behavior for host failure detection and response in the context of high availability and failure response.</t>
  </si>
  <si>
    <t>Can the comparator provide defensible parity for host failure detection and response with supportable evidence and acceptable operational impact?</t>
  </si>
  <si>
    <t>VCF 9.1 High availability and failure response Host failure detection and response comparator parity evidence</t>
  </si>
  <si>
    <t>FN-VSPHERE-05-03</t>
  </si>
  <si>
    <t>Application-aware availability context</t>
  </si>
  <si>
    <t>Major functionality for application-aware availability context.</t>
  </si>
  <si>
    <t>Includes major assessment behavior for application-aware availability context in the context of high availability and failure response.</t>
  </si>
  <si>
    <t>Can the comparator provide defensible parity for application-aware availability context with supportable evidence and acceptable operational impact?</t>
  </si>
  <si>
    <t>VCF 9.1 High availability and failure response Application-aware availability context comparator parity evidence</t>
  </si>
  <si>
    <t>FN-VSPHERE-06-01</t>
  </si>
  <si>
    <t>Resource balancing recommendations</t>
  </si>
  <si>
    <t>Major functionality for resource balancing recommendations.</t>
  </si>
  <si>
    <t>Includes major assessment behavior for resource balancing recommendations in the context of drs and resource optimization.</t>
  </si>
  <si>
    <t>Can the comparator provide defensible parity for resource balancing recommendations with supportable evidence and acceptable operational impact?</t>
  </si>
  <si>
    <t>VCF 9.1 DRS and resource optimization Resource balancing recommendations comparator parity evidence</t>
  </si>
  <si>
    <t>FN-VSPHERE-06-02</t>
  </si>
  <si>
    <t>Automated placement optimization</t>
  </si>
  <si>
    <t>Major functionality for automated placement optimization.</t>
  </si>
  <si>
    <t>Includes major assessment behavior for automated placement optimization in the context of drs and resource optimization.</t>
  </si>
  <si>
    <t>Can the comparator provide defensible parity for automated placement optimization with supportable evidence and acceptable operational impact?</t>
  </si>
  <si>
    <t>VCF 9.1 DRS and resource optimization Automated placement optimization comparator parity evidence</t>
  </si>
  <si>
    <t>FN-VSPHERE-06-03</t>
  </si>
  <si>
    <t>Resource pool and reservation governance</t>
  </si>
  <si>
    <t>Major functionality for resource pool and reservation governance.</t>
  </si>
  <si>
    <t>Includes major assessment behavior for resource pool and reservation governance in the context of drs and resource optimization.</t>
  </si>
  <si>
    <t>Can the comparator provide defensible parity for resource pool and reservation governance with supportable evidence and acceptable operational impact?</t>
  </si>
  <si>
    <t>VCF 9.1 DRS and resource optimization Resource pool and reservation governance comparator parity evidence</t>
  </si>
  <si>
    <t>FN-VSPHERE-07-01</t>
  </si>
  <si>
    <t>vSphere role-based access control</t>
  </si>
  <si>
    <t>Major functionality for vsphere role-based access control.</t>
  </si>
  <si>
    <t>Includes major assessment behavior for vsphere role-based access control in the context of vsphere security and access control.</t>
  </si>
  <si>
    <t>Can the comparator provide defensible parity for vsphere role-based access control with supportable evidence and acceptable operational impact?</t>
  </si>
  <si>
    <t>VCF 9.1 vSphere security and access control vSphere role-based access control comparator parity evidence</t>
  </si>
  <si>
    <t>FN-VSPHERE-07-02</t>
  </si>
  <si>
    <t>Host/vCenter secure configuration</t>
  </si>
  <si>
    <t>Major functionality for host/vcenter secure configuration.</t>
  </si>
  <si>
    <t>Includes major assessment behavior for host/vcenter secure configuration in the context of vsphere security and access control.</t>
  </si>
  <si>
    <t>Can the comparator provide defensible parity for host/vcenter secure configuration with supportable evidence and acceptable operational impact?</t>
  </si>
  <si>
    <t>VCF 9.1 vSphere security and access control Host/vCenter secure configuration comparator parity evidence</t>
  </si>
  <si>
    <t>FN-VSPHERE-07-03</t>
  </si>
  <si>
    <t>Certificate and trust configuration</t>
  </si>
  <si>
    <t>Major functionality for certificate and trust configuration.</t>
  </si>
  <si>
    <t>Includes major assessment behavior for certificate and trust configuration in the context of vsphere security and access control.</t>
  </si>
  <si>
    <t>Can the comparator provide defensible parity for certificate and trust configuration with supportable evidence and acceptable operational impact?</t>
  </si>
  <si>
    <t>VCF 9.1 vSphere security and access control Certificate and trust configuration comparator parity evidence</t>
  </si>
  <si>
    <t>FN-VSPHERE-08-01</t>
  </si>
  <si>
    <t>Virtual hardware compatibility</t>
  </si>
  <si>
    <t>Major functionality for virtual hardware compatibility.</t>
  </si>
  <si>
    <t>Includes major assessment behavior for virtual hardware compatibility in the context of vm hardware, tools and console operations.</t>
  </si>
  <si>
    <t>Can the comparator provide defensible parity for virtual hardware compatibility with supportable evidence and acceptable operational impact?</t>
  </si>
  <si>
    <t>VCF 9.1 VM hardware, tools and console operations Virtual hardware compatibility comparator parity evidence</t>
  </si>
  <si>
    <t>FN-VSPHERE-08-02</t>
  </si>
  <si>
    <t>VMware Tools lifecycle</t>
  </si>
  <si>
    <t>Major functionality for vmware tools lifecycle.</t>
  </si>
  <si>
    <t>Includes major assessment behavior for vmware tools lifecycle in the context of vm hardware, tools and console operations.</t>
  </si>
  <si>
    <t>Can the comparator provide defensible parity for vmware tools lifecycle with supportable evidence and acceptable operational impact?</t>
  </si>
  <si>
    <t>VCF 9.1 VM hardware, tools and console operations VMware Tools lifecycle comparator parity evidence</t>
  </si>
  <si>
    <t>FN-VSPHERE-08-03</t>
  </si>
  <si>
    <t>Remote console and guest operations</t>
  </si>
  <si>
    <t>Major functionality for remote console and guest operations.</t>
  </si>
  <si>
    <t>Includes major assessment behavior for remote console and guest operations in the context of vm hardware, tools and console operations.</t>
  </si>
  <si>
    <t>Can the comparator provide defensible parity for remote console and guest operations with supportable evidence and acceptable operational impact?</t>
  </si>
  <si>
    <t>VCF 9.1 VM hardware, tools and console operations Remote console and guest operations comparator parity evidence</t>
  </si>
  <si>
    <t>FN-VSAN-01-01</t>
  </si>
  <si>
    <t>ESA/OSA architecture support</t>
  </si>
  <si>
    <t>Major functionality for esa/osa architecture support.</t>
  </si>
  <si>
    <t>Includes major assessment behavior for esa/osa architecture support in the context of vsan cluster architecture esa/osa.</t>
  </si>
  <si>
    <t>Can the comparator provide defensible parity for esa/osa architecture support with supportable evidence and acceptable operational impact?</t>
  </si>
  <si>
    <t>VCF 9.1 vSAN cluster architecture ESA/OSA ESA/OSA architecture support comparator parity evidence</t>
  </si>
  <si>
    <t>FN-VSAN-01-02</t>
  </si>
  <si>
    <t>Witness and cluster layout</t>
  </si>
  <si>
    <t>Major functionality for witness and cluster layout.</t>
  </si>
  <si>
    <t>Includes major assessment behavior for witness and cluster layout in the context of vsan cluster architecture esa/osa.</t>
  </si>
  <si>
    <t>Can the comparator provide defensible parity for witness and cluster layout with supportable evidence and acceptable operational impact?</t>
  </si>
  <si>
    <t>VCF 9.1 vSAN cluster architecture ESA/OSA Witness and cluster layout comparator parity evidence</t>
  </si>
  <si>
    <t>FN-VSAN-01-03</t>
  </si>
  <si>
    <t>Disk/device group and storage fabric design</t>
  </si>
  <si>
    <t>Major functionality for disk/device group and storage fabric design.</t>
  </si>
  <si>
    <t>Includes major assessment behavior for disk/device group and storage fabric design in the context of vsan cluster architecture esa/osa.</t>
  </si>
  <si>
    <t>Can the comparator provide defensible parity for disk/device group and storage fabric design with supportable evidence and acceptable operational impact?</t>
  </si>
  <si>
    <t>VCF 9.1 vSAN cluster architecture ESA/OSA Disk/device group and storage fabric design comparator parity evidence</t>
  </si>
  <si>
    <t>FN-VSAN-02-01</t>
  </si>
  <si>
    <t>VM storage policy definition</t>
  </si>
  <si>
    <t>Major functionality for vm storage policy definition.</t>
  </si>
  <si>
    <t>Includes major assessment behavior for vm storage policy definition in the context of storage policy based management.</t>
  </si>
  <si>
    <t>Can the comparator provide defensible parity for vm storage policy definition with supportable evidence and acceptable operational impact?</t>
  </si>
  <si>
    <t>VCF 9.1 Storage policy based management VM storage policy definition comparator parity evidence</t>
  </si>
  <si>
    <t>FN-VSAN-02-02</t>
  </si>
  <si>
    <t>Policy-based placement and compliance</t>
  </si>
  <si>
    <t>Major functionality for policy-based placement and compliance.</t>
  </si>
  <si>
    <t>Includes major assessment behavior for policy-based placement and compliance in the context of storage policy based management.</t>
  </si>
  <si>
    <t>Can the comparator provide defensible parity for policy-based placement and compliance with supportable evidence and acceptable operational impact?</t>
  </si>
  <si>
    <t>VCF 9.1 Storage policy based management Policy-based placement and compliance comparator parity evidence</t>
  </si>
  <si>
    <t>FN-VSAN-02-03</t>
  </si>
  <si>
    <t>Per-VM storage service-level control</t>
  </si>
  <si>
    <t>Major functionality for per-vm storage service-level control.</t>
  </si>
  <si>
    <t>Includes major assessment behavior for per-vm storage service-level control in the context of storage policy based management.</t>
  </si>
  <si>
    <t>Can the comparator provide defensible parity for per-vm storage service-level control with supportable evidence and acceptable operational impact?</t>
  </si>
  <si>
    <t>VCF 9.1 Storage policy based management Per-VM storage service-level control comparator parity evidence</t>
  </si>
  <si>
    <t>FN-VSAN-03-01</t>
  </si>
  <si>
    <t>Fault domain configuration</t>
  </si>
  <si>
    <t>Major functionality for fault domain configuration.</t>
  </si>
  <si>
    <t>Includes major assessment behavior for fault domain configuration in the context of resilience, fault domains and stretched clusters.</t>
  </si>
  <si>
    <t>Can the comparator provide defensible parity for fault domain configuration with supportable evidence and acceptable operational impact?</t>
  </si>
  <si>
    <t>VCF 9.1 Resilience, fault domains and stretched clusters Fault domain configuration comparator parity evidence</t>
  </si>
  <si>
    <t>FN-VSAN-03-02</t>
  </si>
  <si>
    <t>Stretched cluster and witness behavior</t>
  </si>
  <si>
    <t>Major functionality for stretched cluster and witness behavior.</t>
  </si>
  <si>
    <t>Includes major assessment behavior for stretched cluster and witness behavior in the context of resilience, fault domains and stretched clusters.</t>
  </si>
  <si>
    <t>Can the comparator provide defensible parity for stretched cluster and witness behavior with supportable evidence and acceptable operational impact?</t>
  </si>
  <si>
    <t>VCF 9.1 Resilience, fault domains and stretched clusters Stretched cluster and witness behavior comparator parity evidence</t>
  </si>
  <si>
    <t>FN-VSAN-03-03</t>
  </si>
  <si>
    <t>Failure tolerance policy behavior</t>
  </si>
  <si>
    <t>Major functionality for failure tolerance policy behavior.</t>
  </si>
  <si>
    <t>Includes major assessment behavior for failure tolerance policy behavior in the context of resilience, fault domains and stretched clusters.</t>
  </si>
  <si>
    <t>Can the comparator provide defensible parity for failure tolerance policy behavior with supportable evidence and acceptable operational impact?</t>
  </si>
  <si>
    <t>VCF 9.1 Resilience, fault domains and stretched clusters Failure tolerance policy behavior comparator parity evidence</t>
  </si>
  <si>
    <t>FN-VSAN-04-01</t>
  </si>
  <si>
    <t>Deduplication/compression and efficiency</t>
  </si>
  <si>
    <t>Major functionality for deduplication/compression and efficiency.</t>
  </si>
  <si>
    <t>Includes major assessment behavior for deduplication/compression and efficiency in the context of capacity efficiency and space management.</t>
  </si>
  <si>
    <t>Can the comparator provide defensible parity for deduplication/compression and efficiency with supportable evidence and acceptable operational impact?</t>
  </si>
  <si>
    <t>VCF 9.1 Capacity efficiency and space management Deduplication/compression and efficiency comparator parity evidence</t>
  </si>
  <si>
    <t>FN-VSAN-04-02</t>
  </si>
  <si>
    <t>Capacity forecasting and thresholding</t>
  </si>
  <si>
    <t>Major functionality for capacity forecasting and thresholding.</t>
  </si>
  <si>
    <t>Includes major assessment behavior for capacity forecasting and thresholding in the context of capacity efficiency and space management.</t>
  </si>
  <si>
    <t>Can the comparator provide defensible parity for capacity forecasting and thresholding with supportable evidence and acceptable operational impact?</t>
  </si>
  <si>
    <t>VCF 9.1 Capacity efficiency and space management Capacity forecasting and thresholding comparator parity evidence</t>
  </si>
  <si>
    <t>FN-VSAN-04-03</t>
  </si>
  <si>
    <t>Space reclaim and object health visibility</t>
  </si>
  <si>
    <t>Major functionality for space reclaim and object health visibility.</t>
  </si>
  <si>
    <t>Includes major assessment behavior for space reclaim and object health visibility in the context of capacity efficiency and space management.</t>
  </si>
  <si>
    <t>Can the comparator provide defensible parity for space reclaim and object health visibility with supportable evidence and acceptable operational impact?</t>
  </si>
  <si>
    <t>VCF 9.1 Capacity efficiency and space management Space reclaim and object health visibility comparator parity evidence</t>
  </si>
  <si>
    <t>FN-VSAN-05-01</t>
  </si>
  <si>
    <t>File service enablement</t>
  </si>
  <si>
    <t>Major functionality for file service enablement.</t>
  </si>
  <si>
    <t>Includes major assessment behavior for file service enablement in the context of vsan file services.</t>
  </si>
  <si>
    <t>Can the comparator provide defensible parity for file service enablement with supportable evidence and acceptable operational impact?</t>
  </si>
  <si>
    <t>VCF 9.1 vSAN file services File service enablement comparator parity evidence</t>
  </si>
  <si>
    <t>FN-VSAN-05-02</t>
  </si>
  <si>
    <t>NFS/share consumption</t>
  </si>
  <si>
    <t>Major functionality for nfs/share consumption.</t>
  </si>
  <si>
    <t>Includes major assessment behavior for nfs/share consumption in the context of vsan file services.</t>
  </si>
  <si>
    <t>Can the comparator provide defensible parity for nfs/share consumption with supportable evidence and acceptable operational impact?</t>
  </si>
  <si>
    <t>VCF 9.1 vSAN file services NFS/share consumption comparator parity evidence</t>
  </si>
  <si>
    <t>FN-VSAN-05-03</t>
  </si>
  <si>
    <t>File service availability and access control</t>
  </si>
  <si>
    <t>Major functionality for file service availability and access control.</t>
  </si>
  <si>
    <t>Includes major assessment behavior for file service availability and access control in the context of vsan file services.</t>
  </si>
  <si>
    <t>Can the comparator provide defensible parity for file service availability and access control with supportable evidence and acceptable operational impact?</t>
  </si>
  <si>
    <t>VCF 9.1 vSAN file services File service availability and access control comparator parity evidence</t>
  </si>
  <si>
    <t>FN-VSAN-06-01</t>
  </si>
  <si>
    <t>vSAN snapshot service support</t>
  </si>
  <si>
    <t>Major functionality for vsan snapshot service support.</t>
  </si>
  <si>
    <t>Includes major assessment behavior for vsan snapshot service support in the context of vsan data protection hooks and snapshots.</t>
  </si>
  <si>
    <t>Can the comparator provide defensible parity for vsan snapshot service support with supportable evidence and acceptable operational impact?</t>
  </si>
  <si>
    <t>VCF 9.1 vSAN data protection hooks and snapshots vSAN snapshot service support comparator parity evidence</t>
  </si>
  <si>
    <t>FN-VSAN-06-02</t>
  </si>
  <si>
    <t>Data protection API integration</t>
  </si>
  <si>
    <t>Major functionality for data protection api integration.</t>
  </si>
  <si>
    <t>Includes major assessment behavior for data protection api integration in the context of vsan data protection hooks and snapshots.</t>
  </si>
  <si>
    <t>Can the comparator provide defensible parity for data protection api integration with supportable evidence and acceptable operational impact?</t>
  </si>
  <si>
    <t>VCF 9.1 vSAN data protection hooks and snapshots Data protection API integration comparator parity evidence</t>
  </si>
  <si>
    <t>FN-VSAN-06-03</t>
  </si>
  <si>
    <t>Snapshot policy and retention governance</t>
  </si>
  <si>
    <t>Major functionality for snapshot policy and retention governance.</t>
  </si>
  <si>
    <t>Includes major assessment behavior for snapshot policy and retention governance in the context of vsan data protection hooks and snapshots.</t>
  </si>
  <si>
    <t>Can the comparator provide defensible parity for snapshot policy and retention governance with supportable evidence and acceptable operational impact?</t>
  </si>
  <si>
    <t>VCF 9.1 vSAN data protection hooks and snapshots Snapshot policy and retention governance comparator parity evidence</t>
  </si>
  <si>
    <t>FN-VSAN-07-01</t>
  </si>
  <si>
    <t>External datastore integration</t>
  </si>
  <si>
    <t>Major functionality for external datastore integration.</t>
  </si>
  <si>
    <t>Includes major assessment behavior for external datastore integration in the context of external storage and data services integration.</t>
  </si>
  <si>
    <t>Can the comparator provide defensible parity for external datastore integration with supportable evidence and acceptable operational impact?</t>
  </si>
  <si>
    <t>VCF 9.1 External storage and data services integration External datastore integration comparator parity evidence</t>
  </si>
  <si>
    <t>FN-VSAN-07-02</t>
  </si>
  <si>
    <t>Storage protocol compatibility</t>
  </si>
  <si>
    <t>Major functionality for storage protocol compatibility.</t>
  </si>
  <si>
    <t>Includes major assessment behavior for storage protocol compatibility in the context of external storage and data services integration.</t>
  </si>
  <si>
    <t>Can the comparator provide defensible parity for storage protocol compatibility with supportable evidence and acceptable operational impact?</t>
  </si>
  <si>
    <t>VCF 9.1 External storage and data services integration Storage protocol compatibility comparator parity evidence</t>
  </si>
  <si>
    <t>FN-VSAN-07-03</t>
  </si>
  <si>
    <t>Data service adjacency and dependency mapping</t>
  </si>
  <si>
    <t>Major functionality for data service adjacency and dependency mapping.</t>
  </si>
  <si>
    <t>Includes major assessment behavior for data service adjacency and dependency mapping in the context of external storage and data services integration.</t>
  </si>
  <si>
    <t>Can the comparator provide defensible parity for data service adjacency and dependency mapping with supportable evidence and acceptable operational impact?</t>
  </si>
  <si>
    <t>VCF 9.1 External storage and data services integration Data service adjacency and dependency mapping comparator parity evidence</t>
  </si>
  <si>
    <t>FN-NSX-NET-01-01</t>
  </si>
  <si>
    <t>NSX Manager and policy API model</t>
  </si>
  <si>
    <t>Major functionality for nsx manager and policy api model.</t>
  </si>
  <si>
    <t>Includes major assessment behavior for nsx manager and policy api model in the context of nsx manager and policy model.</t>
  </si>
  <si>
    <t>Can the comparator provide defensible parity for nsx manager and policy api model with supportable evidence and acceptable operational impact?</t>
  </si>
  <si>
    <t>VCF 9.1 NSX manager and policy model NSX Manager and policy API model comparator parity evidence</t>
  </si>
  <si>
    <t>FN-NSX-NET-01-02</t>
  </si>
  <si>
    <t>Declarative network/security policy objects</t>
  </si>
  <si>
    <t>Major functionality for declarative network/security policy objects.</t>
  </si>
  <si>
    <t>Includes major assessment behavior for declarative network/security policy objects in the context of nsx manager and policy model.</t>
  </si>
  <si>
    <t>Can the comparator provide defensible parity for declarative network/security policy objects with supportable evidence and acceptable operational impact?</t>
  </si>
  <si>
    <t>VCF 9.1 NSX manager and policy model Declarative network/security policy objects comparator parity evidence</t>
  </si>
  <si>
    <t>FN-NSX-NET-01-03</t>
  </si>
  <si>
    <t>Policy versioning and operational evidence</t>
  </si>
  <si>
    <t>Major functionality for policy versioning and operational evidence.</t>
  </si>
  <si>
    <t>Includes major assessment behavior for policy versioning and operational evidence in the context of nsx manager and policy model.</t>
  </si>
  <si>
    <t>Can the comparator provide defensible parity for policy versioning and operational evidence with supportable evidence and acceptable operational impact?</t>
  </si>
  <si>
    <t>VCF 9.1 NSX manager and policy model Policy versioning and operational evidence comparator parity evidence</t>
  </si>
  <si>
    <t>FN-NSX-NET-02-01</t>
  </si>
  <si>
    <t>Overlay segment creation</t>
  </si>
  <si>
    <t>Major functionality for overlay segment creation.</t>
  </si>
  <si>
    <t>Includes major assessment behavior for overlay segment creation in the context of overlay networking and transport zones.</t>
  </si>
  <si>
    <t>Can the comparator provide defensible parity for overlay segment creation with supportable evidence and acceptable operational impact?</t>
  </si>
  <si>
    <t>VCF 9.1 Overlay networking and transport zones Overlay segment creation comparator parity evidence</t>
  </si>
  <si>
    <t>FN-NSX-NET-02-02</t>
  </si>
  <si>
    <t>Transport zone and host transport config</t>
  </si>
  <si>
    <t>Major functionality for transport zone and host transport config.</t>
  </si>
  <si>
    <t>Includes major assessment behavior for transport zone and host transport config in the context of overlay networking and transport zones.</t>
  </si>
  <si>
    <t>Can the comparator provide defensible parity for transport zone and host transport config with supportable evidence and acceptable operational impact?</t>
  </si>
  <si>
    <t>VCF 9.1 Overlay networking and transport zones Transport zone and host transport config comparator parity evidence</t>
  </si>
  <si>
    <t>FN-NSX-NET-02-03</t>
  </si>
  <si>
    <t>Tunnel endpoint and encapsulation behavior</t>
  </si>
  <si>
    <t>Major functionality for tunnel endpoint and encapsulation behavior.</t>
  </si>
  <si>
    <t>Includes major assessment behavior for tunnel endpoint and encapsulation behavior in the context of overlay networking and transport zones.</t>
  </si>
  <si>
    <t>Can the comparator provide defensible parity for tunnel endpoint and encapsulation behavior with supportable evidence and acceptable operational impact?</t>
  </si>
  <si>
    <t>VCF 9.1 Overlay networking and transport zones Tunnel endpoint and encapsulation behavior comparator parity evidence</t>
  </si>
  <si>
    <t>FN-NSX-NET-03-01</t>
  </si>
  <si>
    <t>Tier-0 north-south routing</t>
  </si>
  <si>
    <t>Major functionality for tier-0 north-south routing.</t>
  </si>
  <si>
    <t>Includes major assessment behavior for tier-0 north-south routing in the context of tier-0/tier-1 routing and gateways.</t>
  </si>
  <si>
    <t>Can the comparator provide defensible parity for tier-0 north-south routing with supportable evidence and acceptable operational impact?</t>
  </si>
  <si>
    <t>VCF 9.1 Tier-0/Tier-1 routing and gateways Tier-0 north-south routing comparator parity evidence</t>
  </si>
  <si>
    <t>FN-NSX-NET-03-02</t>
  </si>
  <si>
    <t>Tier-1 service routing</t>
  </si>
  <si>
    <t>Major functionality for tier-1 service routing.</t>
  </si>
  <si>
    <t>Includes major assessment behavior for tier-1 service routing in the context of tier-0/tier-1 routing and gateways.</t>
  </si>
  <si>
    <t>Can the comparator provide defensible parity for tier-1 service routing with supportable evidence and acceptable operational impact?</t>
  </si>
  <si>
    <t>VCF 9.1 Tier-0/Tier-1 routing and gateways Tier-1 service routing comparator parity evidence</t>
  </si>
  <si>
    <t>FN-NSX-NET-03-03</t>
  </si>
  <si>
    <t>Dynamic/static route control</t>
  </si>
  <si>
    <t>Major functionality for dynamic/static route control.</t>
  </si>
  <si>
    <t>Includes major assessment behavior for dynamic/static route control in the context of tier-0/tier-1 routing and gateways.</t>
  </si>
  <si>
    <t>Can the comparator provide defensible parity for dynamic/static route control with supportable evidence and acceptable operational impact?</t>
  </si>
  <si>
    <t>VCF 9.1 Tier-0/Tier-1 routing and gateways Dynamic/static route control comparator parity evidence</t>
  </si>
  <si>
    <t>FN-NSX-NET-04-01</t>
  </si>
  <si>
    <t>Edge node deployment and sizing</t>
  </si>
  <si>
    <t>Major functionality for edge node deployment and sizing.</t>
  </si>
  <si>
    <t>Includes major assessment behavior for edge node deployment and sizing in the context of edge cluster and edge node lifecycle.</t>
  </si>
  <si>
    <t>Can the comparator provide defensible parity for edge node deployment and sizing with supportable evidence and acceptable operational impact?</t>
  </si>
  <si>
    <t>VCF 9.1 Edge cluster and edge node lifecycle Edge node deployment and sizing comparator parity evidence</t>
  </si>
  <si>
    <t>FN-NSX-NET-04-02</t>
  </si>
  <si>
    <t>Edge cluster placement</t>
  </si>
  <si>
    <t>Major functionality for edge cluster placement.</t>
  </si>
  <si>
    <t>Includes major assessment behavior for edge cluster placement in the context of edge cluster and edge node lifecycle.</t>
  </si>
  <si>
    <t>Can the comparator provide defensible parity for edge cluster placement with supportable evidence and acceptable operational impact?</t>
  </si>
  <si>
    <t>VCF 9.1 Edge cluster and edge node lifecycle Edge cluster placement comparator parity evidence</t>
  </si>
  <si>
    <t>FN-NSX-NET-04-03</t>
  </si>
  <si>
    <t>Edge lifecycle and upgrade behavior</t>
  </si>
  <si>
    <t>Major functionality for edge lifecycle and upgrade behavior.</t>
  </si>
  <si>
    <t>Includes major assessment behavior for edge lifecycle and upgrade behavior in the context of edge cluster and edge node lifecycle.</t>
  </si>
  <si>
    <t>Can the comparator provide defensible parity for edge lifecycle and upgrade behavior with supportable evidence and acceptable operational impact?</t>
  </si>
  <si>
    <t>VCF 9.1 Edge cluster and edge node lifecycle Edge lifecycle and upgrade behavior comparator parity evidence</t>
  </si>
  <si>
    <t>FN-NSX-NET-05-01</t>
  </si>
  <si>
    <t>NAT policy and translation</t>
  </si>
  <si>
    <t>Major functionality for nat policy and translation.</t>
  </si>
  <si>
    <t>Includes major assessment behavior for nat policy and translation in the context of nat, dhcp and dns services.</t>
  </si>
  <si>
    <t>Can the comparator provide defensible parity for nat policy and translation with supportable evidence and acceptable operational impact?</t>
  </si>
  <si>
    <t>VCF 9.1 NAT, DHCP and DNS services NAT policy and translation comparator parity evidence</t>
  </si>
  <si>
    <t>FN-NSX-NET-05-02</t>
  </si>
  <si>
    <t>DHCP service integration</t>
  </si>
  <si>
    <t>Major functionality for dhcp service integration.</t>
  </si>
  <si>
    <t>Includes major assessment behavior for dhcp service integration in the context of nat, dhcp and dns services.</t>
  </si>
  <si>
    <t>Can the comparator provide defensible parity for dhcp service integration with supportable evidence and acceptable operational impact?</t>
  </si>
  <si>
    <t>VCF 9.1 NAT, DHCP and DNS services DHCP service integration comparator parity evidence</t>
  </si>
  <si>
    <t>FN-NSX-NET-05-03</t>
  </si>
  <si>
    <t>DNS forwarding/service behavior</t>
  </si>
  <si>
    <t>Major functionality for dns forwarding/service behavior.</t>
  </si>
  <si>
    <t>Includes major assessment behavior for dns forwarding/service behavior in the context of nat, dhcp and dns services.</t>
  </si>
  <si>
    <t>Can the comparator provide defensible parity for dns forwarding/service behavior with supportable evidence and acceptable operational impact?</t>
  </si>
  <si>
    <t>VCF 9.1 NAT, DHCP and DNS services DNS forwarding/service behavior comparator parity evidence</t>
  </si>
  <si>
    <t>FN-NSX-NET-06-01</t>
  </si>
  <si>
    <t>IPsec VPN service</t>
  </si>
  <si>
    <t>Major functionality for ipsec vpn service.</t>
  </si>
  <si>
    <t>Includes major assessment behavior for ipsec vpn service in the context of vpn and remote connectivity.</t>
  </si>
  <si>
    <t>Can the comparator provide defensible parity for ipsec vpn service with supportable evidence and acceptable operational impact?</t>
  </si>
  <si>
    <t>VCF 9.1 VPN and remote connectivity IPsec VPN service comparator parity evidence</t>
  </si>
  <si>
    <t>FN-NSX-NET-06-02</t>
  </si>
  <si>
    <t>L2 extension/connectivity</t>
  </si>
  <si>
    <t>Major functionality for l2 extension/connectivity.</t>
  </si>
  <si>
    <t>Includes major assessment behavior for l2 extension/connectivity in the context of vpn and remote connectivity.</t>
  </si>
  <si>
    <t>Can the comparator provide defensible parity for l2 extension/connectivity with supportable evidence and acceptable operational impact?</t>
  </si>
  <si>
    <t>VCF 9.1 VPN and remote connectivity L2 extension/connectivity comparator parity evidence</t>
  </si>
  <si>
    <t>FN-NSX-NET-06-03</t>
  </si>
  <si>
    <t>Remote connectivity lifecycle</t>
  </si>
  <si>
    <t>Major functionality for remote connectivity lifecycle.</t>
  </si>
  <si>
    <t>Includes major assessment behavior for remote connectivity lifecycle in the context of vpn and remote connectivity.</t>
  </si>
  <si>
    <t>Can the comparator provide defensible parity for remote connectivity lifecycle with supportable evidence and acceptable operational impact?</t>
  </si>
  <si>
    <t>VCF 9.1 VPN and remote connectivity Remote connectivity lifecycle comparator parity evidence</t>
  </si>
  <si>
    <t>FN-NSX-NET-07-01</t>
  </si>
  <si>
    <t>VPC network abstraction</t>
  </si>
  <si>
    <t>Major functionality for vpc network abstraction.</t>
  </si>
  <si>
    <t>Includes major assessment behavior for vpc network abstraction in the context of vpc/private cloud networking constructs.</t>
  </si>
  <si>
    <t>Can the comparator provide defensible parity for vpc network abstraction with supportable evidence and acceptable operational impact?</t>
  </si>
  <si>
    <t>VCF 9.1 VPC/private cloud networking constructs VPC network abstraction comparator parity evidence</t>
  </si>
  <si>
    <t>FN-NSX-NET-07-02</t>
  </si>
  <si>
    <t>Consumer network self-service</t>
  </si>
  <si>
    <t>Major functionality for consumer network self-service.</t>
  </si>
  <si>
    <t>Includes major assessment behavior for consumer network self-service in the context of vpc/private cloud networking constructs.</t>
  </si>
  <si>
    <t>Can the comparator provide defensible parity for consumer network self-service with supportable evidence and acceptable operational impact?</t>
  </si>
  <si>
    <t>VCF 9.1 VPC/private cloud networking constructs Consumer network self-service comparator parity evidence</t>
  </si>
  <si>
    <t>FN-NSX-NET-07-03</t>
  </si>
  <si>
    <t>Network tenancy and isolation</t>
  </si>
  <si>
    <t>Major functionality for network tenancy and isolation.</t>
  </si>
  <si>
    <t>Includes major assessment behavior for network tenancy and isolation in the context of vpc/private cloud networking constructs.</t>
  </si>
  <si>
    <t>Can the comparator provide defensible parity for network tenancy and isolation with supportable evidence and acceptable operational impact?</t>
  </si>
  <si>
    <t>VCF 9.1 VPC/private cloud networking constructs Network tenancy and isolation comparator parity evidence</t>
  </si>
  <si>
    <t>FN-NSX-NET-08-01</t>
  </si>
  <si>
    <t>Avi load-balancer integration</t>
  </si>
  <si>
    <t>Major functionality for avi load-balancer integration.</t>
  </si>
  <si>
    <t>Includes major assessment behavior for avi load-balancer integration in the context of load-balancing service integration.</t>
  </si>
  <si>
    <t>Can the comparator provide defensible parity for avi load-balancer integration with supportable evidence and acceptable operational impact?</t>
  </si>
  <si>
    <t>VCF 9.1 Load-balancing service integration Avi load-balancer integration comparator parity evidence</t>
  </si>
  <si>
    <t>FN-NSX-NET-08-02</t>
  </si>
  <si>
    <t>NSX load-balancer transition handling</t>
  </si>
  <si>
    <t>Major functionality for nsx load-balancer transition handling.</t>
  </si>
  <si>
    <t>Includes major assessment behavior for nsx load-balancer transition handling in the context of load-balancing service integration.</t>
  </si>
  <si>
    <t>Can the comparator provide defensible parity for nsx load-balancer transition handling with supportable evidence and acceptable operational impact?</t>
  </si>
  <si>
    <t>VCF 9.1 Load-balancing service integration NSX load-balancer transition handling comparator parity evidence</t>
  </si>
  <si>
    <t>FN-NSX-NET-08-03</t>
  </si>
  <si>
    <t>L4/L7 service placement dependencies</t>
  </si>
  <si>
    <t>Major functionality for l4/l7 service placement dependencies.</t>
  </si>
  <si>
    <t>Includes major assessment behavior for l4/l7 service placement dependencies in the context of load-balancing service integration.</t>
  </si>
  <si>
    <t>Can the comparator provide defensible parity for l4/l7 service placement dependencies with supportable evidence and acceptable operational impact?</t>
  </si>
  <si>
    <t>VCF 9.1 Load-balancing service integration L4/L7 service placement dependencies comparator parity evidence</t>
  </si>
  <si>
    <t>FN-NSX-SEC-01-01</t>
  </si>
  <si>
    <t>East-west distributed firewall enforcement</t>
  </si>
  <si>
    <t>Major functionality for east-west distributed firewall enforcement.</t>
  </si>
  <si>
    <t>Includes major assessment behavior for east-west distributed firewall enforcement in the context of distributed firewall and microsegmentation.</t>
  </si>
  <si>
    <t>Can the comparator provide defensible parity for east-west distributed firewall enforcement with supportable evidence and acceptable operational impact?</t>
  </si>
  <si>
    <t>VCF 9.1 Distributed firewall and microsegmentation East-west distributed firewall enforcement comparator parity evidence</t>
  </si>
  <si>
    <t>FN-NSX-SEC-01-02</t>
  </si>
  <si>
    <t>Microsegmentation policy model</t>
  </si>
  <si>
    <t>Major functionality for microsegmentation policy model.</t>
  </si>
  <si>
    <t>Includes major assessment behavior for microsegmentation policy model in the context of distributed firewall and microsegmentation.</t>
  </si>
  <si>
    <t>Can the comparator provide defensible parity for microsegmentation policy model with supportable evidence and acceptable operational impact?</t>
  </si>
  <si>
    <t>VCF 9.1 Distributed firewall and microsegmentation Microsegmentation policy model comparator parity evidence</t>
  </si>
  <si>
    <t>FN-NSX-SEC-01-03</t>
  </si>
  <si>
    <t>Distributed firewall rule lifecycle</t>
  </si>
  <si>
    <t>Major functionality for distributed firewall rule lifecycle.</t>
  </si>
  <si>
    <t>Includes major assessment behavior for distributed firewall rule lifecycle in the context of distributed firewall and microsegmentation.</t>
  </si>
  <si>
    <t>Can the comparator provide defensible parity for distributed firewall rule lifecycle with supportable evidence and acceptable operational impact?</t>
  </si>
  <si>
    <t>VCF 9.1 Distributed firewall and microsegmentation Distributed firewall rule lifecycle comparator parity evidence</t>
  </si>
  <si>
    <t>FN-NSX-SEC-02-01</t>
  </si>
  <si>
    <t>Gateway firewall policy enforcement</t>
  </si>
  <si>
    <t>Major functionality for gateway firewall policy enforcement.</t>
  </si>
  <si>
    <t>Includes major assessment behavior for gateway firewall policy enforcement in the context of gateway firewall and perimeter policy.</t>
  </si>
  <si>
    <t>Can the comparator provide defensible parity for gateway firewall policy enforcement with supportable evidence and acceptable operational impact?</t>
  </si>
  <si>
    <t>VCF 9.1 Gateway firewall and perimeter policy Gateway firewall policy enforcement comparator parity evidence</t>
  </si>
  <si>
    <t>FN-NSX-SEC-02-02</t>
  </si>
  <si>
    <t>North-south perimeter rule control</t>
  </si>
  <si>
    <t>Major functionality for north-south perimeter rule control.</t>
  </si>
  <si>
    <t>Includes major assessment behavior for north-south perimeter rule control in the context of gateway firewall and perimeter policy.</t>
  </si>
  <si>
    <t>Can the comparator provide defensible parity for north-south perimeter rule control with supportable evidence and acceptable operational impact?</t>
  </si>
  <si>
    <t>VCF 9.1 Gateway firewall and perimeter policy North-south perimeter rule control comparator parity evidence</t>
  </si>
  <si>
    <t>FN-NSX-SEC-02-03</t>
  </si>
  <si>
    <t>Gateway firewall logging and evidence</t>
  </si>
  <si>
    <t>Major functionality for gateway firewall logging and evidence.</t>
  </si>
  <si>
    <t>Includes major assessment behavior for gateway firewall logging and evidence in the context of gateway firewall and perimeter policy.</t>
  </si>
  <si>
    <t>Can the comparator provide defensible parity for gateway firewall logging and evidence with supportable evidence and acceptable operational impact?</t>
  </si>
  <si>
    <t>VCF 9.1 Gateway firewall and perimeter policy Gateway firewall logging and evidence comparator parity evidence</t>
  </si>
  <si>
    <t>FN-NSX-SEC-03-01</t>
  </si>
  <si>
    <t>Security group object model</t>
  </si>
  <si>
    <t>Major functionality for security group object model.</t>
  </si>
  <si>
    <t>Includes major assessment behavior for security group object model in the context of security groups and dynamic membership.</t>
  </si>
  <si>
    <t>Can the comparator provide defensible parity for security group object model with supportable evidence and acceptable operational impact?</t>
  </si>
  <si>
    <t>VCF 9.1 Security groups and dynamic membership Security group object model comparator parity evidence</t>
  </si>
  <si>
    <t>FN-NSX-SEC-03-02</t>
  </si>
  <si>
    <t>Tag-based dynamic membership</t>
  </si>
  <si>
    <t>Major functionality for tag-based dynamic membership.</t>
  </si>
  <si>
    <t>Includes major assessment behavior for tag-based dynamic membership in the context of security groups and dynamic membership.</t>
  </si>
  <si>
    <t>Can the comparator provide defensible parity for tag-based dynamic membership with supportable evidence and acceptable operational impact?</t>
  </si>
  <si>
    <t>VCF 9.1 Security groups and dynamic membership Tag-based dynamic membership comparator parity evidence</t>
  </si>
  <si>
    <t>FN-NSX-SEC-03-03</t>
  </si>
  <si>
    <t>Policy targeting and exception control</t>
  </si>
  <si>
    <t>Major functionality for policy targeting and exception control.</t>
  </si>
  <si>
    <t>Includes major assessment behavior for policy targeting and exception control in the context of security groups and dynamic membership.</t>
  </si>
  <si>
    <t>Can the comparator provide defensible parity for policy targeting and exception control with supportable evidence and acceptable operational impact?</t>
  </si>
  <si>
    <t>VCF 9.1 Security groups and dynamic membership Policy targeting and exception control comparator parity evidence</t>
  </si>
  <si>
    <t>FN-NSX-SEC-04-01</t>
  </si>
  <si>
    <t>IDS/IPS policy attachment</t>
  </si>
  <si>
    <t>Major functionality for ids/ips policy attachment.</t>
  </si>
  <si>
    <t>Includes major assessment behavior for ids/ips policy attachment in the context of ids/ips and advanced threat controls.</t>
  </si>
  <si>
    <t>Can the comparator provide defensible parity for ids/ips policy attachment with supportable evidence and acceptable operational impact?</t>
  </si>
  <si>
    <t>VCF 9.1 IDS/IPS and advanced threat controls IDS/IPS policy attachment comparator parity evidence</t>
  </si>
  <si>
    <t>FN-NSX-SEC-04-02</t>
  </si>
  <si>
    <t>Threat inspection capability</t>
  </si>
  <si>
    <t>Major functionality for threat inspection capability.</t>
  </si>
  <si>
    <t>Includes major assessment behavior for threat inspection capability in the context of ids/ips and advanced threat controls.</t>
  </si>
  <si>
    <t>Can the comparator provide defensible parity for threat inspection capability with supportable evidence and acceptable operational impact?</t>
  </si>
  <si>
    <t>VCF 9.1 IDS/IPS and advanced threat controls Threat inspection capability comparator parity evidence</t>
  </si>
  <si>
    <t>FN-NSX-SEC-04-03</t>
  </si>
  <si>
    <t>Advanced-security add-on dependency</t>
  </si>
  <si>
    <t>Major functionality for advanced-security add-on dependency.</t>
  </si>
  <si>
    <t>Includes major assessment behavior for advanced-security add-on dependency in the context of ids/ips and advanced threat controls.</t>
  </si>
  <si>
    <t>Can the comparator provide defensible parity for advanced-security add-on dependency with supportable evidence and acceptable operational impact?</t>
  </si>
  <si>
    <t>VCF 9.1 IDS/IPS and advanced threat controls Advanced-security add-on dependency comparator parity evidence</t>
  </si>
  <si>
    <t>FN-NSX-SEC-05-01</t>
  </si>
  <si>
    <t>Firewall log capture</t>
  </si>
  <si>
    <t>Major functionality for firewall log capture.</t>
  </si>
  <si>
    <t>Includes major assessment behavior for firewall log capture in the context of network security logging and compliance evidence.</t>
  </si>
  <si>
    <t>Can the comparator provide defensible parity for firewall log capture with supportable evidence and acceptable operational impact?</t>
  </si>
  <si>
    <t>VCF 9.1 Network security logging and compliance evidence Firewall log capture comparator parity evidence</t>
  </si>
  <si>
    <t>FN-NSX-SEC-05-02</t>
  </si>
  <si>
    <t>Policy compliance evidence</t>
  </si>
  <si>
    <t>Major functionality for policy compliance evidence.</t>
  </si>
  <si>
    <t>Includes major assessment behavior for policy compliance evidence in the context of network security logging and compliance evidence.</t>
  </si>
  <si>
    <t>Can the comparator provide defensible parity for policy compliance evidence with supportable evidence and acceptable operational impact?</t>
  </si>
  <si>
    <t>VCF 9.1 Network security logging and compliance evidence Policy compliance evidence comparator parity evidence</t>
  </si>
  <si>
    <t>FN-NSX-SEC-05-03</t>
  </si>
  <si>
    <t>Security audit trail and exportability</t>
  </si>
  <si>
    <t>Major functionality for security audit trail and exportability.</t>
  </si>
  <si>
    <t>Includes major assessment behavior for security audit trail and exportability in the context of network security logging and compliance evidence.</t>
  </si>
  <si>
    <t>Can the comparator provide defensible parity for security audit trail and exportability with supportable evidence and acceptable operational impact?</t>
  </si>
  <si>
    <t>VCF 9.1 Network security logging and compliance evidence Security audit trail and exportability comparator parity evidence</t>
  </si>
  <si>
    <t>FN-NSX-SEC-06-01</t>
  </si>
  <si>
    <t>vDefend service integration</t>
  </si>
  <si>
    <t>Major functionality for vdefend service integration.</t>
  </si>
  <si>
    <t>Includes major assessment behavior for vdefend service integration in the context of vdefend and advanced security integration.</t>
  </si>
  <si>
    <t>Can the comparator provide defensible parity for vdefend service integration with supportable evidence and acceptable operational impact?</t>
  </si>
  <si>
    <t>VCF 9.1 vDefend and Advanced Security integration vDefend service integration comparator parity evidence</t>
  </si>
  <si>
    <t>FN-NSX-SEC-06-02</t>
  </si>
  <si>
    <t>Advanced security entitlement dependency</t>
  </si>
  <si>
    <t>Major functionality for advanced security entitlement dependency.</t>
  </si>
  <si>
    <t>Includes major assessment behavior for advanced security entitlement dependency in the context of vdefend and advanced security integration.</t>
  </si>
  <si>
    <t>Can the comparator provide defensible parity for advanced security entitlement dependency with supportable evidence and acceptable operational impact?</t>
  </si>
  <si>
    <t>VCF 9.1 vDefend and Advanced Security integration Advanced security entitlement dependency comparator parity evidence</t>
  </si>
  <si>
    <t>FN-NSX-SEC-06-03</t>
  </si>
  <si>
    <t>Security posture integration with operations</t>
  </si>
  <si>
    <t>Major functionality for security posture integration with operations.</t>
  </si>
  <si>
    <t>Includes major assessment behavior for security posture integration with operations in the context of vdefend and advanced security integration.</t>
  </si>
  <si>
    <t>Can the comparator provide defensible parity for security posture integration with operations with supportable evidence and acceptable operational impact?</t>
  </si>
  <si>
    <t>VCF 9.1 vDefend and Advanced Security integration Security posture integration with operations comparator parity evidence</t>
  </si>
  <si>
    <t>FN-OPS-01-01</t>
  </si>
  <si>
    <t>Health dashboard coverage</t>
  </si>
  <si>
    <t>Major functionality for health dashboard coverage.</t>
  </si>
  <si>
    <t>Includes major assessment behavior for health dashboard coverage in the context of infrastructure health and operations dashboards.</t>
  </si>
  <si>
    <t>Can the comparator provide defensible parity for health dashboard coverage with supportable evidence and acceptable operational impact?</t>
  </si>
  <si>
    <t>VCF 9.1 Infrastructure health and operations dashboards Health dashboard coverage comparator parity evidence</t>
  </si>
  <si>
    <t>FN-OPS-01-02</t>
  </si>
  <si>
    <t>Alerting and symptom visibility</t>
  </si>
  <si>
    <t>Major functionality for alerting and symptom visibility.</t>
  </si>
  <si>
    <t>Includes major assessment behavior for alerting and symptom visibility in the context of infrastructure health and operations dashboards.</t>
  </si>
  <si>
    <t>Can the comparator provide defensible parity for alerting and symptom visibility with supportable evidence and acceptable operational impact?</t>
  </si>
  <si>
    <t>VCF 9.1 Infrastructure health and operations dashboards Alerting and symptom visibility comparator parity evidence</t>
  </si>
  <si>
    <t>FN-OPS-01-03</t>
  </si>
  <si>
    <t>Operations navigation and triage workflow</t>
  </si>
  <si>
    <t>Major functionality for operations navigation and triage workflow.</t>
  </si>
  <si>
    <t>Includes major assessment behavior for operations navigation and triage workflow in the context of infrastructure health and operations dashboards.</t>
  </si>
  <si>
    <t>Can the comparator provide defensible parity for operations navigation and triage workflow with supportable evidence and acceptable operational impact?</t>
  </si>
  <si>
    <t>VCF 9.1 Infrastructure health and operations dashboards Operations navigation and triage workflow comparator parity evidence</t>
  </si>
  <si>
    <t>FN-OPS-02-01</t>
  </si>
  <si>
    <t>Capacity analytics</t>
  </si>
  <si>
    <t>Major functionality for capacity analytics.</t>
  </si>
  <si>
    <t>Includes major assessment behavior for capacity analytics in the context of capacity, cost and performance management.</t>
  </si>
  <si>
    <t>Can the comparator provide defensible parity for capacity analytics with supportable evidence and acceptable operational impact?</t>
  </si>
  <si>
    <t>VCF 9.1 Capacity, cost and performance management Capacity analytics comparator parity evidence</t>
  </si>
  <si>
    <t>FN-OPS-02-02</t>
  </si>
  <si>
    <t>Performance analytics</t>
  </si>
  <si>
    <t>Major functionality for performance analytics.</t>
  </si>
  <si>
    <t>Includes major assessment behavior for performance analytics in the context of capacity, cost and performance management.</t>
  </si>
  <si>
    <t>Can the comparator provide defensible parity for performance analytics with supportable evidence and acceptable operational impact?</t>
  </si>
  <si>
    <t>VCF 9.1 Capacity, cost and performance management Performance analytics comparator parity evidence</t>
  </si>
  <si>
    <t>FN-OPS-02-03</t>
  </si>
  <si>
    <t>Cost/business insight visibility</t>
  </si>
  <si>
    <t>Major functionality for cost/business insight visibility.</t>
  </si>
  <si>
    <t>Includes major assessment behavior for cost/business insight visibility in the context of capacity, cost and performance management.</t>
  </si>
  <si>
    <t>Can the comparator provide defensible parity for cost/business insight visibility with supportable evidence and acceptable operational impact?</t>
  </si>
  <si>
    <t>VCF 9.1 Capacity, cost and performance management Cost/business insight visibility comparator parity evidence</t>
  </si>
  <si>
    <t>FN-OPS-03-01</t>
  </si>
  <si>
    <t>Log ingestion and indexing</t>
  </si>
  <si>
    <t>Major functionality for log ingestion and indexing.</t>
  </si>
  <si>
    <t>Includes major assessment behavior for log ingestion and indexing in the context of log management and troubleshooting.</t>
  </si>
  <si>
    <t>Can the comparator provide defensible parity for log ingestion and indexing with supportable evidence and acceptable operational impact?</t>
  </si>
  <si>
    <t>VCF 9.1 Log management and troubleshooting Log ingestion and indexing comparator parity evidence</t>
  </si>
  <si>
    <t>FN-OPS-03-02</t>
  </si>
  <si>
    <t>Search/correlation workflows</t>
  </si>
  <si>
    <t>Major functionality for search/correlation workflows.</t>
  </si>
  <si>
    <t>Includes major assessment behavior for search/correlation workflows in the context of log management and troubleshooting.</t>
  </si>
  <si>
    <t>Can the comparator provide defensible parity for search/correlation workflows with supportable evidence and acceptable operational impact?</t>
  </si>
  <si>
    <t>VCF 9.1 Log management and troubleshooting Search/correlation workflows comparator parity evidence</t>
  </si>
  <si>
    <t>FN-OPS-03-03</t>
  </si>
  <si>
    <t>Troubleshooting dashboard integration</t>
  </si>
  <si>
    <t>Major functionality for troubleshooting dashboard integration.</t>
  </si>
  <si>
    <t>Includes major assessment behavior for troubleshooting dashboard integration in the context of log management and troubleshooting.</t>
  </si>
  <si>
    <t>Can the comparator provide defensible parity for troubleshooting dashboard integration with supportable evidence and acceptable operational impact?</t>
  </si>
  <si>
    <t>VCF 9.1 Log management and troubleshooting Troubleshooting dashboard integration comparator parity evidence</t>
  </si>
  <si>
    <t>FN-OPS-04-01</t>
  </si>
  <si>
    <t>Network topology/path visibility</t>
  </si>
  <si>
    <t>Major functionality for network topology/path visibility.</t>
  </si>
  <si>
    <t>Includes major assessment behavior for network topology/path visibility in the context of network observability and flow analytics.</t>
  </si>
  <si>
    <t>Can the comparator provide defensible parity for network topology/path visibility with supportable evidence and acceptable operational impact?</t>
  </si>
  <si>
    <t>VCF 9.1 Network observability and flow analytics Network topology/path visibility comparator parity evidence</t>
  </si>
  <si>
    <t>FN-OPS-04-02</t>
  </si>
  <si>
    <t>Flow analytics and dependency mapping</t>
  </si>
  <si>
    <t>Major functionality for flow analytics and dependency mapping.</t>
  </si>
  <si>
    <t>Includes major assessment behavior for flow analytics and dependency mapping in the context of network observability and flow analytics.</t>
  </si>
  <si>
    <t>Can the comparator provide defensible parity for flow analytics and dependency mapping with supportable evidence and acceptable operational impact?</t>
  </si>
  <si>
    <t>VCF 9.1 Network observability and flow analytics Flow analytics and dependency mapping comparator parity evidence</t>
  </si>
  <si>
    <t>FN-OPS-04-03</t>
  </si>
  <si>
    <t>Physical/virtual network correlation</t>
  </si>
  <si>
    <t>Major functionality for physical/virtual network correlation.</t>
  </si>
  <si>
    <t>Includes major assessment behavior for physical/virtual network correlation in the context of network observability and flow analytics.</t>
  </si>
  <si>
    <t>Can the comparator provide defensible parity for physical/virtual network correlation with supportable evidence and acceptable operational impact?</t>
  </si>
  <si>
    <t>VCF 9.1 Network observability and flow analytics Physical/virtual network correlation comparator parity evidence</t>
  </si>
  <si>
    <t>FN-OPS-05-01</t>
  </si>
  <si>
    <t>Real-time metric collection</t>
  </si>
  <si>
    <t>Major functionality for real-time metric collection.</t>
  </si>
  <si>
    <t>Includes major assessment behavior for real-time metric collection in the context of real-time metrics and metrics store.</t>
  </si>
  <si>
    <t>Can the comparator provide defensible parity for real-time metric collection with supportable evidence and acceptable operational impact?</t>
  </si>
  <si>
    <t>VCF 9.1 Real-time metrics and metrics store Real-time metric collection comparator parity evidence</t>
  </si>
  <si>
    <t>FN-OPS-05-02</t>
  </si>
  <si>
    <t>Metrics store retention and query</t>
  </si>
  <si>
    <t>Major functionality for metrics store retention and query.</t>
  </si>
  <si>
    <t>Includes major assessment behavior for metrics store retention and query in the context of real-time metrics and metrics store.</t>
  </si>
  <si>
    <t>Can the comparator provide defensible parity for metrics store retention and query with supportable evidence and acceptable operational impact?</t>
  </si>
  <si>
    <t>VCF 9.1 Real-time metrics and metrics store Metrics store retention and query comparator parity evidence</t>
  </si>
  <si>
    <t>FN-OPS-05-03</t>
  </si>
  <si>
    <t>Metric consumption by operations components</t>
  </si>
  <si>
    <t>Major functionality for metric consumption by operations components.</t>
  </si>
  <si>
    <t>Includes major assessment behavior for metric consumption by operations components in the context of real-time metrics and metrics store.</t>
  </si>
  <si>
    <t>Can the comparator provide defensible parity for metric consumption by operations components with supportable evidence and acceptable operational impact?</t>
  </si>
  <si>
    <t>VCF 9.1 Real-time metrics and metrics store Metric consumption by operations components comparator parity evidence</t>
  </si>
  <si>
    <t>FN-OPS-06-01</t>
  </si>
  <si>
    <t>Compliance posture assessment</t>
  </si>
  <si>
    <t>Major functionality for compliance posture assessment.</t>
  </si>
  <si>
    <t>Includes major assessment behavior for compliance posture assessment in the context of compliance posture and configuration drift.</t>
  </si>
  <si>
    <t>Can the comparator provide defensible parity for compliance posture assessment with supportable evidence and acceptable operational impact?</t>
  </si>
  <si>
    <t>VCF 9.1 Compliance posture and configuration drift Compliance posture assessment comparator parity evidence</t>
  </si>
  <si>
    <t>FN-OPS-06-02</t>
  </si>
  <si>
    <t>Configuration drift detection</t>
  </si>
  <si>
    <t>Major functionality for configuration drift detection.</t>
  </si>
  <si>
    <t>Includes major assessment behavior for configuration drift detection in the context of compliance posture and configuration drift.</t>
  </si>
  <si>
    <t>Can the comparator provide defensible parity for configuration drift detection with supportable evidence and acceptable operational impact?</t>
  </si>
  <si>
    <t>VCF 9.1 Compliance posture and configuration drift Configuration drift detection comparator parity evidence</t>
  </si>
  <si>
    <t>FN-OPS-06-03</t>
  </si>
  <si>
    <t>Remediation evidence and reporting</t>
  </si>
  <si>
    <t>Major functionality for remediation evidence and reporting.</t>
  </si>
  <si>
    <t>Includes major assessment behavior for remediation evidence and reporting in the context of compliance posture and configuration drift.</t>
  </si>
  <si>
    <t>Can the comparator provide defensible parity for remediation evidence and reporting with supportable evidence and acceptable operational impact?</t>
  </si>
  <si>
    <t>VCF 9.1 Compliance posture and configuration drift Remediation evidence and reporting comparator parity evidence</t>
  </si>
  <si>
    <t>FN-OPS-07-01</t>
  </si>
  <si>
    <t>Management pack framework</t>
  </si>
  <si>
    <t>Major functionality for management pack framework.</t>
  </si>
  <si>
    <t>Includes major assessment behavior for management pack framework in the context of management packs and external telemetry ingestion.</t>
  </si>
  <si>
    <t>Can the comparator provide defensible parity for management pack framework with supportable evidence and acceptable operational impact?</t>
  </si>
  <si>
    <t>VCF 9.1 Management packs and external telemetry ingestion Management pack framework comparator parity evidence</t>
  </si>
  <si>
    <t>FN-OPS-07-02</t>
  </si>
  <si>
    <t>Prometheus/external metric ingestion</t>
  </si>
  <si>
    <t>Major functionality for prometheus/external metric ingestion.</t>
  </si>
  <si>
    <t>Includes major assessment behavior for prometheus/external metric ingestion in the context of management packs and external telemetry ingestion.</t>
  </si>
  <si>
    <t>Can the comparator provide defensible parity for prometheus/external metric ingestion with supportable evidence and acceptable operational impact?</t>
  </si>
  <si>
    <t>VCF 9.1 Management packs and external telemetry ingestion Prometheus/external metric ingestion comparator parity evidence</t>
  </si>
  <si>
    <t>FN-OPS-07-03</t>
  </si>
  <si>
    <t>Third-party monitoring integration</t>
  </si>
  <si>
    <t>Major functionality for third-party monitoring integration.</t>
  </si>
  <si>
    <t>Includes major assessment behavior for third-party monitoring integration in the context of management packs and external telemetry ingestion.</t>
  </si>
  <si>
    <t>Can the comparator provide defensible parity for third-party monitoring integration with supportable evidence and acceptable operational impact?</t>
  </si>
  <si>
    <t>VCF 9.1 Management packs and external telemetry ingestion Third-party monitoring integration comparator parity evidence</t>
  </si>
  <si>
    <t>FN-OPS-08-01</t>
  </si>
  <si>
    <t>Operational workflow execution</t>
  </si>
  <si>
    <t>Major functionality for operational workflow execution.</t>
  </si>
  <si>
    <t>Includes major assessment behavior for operational workflow execution in the context of vcf operations orchestrator workflows.</t>
  </si>
  <si>
    <t>Can the comparator provide defensible parity for operational workflow execution with supportable evidence and acceptable operational impact?</t>
  </si>
  <si>
    <t>VCF 9.1 VCF Operations orchestrator workflows Operational workflow execution comparator parity evidence</t>
  </si>
  <si>
    <t>FN-OPS-08-02</t>
  </si>
  <si>
    <t>Runbook action integration</t>
  </si>
  <si>
    <t>Major functionality for runbook action integration.</t>
  </si>
  <si>
    <t>Includes major assessment behavior for runbook action integration in the context of vcf operations orchestrator workflows.</t>
  </si>
  <si>
    <t>Can the comparator provide defensible parity for runbook action integration with supportable evidence and acceptable operational impact?</t>
  </si>
  <si>
    <t>VCF 9.1 VCF Operations orchestrator workflows Runbook action integration comparator parity evidence</t>
  </si>
  <si>
    <t>FN-OPS-08-03</t>
  </si>
  <si>
    <t>Workflow audit and status tracking</t>
  </si>
  <si>
    <t>Major functionality for workflow audit and status tracking.</t>
  </si>
  <si>
    <t>Includes major assessment behavior for workflow audit and status tracking in the context of vcf operations orchestrator workflows.</t>
  </si>
  <si>
    <t>Can the comparator provide defensible parity for workflow audit and status tracking with supportable evidence and acceptable operational impact?</t>
  </si>
  <si>
    <t>VCF 9.1 VCF Operations orchestrator workflows Workflow audit and status tracking comparator parity evidence</t>
  </si>
  <si>
    <t>FN-OPS-09-01</t>
  </si>
  <si>
    <t>Showback/chargeback context</t>
  </si>
  <si>
    <t>Major functionality for showback/chargeback context.</t>
  </si>
  <si>
    <t>Includes major assessment behavior for showback/chargeback context in the context of business operations and financial visibility.</t>
  </si>
  <si>
    <t>Can the comparator provide defensible parity for showback/chargeback context with supportable evidence and acceptable operational impact?</t>
  </si>
  <si>
    <t>VCF 9.1 Business operations and financial visibility Showback/chargeback context comparator parity evidence</t>
  </si>
  <si>
    <t>FN-OPS-09-02</t>
  </si>
  <si>
    <t>Business operations reporting</t>
  </si>
  <si>
    <t>Major functionality for business operations reporting.</t>
  </si>
  <si>
    <t>Includes major assessment behavior for business operations reporting in the context of business operations and financial visibility.</t>
  </si>
  <si>
    <t>Can the comparator provide defensible parity for business operations reporting with supportable evidence and acceptable operational impact?</t>
  </si>
  <si>
    <t>VCF 9.1 Business operations and financial visibility Business operations reporting comparator parity evidence</t>
  </si>
  <si>
    <t>FN-OPS-09-03</t>
  </si>
  <si>
    <t>Financial visibility and cost attribution</t>
  </si>
  <si>
    <t>Major functionality for financial visibility and cost attribution.</t>
  </si>
  <si>
    <t>Includes major assessment behavior for financial visibility and cost attribution in the context of business operations and financial visibility.</t>
  </si>
  <si>
    <t>Can the comparator provide defensible parity for financial visibility and cost attribution with supportable evidence and acceptable operational impact?</t>
  </si>
  <si>
    <t>VCF 9.1 Business operations and financial visibility Financial visibility and cost attribution comparator parity evidence</t>
  </si>
  <si>
    <t>FN-AUTOMATION-01-01</t>
  </si>
  <si>
    <t>Organization model</t>
  </si>
  <si>
    <t>Major functionality for organization model.</t>
  </si>
  <si>
    <t>Includes major assessment behavior for organization model in the context of organizations, projects and tenancy.</t>
  </si>
  <si>
    <t>Can the comparator provide defensible parity for organization model with supportable evidence and acceptable operational impact?</t>
  </si>
  <si>
    <t>VCF 9.1 Organizations, projects and tenancy Organization model comparator parity evidence</t>
  </si>
  <si>
    <t>FN-AUTOMATION-01-02</t>
  </si>
  <si>
    <t>Project and tenancy segmentation</t>
  </si>
  <si>
    <t>Major functionality for project and tenancy segmentation.</t>
  </si>
  <si>
    <t>Includes major assessment behavior for project and tenancy segmentation in the context of organizations, projects and tenancy.</t>
  </si>
  <si>
    <t>Can the comparator provide defensible parity for project and tenancy segmentation with supportable evidence and acceptable operational impact?</t>
  </si>
  <si>
    <t>VCF 9.1 Organizations, projects and tenancy Project and tenancy segmentation comparator parity evidence</t>
  </si>
  <si>
    <t>FN-AUTOMATION-01-03</t>
  </si>
  <si>
    <t>Tenant RBAC and quota boundaries</t>
  </si>
  <si>
    <t>Major functionality for tenant rbac and quota boundaries.</t>
  </si>
  <si>
    <t>Includes major assessment behavior for tenant rbac and quota boundaries in the context of organizations, projects and tenancy.</t>
  </si>
  <si>
    <t>Can the comparator provide defensible parity for tenant rbac and quota boundaries with supportable evidence and acceptable operational impact?</t>
  </si>
  <si>
    <t>VCF 9.1 Organizations, projects and tenancy Tenant RBAC and quota boundaries comparator parity evidence</t>
  </si>
  <si>
    <t>FN-AUTOMATION-02-01</t>
  </si>
  <si>
    <t>Catalog item publication</t>
  </si>
  <si>
    <t>Major functionality for catalog item publication.</t>
  </si>
  <si>
    <t>Includes major assessment behavior for catalog item publication in the context of self-service catalog and blueprints.</t>
  </si>
  <si>
    <t>Can the comparator provide defensible parity for catalog item publication with supportable evidence and acceptable operational impact?</t>
  </si>
  <si>
    <t>VCF 9.1 Self-service catalog and blueprints Catalog item publication comparator parity evidence</t>
  </si>
  <si>
    <t>FN-AUTOMATION-02-02</t>
  </si>
  <si>
    <t>Blueprint/template consumption</t>
  </si>
  <si>
    <t>Major functionality for blueprint/template consumption.</t>
  </si>
  <si>
    <t>Includes major assessment behavior for blueprint/template consumption in the context of self-service catalog and blueprints.</t>
  </si>
  <si>
    <t>Can the comparator provide defensible parity for blueprint/template consumption with supportable evidence and acceptable operational impact?</t>
  </si>
  <si>
    <t>VCF 9.1 Self-service catalog and blueprints Blueprint/template consumption comparator parity evidence</t>
  </si>
  <si>
    <t>FN-AUTOMATION-02-03</t>
  </si>
  <si>
    <t>User request and deployment workflow</t>
  </si>
  <si>
    <t>Major functionality for user request and deployment workflow.</t>
  </si>
  <si>
    <t>Includes major assessment behavior for user request and deployment workflow in the context of self-service catalog and blueprints.</t>
  </si>
  <si>
    <t>Can the comparator provide defensible parity for user request and deployment workflow with supportable evidence and acceptable operational impact?</t>
  </si>
  <si>
    <t>VCF 9.1 Self-service catalog and blueprints User request and deployment workflow comparator parity evidence</t>
  </si>
  <si>
    <t>FN-AUTOMATION-03-01</t>
  </si>
  <si>
    <t>Policy enforcement</t>
  </si>
  <si>
    <t>Major functionality for policy enforcement.</t>
  </si>
  <si>
    <t>Includes major assessment behavior for policy enforcement in the context of policy governance and approvals.</t>
  </si>
  <si>
    <t>Can the comparator provide defensible parity for policy enforcement with supportable evidence and acceptable operational impact?</t>
  </si>
  <si>
    <t>VCF 9.1 Policy governance and approvals Policy enforcement comparator parity evidence</t>
  </si>
  <si>
    <t>FN-AUTOMATION-03-02</t>
  </si>
  <si>
    <t>Approval workflow</t>
  </si>
  <si>
    <t>Major functionality for approval workflow.</t>
  </si>
  <si>
    <t>Includes major assessment behavior for approval workflow in the context of policy governance and approvals.</t>
  </si>
  <si>
    <t>Can the comparator provide defensible parity for approval workflow with supportable evidence and acceptable operational impact?</t>
  </si>
  <si>
    <t>VCF 9.1 Policy governance and approvals Approval workflow comparator parity evidence</t>
  </si>
  <si>
    <t>FN-AUTOMATION-03-03</t>
  </si>
  <si>
    <t>Lease/limit and guardrail control</t>
  </si>
  <si>
    <t>Major functionality for lease/limit and guardrail control.</t>
  </si>
  <si>
    <t>Includes major assessment behavior for lease/limit and guardrail control in the context of policy governance and approvals.</t>
  </si>
  <si>
    <t>Can the comparator provide defensible parity for lease/limit and guardrail control with supportable evidence and acceptable operational impact?</t>
  </si>
  <si>
    <t>VCF 9.1 Policy governance and approvals Lease/limit and guardrail control comparator parity evidence</t>
  </si>
  <si>
    <t>FN-AUTOMATION-04-01</t>
  </si>
  <si>
    <t>VM app provisioning</t>
  </si>
  <si>
    <t>Major functionality for vm app provisioning.</t>
  </si>
  <si>
    <t>Includes major assessment behavior for vm app provisioning in the context of infrastructure provisioning for vm apps.</t>
  </si>
  <si>
    <t>Can the comparator provide defensible parity for vm app provisioning with supportable evidence and acceptable operational impact?</t>
  </si>
  <si>
    <t>VCF 9.1 Infrastructure provisioning for VM apps VM app provisioning comparator parity evidence</t>
  </si>
  <si>
    <t>FN-AUTOMATION-04-02</t>
  </si>
  <si>
    <t>Resource placement and reservation</t>
  </si>
  <si>
    <t>Major functionality for resource placement and reservation.</t>
  </si>
  <si>
    <t>Includes major assessment behavior for resource placement and reservation in the context of infrastructure provisioning for vm apps.</t>
  </si>
  <si>
    <t>Can the comparator provide defensible parity for resource placement and reservation with supportable evidence and acceptable operational impact?</t>
  </si>
  <si>
    <t>VCF 9.1 Infrastructure provisioning for VM apps Resource placement and reservation comparator parity evidence</t>
  </si>
  <si>
    <t>FN-AUTOMATION-04-03</t>
  </si>
  <si>
    <t>Provisioned workload lifecycle operations</t>
  </si>
  <si>
    <t>Major functionality for provisioned workload lifecycle operations.</t>
  </si>
  <si>
    <t>Includes major assessment behavior for provisioned workload lifecycle operations in the context of infrastructure provisioning for vm apps.</t>
  </si>
  <si>
    <t>Can the comparator provide defensible parity for provisioned workload lifecycle operations with supportable evidence and acceptable operational impact?</t>
  </si>
  <si>
    <t>VCF 9.1 Infrastructure provisioning for VM apps Provisioned workload lifecycle operations comparator parity evidence</t>
  </si>
  <si>
    <t>FN-AUTOMATION-05-01</t>
  </si>
  <si>
    <t>IaaS service exposure</t>
  </si>
  <si>
    <t>Major functionality for iaas service exposure.</t>
  </si>
  <si>
    <t>Includes major assessment behavior for iaas service exposure in the context of vpc and iaas consumption services.</t>
  </si>
  <si>
    <t>Can the comparator provide defensible parity for iaas service exposure with supportable evidence and acceptable operational impact?</t>
  </si>
  <si>
    <t>VCF 9.1 VPC and IaaS consumption services IaaS service exposure comparator parity evidence</t>
  </si>
  <si>
    <t>FN-AUTOMATION-05-02</t>
  </si>
  <si>
    <t>VPC consumption workflow</t>
  </si>
  <si>
    <t>Major functionality for vpc consumption workflow.</t>
  </si>
  <si>
    <t>Includes major assessment behavior for vpc consumption workflow in the context of vpc and iaas consumption services.</t>
  </si>
  <si>
    <t>Can the comparator provide defensible parity for vpc consumption workflow with supportable evidence and acceptable operational impact?</t>
  </si>
  <si>
    <t>VCF 9.1 VPC and IaaS consumption services VPC consumption workflow comparator parity evidence</t>
  </si>
  <si>
    <t>FN-AUTOMATION-05-03</t>
  </si>
  <si>
    <t>Network/storage/compute consumption policy</t>
  </si>
  <si>
    <t>Major functionality for network/storage/compute consumption policy.</t>
  </si>
  <si>
    <t>Includes major assessment behavior for network/storage/compute consumption policy in the context of vpc and iaas consumption services.</t>
  </si>
  <si>
    <t>Can the comparator provide defensible parity for network/storage/compute consumption policy with supportable evidence and acceptable operational impact?</t>
  </si>
  <si>
    <t>VCF 9.1 VPC and IaaS consumption services Network/storage/compute consumption policy comparator parity evidence</t>
  </si>
  <si>
    <t>FN-AUTOMATION-06-01</t>
  </si>
  <si>
    <t>Event broker integration</t>
  </si>
  <si>
    <t>Major functionality for event broker integration.</t>
  </si>
  <si>
    <t>Includes major assessment behavior for event broker integration in the context of extensibility, events and orchestrator integration.</t>
  </si>
  <si>
    <t>Can the comparator provide defensible parity for event broker integration with supportable evidence and acceptable operational impact?</t>
  </si>
  <si>
    <t>VCF 9.1 Extensibility, events and orchestrator integration Event broker integration comparator parity evidence</t>
  </si>
  <si>
    <t>FN-AUTOMATION-06-02</t>
  </si>
  <si>
    <t>Custom action/workflow integration</t>
  </si>
  <si>
    <t>Major functionality for custom action/workflow integration.</t>
  </si>
  <si>
    <t>Includes major assessment behavior for custom action/workflow integration in the context of extensibility, events and orchestrator integration.</t>
  </si>
  <si>
    <t>Can the comparator provide defensible parity for custom action/workflow integration with supportable evidence and acceptable operational impact?</t>
  </si>
  <si>
    <t>VCF 9.1 Extensibility, events and orchestrator integration Custom action/workflow integration comparator parity evidence</t>
  </si>
  <si>
    <t>FN-AUTOMATION-06-03</t>
  </si>
  <si>
    <t>Orchestrator gateway support</t>
  </si>
  <si>
    <t>Major functionality for orchestrator gateway support.</t>
  </si>
  <si>
    <t>Includes major assessment behavior for orchestrator gateway support in the context of extensibility, events and orchestrator integration.</t>
  </si>
  <si>
    <t>Can the comparator provide defensible parity for orchestrator gateway support with supportable evidence and acceptable operational impact?</t>
  </si>
  <si>
    <t>VCF 9.1 Extensibility, events and orchestrator integration Orchestrator gateway support comparator parity evidence</t>
  </si>
  <si>
    <t>FN-AUTOMATION-07-01</t>
  </si>
  <si>
    <t>ServiceNow/ITSM integration</t>
  </si>
  <si>
    <t>Major functionality for servicenow/itsm integration.</t>
  </si>
  <si>
    <t>Includes major assessment behavior for servicenow/itsm integration in the context of external ecosystem integrations.</t>
  </si>
  <si>
    <t>Can the comparator provide defensible parity for servicenow/itsm integration with supportable evidence and acceptable operational impact?</t>
  </si>
  <si>
    <t>VCF 9.1 External ecosystem integrations ServiceNow/ITSM integration comparator parity evidence</t>
  </si>
  <si>
    <t>FN-AUTOMATION-07-02</t>
  </si>
  <si>
    <t>Configuration management integration</t>
  </si>
  <si>
    <t>Major functionality for configuration management integration.</t>
  </si>
  <si>
    <t>Includes major assessment behavior for configuration management integration in the context of external ecosystem integrations.</t>
  </si>
  <si>
    <t>Can the comparator provide defensible parity for configuration management integration with supportable evidence and acceptable operational impact?</t>
  </si>
  <si>
    <t>VCF 9.1 External ecosystem integrations Configuration management integration comparator parity evidence</t>
  </si>
  <si>
    <t>FN-AUTOMATION-07-03</t>
  </si>
  <si>
    <t>IPAM/DNS/identity integration</t>
  </si>
  <si>
    <t>Major functionality for ipam/dns/identity integration.</t>
  </si>
  <si>
    <t>Includes major assessment behavior for ipam/dns/identity integration in the context of external ecosystem integrations.</t>
  </si>
  <si>
    <t>Can the comparator provide defensible parity for ipam/dns/identity integration with supportable evidence and acceptable operational impact?</t>
  </si>
  <si>
    <t>VCF 9.1 External ecosystem integrations IPAM/DNS/identity integration comparator parity evidence</t>
  </si>
  <si>
    <t>FN-VKS-01-01</t>
  </si>
  <si>
    <t>Supervisor activation workflow</t>
  </si>
  <si>
    <t>Major functionality for supervisor activation workflow.</t>
  </si>
  <si>
    <t>Includes major assessment behavior for supervisor activation workflow in the context of supervisor activation and lifecycle.</t>
  </si>
  <si>
    <t>Can the comparator provide defensible parity for supervisor activation workflow with supportable evidence and acceptable operational impact?</t>
  </si>
  <si>
    <t>VCF 9.1 Supervisor activation and lifecycle Supervisor activation workflow comparator parity evidence</t>
  </si>
  <si>
    <t>FN-VKS-01-02</t>
  </si>
  <si>
    <t>Supervisor lifecycle and upgrade</t>
  </si>
  <si>
    <t>Major functionality for supervisor lifecycle and upgrade.</t>
  </si>
  <si>
    <t>Includes major assessment behavior for supervisor lifecycle and upgrade in the context of supervisor activation and lifecycle.</t>
  </si>
  <si>
    <t>Can the comparator provide defensible parity for supervisor lifecycle and upgrade with supportable evidence and acceptable operational impact?</t>
  </si>
  <si>
    <t>VCF 9.1 Supervisor activation and lifecycle Supervisor lifecycle and upgrade comparator parity evidence</t>
  </si>
  <si>
    <t>FN-VKS-01-03</t>
  </si>
  <si>
    <t>Supervisor configuration validation</t>
  </si>
  <si>
    <t>Major functionality for supervisor configuration validation.</t>
  </si>
  <si>
    <t>Includes major assessment behavior for supervisor configuration validation in the context of supervisor activation and lifecycle.</t>
  </si>
  <si>
    <t>Can the comparator provide defensible parity for supervisor configuration validation with supportable evidence and acceptable operational impact?</t>
  </si>
  <si>
    <t>VCF 9.1 Supervisor activation and lifecycle Supervisor configuration validation comparator parity evidence</t>
  </si>
  <si>
    <t>FN-VKS-02-01</t>
  </si>
  <si>
    <t>VKS cluster creation</t>
  </si>
  <si>
    <t>Major functionality for vks cluster creation.</t>
  </si>
  <si>
    <t>Includes major assessment behavior for vks cluster creation in the context of vks cluster provisioning and lifecycle.</t>
  </si>
  <si>
    <t>Can the comparator provide defensible parity for vks cluster creation with supportable evidence and acceptable operational impact?</t>
  </si>
  <si>
    <t>VCF 9.1 VKS cluster provisioning and lifecycle VKS cluster creation comparator parity evidence</t>
  </si>
  <si>
    <t>FN-VKS-02-02</t>
  </si>
  <si>
    <t>Kubernetes release/version lifecycle</t>
  </si>
  <si>
    <t>Major functionality for kubernetes release/version lifecycle.</t>
  </si>
  <si>
    <t>Includes major assessment behavior for kubernetes release/version lifecycle in the context of vks cluster provisioning and lifecycle.</t>
  </si>
  <si>
    <t>Can the comparator provide defensible parity for kubernetes release/version lifecycle with supportable evidence and acceptable operational impact?</t>
  </si>
  <si>
    <t>VCF 9.1 VKS cluster provisioning and lifecycle Kubernetes release/version lifecycle comparator parity evidence</t>
  </si>
  <si>
    <t>FN-VKS-02-03</t>
  </si>
  <si>
    <t>Cluster upgrade and remediation</t>
  </si>
  <si>
    <t>Major functionality for cluster upgrade and remediation.</t>
  </si>
  <si>
    <t>Includes major assessment behavior for cluster upgrade and remediation in the context of vks cluster provisioning and lifecycle.</t>
  </si>
  <si>
    <t>Can the comparator provide defensible parity for cluster upgrade and remediation with supportable evidence and acceptable operational impact?</t>
  </si>
  <si>
    <t>VCF 9.1 VKS cluster provisioning and lifecycle Cluster upgrade and remediation comparator parity evidence</t>
  </si>
  <si>
    <t>FN-VKS-03-01</t>
  </si>
  <si>
    <t>VM Service workload provisioning</t>
  </si>
  <si>
    <t>Major functionality for vm service workload provisioning.</t>
  </si>
  <si>
    <t>Includes major assessment behavior for vm service workload provisioning in the context of vm service and fast deploy.</t>
  </si>
  <si>
    <t>Can the comparator provide defensible parity for vm service workload provisioning with supportable evidence and acceptable operational impact?</t>
  </si>
  <si>
    <t>VCF 9.1 VM Service and fast deploy VM Service workload provisioning comparator parity evidence</t>
  </si>
  <si>
    <t>FN-VKS-03-02</t>
  </si>
  <si>
    <t>Linked-clone fast deploy behavior</t>
  </si>
  <si>
    <t>Major functionality for linked-clone fast deploy behavior.</t>
  </si>
  <si>
    <t>Includes major assessment behavior for linked-clone fast deploy behavior in the context of vm service and fast deploy.</t>
  </si>
  <si>
    <t>Can the comparator provide defensible parity for linked-clone fast deploy behavior with supportable evidence and acceptable operational impact?</t>
  </si>
  <si>
    <t>VCF 9.1 VM Service and fast deploy Linked-clone fast deploy behavior comparator parity evidence</t>
  </si>
  <si>
    <t>FN-VKS-03-03</t>
  </si>
  <si>
    <t>VM Service upgrade behavior</t>
  </si>
  <si>
    <t>Major functionality for vm service upgrade behavior.</t>
  </si>
  <si>
    <t>Includes major assessment behavior for vm service upgrade behavior in the context of vm service and fast deploy.</t>
  </si>
  <si>
    <t>Can the comparator provide defensible parity for vm service upgrade behavior with supportable evidence and acceptable operational impact?</t>
  </si>
  <si>
    <t>VCF 9.1 VM Service and fast deploy VM Service upgrade behavior comparator parity evidence</t>
  </si>
  <si>
    <t>FN-VKS-04-01</t>
  </si>
  <si>
    <t>Harbor Supervisor service</t>
  </si>
  <si>
    <t>Major functionality for harbor supervisor service.</t>
  </si>
  <si>
    <t>Includes major assessment behavior for harbor supervisor service in the context of supervisor services and packages.</t>
  </si>
  <si>
    <t>Can the comparator provide defensible parity for harbor supervisor service with supportable evidence and acceptable operational impact?</t>
  </si>
  <si>
    <t>VCF 9.1 Supervisor services and packages Harbor Supervisor service comparator parity evidence</t>
  </si>
  <si>
    <t>FN-VKS-04-02</t>
  </si>
  <si>
    <t>Argo CD/Contour/External DNS services</t>
  </si>
  <si>
    <t>Major functionality for argo cd/contour/external dns services.</t>
  </si>
  <si>
    <t>Includes major assessment behavior for argo cd/contour/external dns services in the context of supervisor services and packages.</t>
  </si>
  <si>
    <t>Can the comparator provide defensible parity for argo cd/contour/external dns services with supportable evidence and acceptable operational impact?</t>
  </si>
  <si>
    <t>VCF 9.1 Supervisor services and packages Argo CD/Contour/External DNS services comparator parity evidence</t>
  </si>
  <si>
    <t>FN-VKS-04-03</t>
  </si>
  <si>
    <t>Supervisor package lifecycle</t>
  </si>
  <si>
    <t>Major functionality for supervisor package lifecycle.</t>
  </si>
  <si>
    <t>Includes major assessment behavior for supervisor package lifecycle in the context of supervisor services and packages.</t>
  </si>
  <si>
    <t>Can the comparator provide defensible parity for supervisor package lifecycle with supportable evidence and acceptable operational impact?</t>
  </si>
  <si>
    <t>VCF 9.1 Supervisor services and packages Supervisor package lifecycle comparator parity evidence</t>
  </si>
  <si>
    <t>FN-VKS-05-01</t>
  </si>
  <si>
    <t>Harbor registry service</t>
  </si>
  <si>
    <t>Major functionality for harbor registry service.</t>
  </si>
  <si>
    <t>Includes major assessment behavior for harbor registry service in the context of container registry and image services.</t>
  </si>
  <si>
    <t>Can the comparator provide defensible parity for harbor registry service with supportable evidence and acceptable operational impact?</t>
  </si>
  <si>
    <t>VCF 9.1 Container registry and image services Harbor registry service comparator parity evidence</t>
  </si>
  <si>
    <t>FN-VKS-05-02</t>
  </si>
  <si>
    <t>Image storage and access control</t>
  </si>
  <si>
    <t>Major functionality for image storage and access control.</t>
  </si>
  <si>
    <t>Includes major assessment behavior for image storage and access control in the context of container registry and image services.</t>
  </si>
  <si>
    <t>Can the comparator provide defensible parity for image storage and access control with supportable evidence and acceptable operational impact?</t>
  </si>
  <si>
    <t>VCF 9.1 Container registry and image services Image storage and access control comparator parity evidence</t>
  </si>
  <si>
    <t>FN-VKS-05-03</t>
  </si>
  <si>
    <t>Registry lifecycle and availability</t>
  </si>
  <si>
    <t>Major functionality for registry lifecycle and availability.</t>
  </si>
  <si>
    <t>Includes major assessment behavior for registry lifecycle and availability in the context of container registry and image services.</t>
  </si>
  <si>
    <t>Can the comparator provide defensible parity for registry lifecycle and availability with supportable evidence and acceptable operational impact?</t>
  </si>
  <si>
    <t>VCF 9.1 Container registry and image services Registry lifecycle and availability comparator parity evidence</t>
  </si>
  <si>
    <t>FN-VKS-06-01</t>
  </si>
  <si>
    <t>Ingress controller integration</t>
  </si>
  <si>
    <t>Major functionality for ingress controller integration.</t>
  </si>
  <si>
    <t>Includes major assessment behavior for ingress controller integration in the context of kubernetes networking and ingress/load-balancer integration.</t>
  </si>
  <si>
    <t>Can the comparator provide defensible parity for ingress controller integration with supportable evidence and acceptable operational impact?</t>
  </si>
  <si>
    <t>VCF 9.1 Kubernetes networking and ingress/load-balancer integration Ingress controller integration comparator parity evidence</t>
  </si>
  <si>
    <t>FN-VKS-06-02</t>
  </si>
  <si>
    <t>Load balancer service integration</t>
  </si>
  <si>
    <t>Major functionality for load balancer service integration.</t>
  </si>
  <si>
    <t>Includes major assessment behavior for load balancer service integration in the context of kubernetes networking and ingress/load-balancer integration.</t>
  </si>
  <si>
    <t>Can the comparator provide defensible parity for load balancer service integration with supportable evidence and acceptable operational impact?</t>
  </si>
  <si>
    <t>VCF 9.1 Kubernetes networking and ingress/load-balancer integration Load balancer service integration comparator parity evidence</t>
  </si>
  <si>
    <t>FN-VKS-06-03</t>
  </si>
  <si>
    <t>Kubernetes network policy/service exposure</t>
  </si>
  <si>
    <t>Major functionality for kubernetes network policy/service exposure.</t>
  </si>
  <si>
    <t>Includes major assessment behavior for kubernetes network policy/service exposure in the context of kubernetes networking and ingress/load-balancer integration.</t>
  </si>
  <si>
    <t>Can the comparator provide defensible parity for kubernetes network policy/service exposure with supportable evidence and acceptable operational impact?</t>
  </si>
  <si>
    <t>VCF 9.1 Kubernetes networking and ingress/load-balancer integration Kubernetes network policy/service exposure comparator parity evidence</t>
  </si>
  <si>
    <t>FN-VKS-07-01</t>
  </si>
  <si>
    <t>Persistent volume provisioning</t>
  </si>
  <si>
    <t>Major functionality for persistent volume provisioning.</t>
  </si>
  <si>
    <t>Includes major assessment behavior for persistent volume provisioning in the context of persistent storage and data services integration.</t>
  </si>
  <si>
    <t>Can the comparator provide defensible parity for persistent volume provisioning with supportable evidence and acceptable operational impact?</t>
  </si>
  <si>
    <t>VCF 9.1 Persistent storage and data services integration Persistent volume provisioning comparator parity evidence</t>
  </si>
  <si>
    <t>FN-VKS-07-02</t>
  </si>
  <si>
    <t>Storage class and policy integration</t>
  </si>
  <si>
    <t>Major functionality for storage class and policy integration.</t>
  </si>
  <si>
    <t>Includes major assessment behavior for storage class and policy integration in the context of persistent storage and data services integration.</t>
  </si>
  <si>
    <t>Can the comparator provide defensible parity for storage class and policy integration with supportable evidence and acceptable operational impact?</t>
  </si>
  <si>
    <t>VCF 9.1 Persistent storage and data services integration Storage class and policy integration comparator parity evidence</t>
  </si>
  <si>
    <t>FN-VKS-07-03</t>
  </si>
  <si>
    <t>Data services/DSM integration</t>
  </si>
  <si>
    <t>Major functionality for data services/dsm integration.</t>
  </si>
  <si>
    <t>Includes major assessment behavior for data services/dsm integration in the context of persistent storage and data services integration.</t>
  </si>
  <si>
    <t>Can the comparator provide defensible parity for data services/dsm integration with supportable evidence and acceptable operational impact?</t>
  </si>
  <si>
    <t>VCF 9.1 Persistent storage and data services integration Data services/DSM integration comparator parity evidence</t>
  </si>
  <si>
    <t>FN-MOBILITY-01-01</t>
  </si>
  <si>
    <t>HCX component deployment</t>
  </si>
  <si>
    <t>Major functionality for hcx component deployment.</t>
  </si>
  <si>
    <t>Includes major assessment behavior for hcx component deployment in the context of hcx deployment and lifecycle.</t>
  </si>
  <si>
    <t>Can the comparator provide defensible parity for hcx component deployment with supportable evidence and acceptable operational impact?</t>
  </si>
  <si>
    <t>VCF 9.1 HCX deployment and lifecycle HCX component deployment comparator parity evidence</t>
  </si>
  <si>
    <t>FN-MOBILITY-01-02</t>
  </si>
  <si>
    <t>HCX lifecycle management</t>
  </si>
  <si>
    <t>Major functionality for hcx lifecycle management.</t>
  </si>
  <si>
    <t>Includes major assessment behavior for hcx lifecycle management in the context of hcx deployment and lifecycle.</t>
  </si>
  <si>
    <t>Can the comparator provide defensible parity for hcx lifecycle management with supportable evidence and acceptable operational impact?</t>
  </si>
  <si>
    <t>VCF 9.1 HCX deployment and lifecycle HCX lifecycle management comparator parity evidence</t>
  </si>
  <si>
    <t>FN-MOBILITY-01-03</t>
  </si>
  <si>
    <t>HCX integration with VCF Operations</t>
  </si>
  <si>
    <t>Major functionality for hcx integration with vcf operations.</t>
  </si>
  <si>
    <t>Includes major assessment behavior for hcx integration with vcf operations in the context of hcx deployment and lifecycle.</t>
  </si>
  <si>
    <t>Can the comparator provide defensible parity for hcx integration with vcf operations with supportable evidence and acceptable operational impact?</t>
  </si>
  <si>
    <t>VCF 9.1 HCX deployment and lifecycle HCX integration with VCF Operations comparator parity evidence</t>
  </si>
  <si>
    <t>FN-MOBILITY-02-01</t>
  </si>
  <si>
    <t>Bulk migration</t>
  </si>
  <si>
    <t>Major functionality for bulk migration.</t>
  </si>
  <si>
    <t>Includes major assessment behavior for bulk migration in the context of workload migration services.</t>
  </si>
  <si>
    <t>Can the comparator provide defensible parity for bulk migration with supportable evidence and acceptable operational impact?</t>
  </si>
  <si>
    <t>VCF 9.1 Workload migration services Bulk migration comparator parity evidence</t>
  </si>
  <si>
    <t>FN-MOBILITY-02-02</t>
  </si>
  <si>
    <t>Live migration</t>
  </si>
  <si>
    <t>Major functionality for live migration.</t>
  </si>
  <si>
    <t>Includes major assessment behavior for live migration in the context of workload migration services.</t>
  </si>
  <si>
    <t>Can the comparator provide defensible parity for live migration with supportable evidence and acceptable operational impact?</t>
  </si>
  <si>
    <t>VCF 9.1 Workload migration services Live migration comparator parity evidence</t>
  </si>
  <si>
    <t>FN-MOBILITY-02-03</t>
  </si>
  <si>
    <t>Replication-assisted migration</t>
  </si>
  <si>
    <t>Major functionality for replication-assisted migration.</t>
  </si>
  <si>
    <t>Includes major assessment behavior for replication-assisted migration in the context of workload migration services.</t>
  </si>
  <si>
    <t>Can the comparator provide defensible parity for replication-assisted migration with supportable evidence and acceptable operational impact?</t>
  </si>
  <si>
    <t>VCF 9.1 Workload migration services Replication-assisted migration comparator parity evidence</t>
  </si>
  <si>
    <t>FN-MOBILITY-03-01</t>
  </si>
  <si>
    <t>Layer-2 network extension</t>
  </si>
  <si>
    <t>Major functionality for layer-2 network extension.</t>
  </si>
  <si>
    <t>Includes major assessment behavior for layer-2 network extension in the context of network extension and mobility groups.</t>
  </si>
  <si>
    <t>Can the comparator provide defensible parity for layer-2 network extension with supportable evidence and acceptable operational impact?</t>
  </si>
  <si>
    <t>VCF 9.1 Network extension and mobility groups Layer-2 network extension comparator parity evidence</t>
  </si>
  <si>
    <t>FN-MOBILITY-03-02</t>
  </si>
  <si>
    <t>Mobility group management</t>
  </si>
  <si>
    <t>Major functionality for mobility group management.</t>
  </si>
  <si>
    <t>Includes major assessment behavior for mobility group management in the context of network extension and mobility groups.</t>
  </si>
  <si>
    <t>Can the comparator provide defensible parity for mobility group management with supportable evidence and acceptable operational impact?</t>
  </si>
  <si>
    <t>VCF 9.1 Network extension and mobility groups Mobility group management comparator parity evidence</t>
  </si>
  <si>
    <t>FN-MOBILITY-03-03</t>
  </si>
  <si>
    <t>Migration network cutover control</t>
  </si>
  <si>
    <t>Major functionality for migration network cutover control.</t>
  </si>
  <si>
    <t>Includes major assessment behavior for migration network cutover control in the context of network extension and mobility groups.</t>
  </si>
  <si>
    <t>Can the comparator provide defensible parity for migration network cutover control with supportable evidence and acceptable operational impact?</t>
  </si>
  <si>
    <t>VCF 9.1 Network extension and mobility groups Migration network cutover control comparator parity evidence</t>
  </si>
  <si>
    <t>FN-MOBILITY-04-01</t>
  </si>
  <si>
    <t>Existing vCenter import</t>
  </si>
  <si>
    <t>Major functionality for existing vcenter import.</t>
  </si>
  <si>
    <t>Includes major assessment behavior for existing vcenter import in the context of import existing environments.</t>
  </si>
  <si>
    <t>Can the comparator provide defensible parity for existing vcenter import with supportable evidence and acceptable operational impact?</t>
  </si>
  <si>
    <t>VCF 9.1 Import existing environments Existing vCenter import comparator parity evidence</t>
  </si>
  <si>
    <t>FN-MOBILITY-04-02</t>
  </si>
  <si>
    <t>Existing NSX import</t>
  </si>
  <si>
    <t>Major functionality for existing nsx import.</t>
  </si>
  <si>
    <t>Includes major assessment behavior for existing nsx import in the context of import existing environments.</t>
  </si>
  <si>
    <t>Can the comparator provide defensible parity for existing nsx import with supportable evidence and acceptable operational impact?</t>
  </si>
  <si>
    <t>VCF 9.1 Import existing environments Existing NSX import comparator parity evidence</t>
  </si>
  <si>
    <t>FN-MOBILITY-04-03</t>
  </si>
  <si>
    <t>Import precheck and compatibility gating</t>
  </si>
  <si>
    <t>Major functionality for import precheck and compatibility gating.</t>
  </si>
  <si>
    <t>Includes major assessment behavior for import precheck and compatibility gating in the context of import existing environments.</t>
  </si>
  <si>
    <t>Can the comparator provide defensible parity for import precheck and compatibility gating with supportable evidence and acceptable operational impact?</t>
  </si>
  <si>
    <t>VCF 9.1 Import existing environments Import precheck and compatibility gating comparator parity evidence</t>
  </si>
  <si>
    <t>FN-MOBILITY-05-01</t>
  </si>
  <si>
    <t>Migration wave planning</t>
  </si>
  <si>
    <t>Major functionality for migration wave planning.</t>
  </si>
  <si>
    <t>Includes major assessment behavior for migration wave planning in the context of migration assessment and cutover governance.</t>
  </si>
  <si>
    <t>Can the comparator provide defensible parity for migration wave planning with supportable evidence and acceptable operational impact?</t>
  </si>
  <si>
    <t>VCF 9.1 Migration assessment and cutover governance Migration wave planning comparator parity evidence</t>
  </si>
  <si>
    <t>FN-MOBILITY-05-02</t>
  </si>
  <si>
    <t>Cutover validation</t>
  </si>
  <si>
    <t>Major functionality for cutover validation.</t>
  </si>
  <si>
    <t>Includes major assessment behavior for cutover validation in the context of migration assessment and cutover governance.</t>
  </si>
  <si>
    <t>Can the comparator provide defensible parity for cutover validation with supportable evidence and acceptable operational impact?</t>
  </si>
  <si>
    <t>VCF 9.1 Migration assessment and cutover governance Cutover validation comparator parity evidence</t>
  </si>
  <si>
    <t>FN-MOBILITY-05-03</t>
  </si>
  <si>
    <t>Rollback and exception governance</t>
  </si>
  <si>
    <t>Major functionality for rollback and exception governance.</t>
  </si>
  <si>
    <t>Includes major assessment behavior for rollback and exception governance in the context of migration assessment and cutover governance.</t>
  </si>
  <si>
    <t>Can the comparator provide defensible parity for rollback and exception governance with supportable evidence and acceptable operational impact?</t>
  </si>
  <si>
    <t>VCF 9.1 Migration assessment and cutover governance Rollback and exception governance comparator parity evidence</t>
  </si>
  <si>
    <t>FN-RESILIENCE-01-01</t>
  </si>
  <si>
    <t>Management component backup</t>
  </si>
  <si>
    <t>Major functionality for management component backup.</t>
  </si>
  <si>
    <t>Includes major assessment behavior for management component backup in the context of vcf management backup and restore.</t>
  </si>
  <si>
    <t>Can the comparator provide defensible parity for management component backup with supportable evidence and acceptable operational impact?</t>
  </si>
  <si>
    <t>VCF 9.1 VCF management backup and restore Management component backup comparator parity evidence</t>
  </si>
  <si>
    <t>FN-RESILIENCE-01-02</t>
  </si>
  <si>
    <t>Management component restore</t>
  </si>
  <si>
    <t>Major functionality for management component restore.</t>
  </si>
  <si>
    <t>Includes major assessment behavior for management component restore in the context of vcf management backup and restore.</t>
  </si>
  <si>
    <t>Can the comparator provide defensible parity for management component restore with supportable evidence and acceptable operational impact?</t>
  </si>
  <si>
    <t>VCF 9.1 VCF management backup and restore Management component restore comparator parity evidence</t>
  </si>
  <si>
    <t>FN-RESILIENCE-01-03</t>
  </si>
  <si>
    <t>Backup evidence and retention governance</t>
  </si>
  <si>
    <t>Major functionality for backup evidence and retention governance.</t>
  </si>
  <si>
    <t>Includes major assessment behavior for backup evidence and retention governance in the context of vcf management backup and restore.</t>
  </si>
  <si>
    <t>Can the comparator provide defensible parity for backup evidence and retention governance with supportable evidence and acceptable operational impact?</t>
  </si>
  <si>
    <t>VCF 9.1 VCF management backup and restore Backup evidence and retention governance comparator parity evidence</t>
  </si>
  <si>
    <t>FN-RESILIENCE-02-01</t>
  </si>
  <si>
    <t>VM replication setup</t>
  </si>
  <si>
    <t>Major functionality for vm replication setup.</t>
  </si>
  <si>
    <t>Includes major assessment behavior for vm replication setup in the context of vm and workload replication.</t>
  </si>
  <si>
    <t>Can the comparator provide defensible parity for vm replication setup with supportable evidence and acceptable operational impact?</t>
  </si>
  <si>
    <t>VCF 9.1 VM and workload replication VM replication setup comparator parity evidence</t>
  </si>
  <si>
    <t>FN-RESILIENCE-02-02</t>
  </si>
  <si>
    <t>Replication monitoring</t>
  </si>
  <si>
    <t>Major functionality for replication monitoring.</t>
  </si>
  <si>
    <t>Includes major assessment behavior for replication monitoring in the context of vm and workload replication.</t>
  </si>
  <si>
    <t>Can the comparator provide defensible parity for replication monitoring with supportable evidence and acceptable operational impact?</t>
  </si>
  <si>
    <t>VCF 9.1 VM and workload replication Replication monitoring comparator parity evidence</t>
  </si>
  <si>
    <t>FN-RESILIENCE-02-03</t>
  </si>
  <si>
    <t>Replication recovery point control</t>
  </si>
  <si>
    <t>Major functionality for replication recovery point control.</t>
  </si>
  <si>
    <t>Includes major assessment behavior for replication recovery point control in the context of vm and workload replication.</t>
  </si>
  <si>
    <t>Can the comparator provide defensible parity for replication recovery point control with supportable evidence and acceptable operational impact?</t>
  </si>
  <si>
    <t>VCF 9.1 VM and workload replication Replication recovery point control comparator parity evidence</t>
  </si>
  <si>
    <t>FN-RESILIENCE-03-01</t>
  </si>
  <si>
    <t>Recovery plan orchestration</t>
  </si>
  <si>
    <t>Major functionality for recovery plan orchestration.</t>
  </si>
  <si>
    <t>Includes major assessment behavior for recovery plan orchestration in the context of site recovery orchestration.</t>
  </si>
  <si>
    <t>Can the comparator provide defensible parity for recovery plan orchestration with supportable evidence and acceptable operational impact?</t>
  </si>
  <si>
    <t>VCF 9.1 Site recovery orchestration Recovery plan orchestration comparator parity evidence</t>
  </si>
  <si>
    <t>FN-RESILIENCE-03-02</t>
  </si>
  <si>
    <t>Failover/failback workflow</t>
  </si>
  <si>
    <t>Major functionality for failover/failback workflow.</t>
  </si>
  <si>
    <t>Includes major assessment behavior for failover/failback workflow in the context of site recovery orchestration.</t>
  </si>
  <si>
    <t>Can the comparator provide defensible parity for failover/failback workflow with supportable evidence and acceptable operational impact?</t>
  </si>
  <si>
    <t>VCF 9.1 Site recovery orchestration Failover/failback workflow comparator parity evidence</t>
  </si>
  <si>
    <t>FN-RESILIENCE-03-03</t>
  </si>
  <si>
    <t>Recovery runbook validation</t>
  </si>
  <si>
    <t>Major functionality for recovery runbook validation.</t>
  </si>
  <si>
    <t>Includes major assessment behavior for recovery runbook validation in the context of site recovery orchestration.</t>
  </si>
  <si>
    <t>Can the comparator provide defensible parity for recovery runbook validation with supportable evidence and acceptable operational impact?</t>
  </si>
  <si>
    <t>VCF 9.1 Site recovery orchestration Recovery runbook validation comparator parity evidence</t>
  </si>
  <si>
    <t>FN-RESILIENCE-04-01</t>
  </si>
  <si>
    <t>vSAN snapshot policy</t>
  </si>
  <si>
    <t>Major functionality for vsan snapshot policy.</t>
  </si>
  <si>
    <t>Includes major assessment behavior for vsan snapshot policy in the context of vsan data protection and snapshots.</t>
  </si>
  <si>
    <t>Can the comparator provide defensible parity for vsan snapshot policy with supportable evidence and acceptable operational impact?</t>
  </si>
  <si>
    <t>VCF 9.1 vSAN data protection and snapshots vSAN snapshot policy comparator parity evidence</t>
  </si>
  <si>
    <t>FN-RESILIENCE-04-02</t>
  </si>
  <si>
    <t>Snapshot API consumption</t>
  </si>
  <si>
    <t>Major functionality for snapshot api consumption.</t>
  </si>
  <si>
    <t>Includes major assessment behavior for snapshot api consumption in the context of vsan data protection and snapshots.</t>
  </si>
  <si>
    <t>Can the comparator provide defensible parity for snapshot api consumption with supportable evidence and acceptable operational impact?</t>
  </si>
  <si>
    <t>VCF 9.1 vSAN data protection and snapshots Snapshot API consumption comparator parity evidence</t>
  </si>
  <si>
    <t>FN-RESILIENCE-04-03</t>
  </si>
  <si>
    <t>Snapshot restore/recovery workflow</t>
  </si>
  <si>
    <t>Major functionality for snapshot restore/recovery workflow.</t>
  </si>
  <si>
    <t>Includes major assessment behavior for snapshot restore/recovery workflow in the context of vsan data protection and snapshots.</t>
  </si>
  <si>
    <t>Can the comparator provide defensible parity for snapshot restore/recovery workflow with supportable evidence and acceptable operational impact?</t>
  </si>
  <si>
    <t>VCF 9.1 vSAN data protection and snapshots Snapshot restore/recovery workflow comparator parity evidence</t>
  </si>
  <si>
    <t>FN-RESILIENCE-05-01</t>
  </si>
  <si>
    <t>Recovery test execution</t>
  </si>
  <si>
    <t>Major functionality for recovery test execution.</t>
  </si>
  <si>
    <t>Includes major assessment behavior for recovery test execution in the context of resilience operations and recovery validation.</t>
  </si>
  <si>
    <t>Can the comparator provide defensible parity for recovery test execution with supportable evidence and acceptable operational impact?</t>
  </si>
  <si>
    <t>VCF 9.1 Resilience operations and recovery validation Recovery test execution comparator parity evidence</t>
  </si>
  <si>
    <t>FN-RESILIENCE-05-02</t>
  </si>
  <si>
    <t>Resilience dashboard evidence</t>
  </si>
  <si>
    <t>Major functionality for resilience dashboard evidence.</t>
  </si>
  <si>
    <t>Includes major assessment behavior for resilience dashboard evidence in the context of resilience operations and recovery validation.</t>
  </si>
  <si>
    <t>Can the comparator provide defensible parity for resilience dashboard evidence with supportable evidence and acceptable operational impact?</t>
  </si>
  <si>
    <t>VCF 9.1 Resilience operations and recovery validation Resilience dashboard evidence comparator parity evidence</t>
  </si>
  <si>
    <t>FN-RESILIENCE-05-03</t>
  </si>
  <si>
    <t>Recovery readiness reporting</t>
  </si>
  <si>
    <t>Major functionality for recovery readiness reporting.</t>
  </si>
  <si>
    <t>Includes major assessment behavior for recovery readiness reporting in the context of resilience operations and recovery validation.</t>
  </si>
  <si>
    <t>Can the comparator provide defensible parity for recovery readiness reporting with supportable evidence and acceptable operational impact?</t>
  </si>
  <si>
    <t>VCF 9.1 Resilience operations and recovery validation Recovery readiness reporting comparator parity evidence</t>
  </si>
  <si>
    <t>FN-PRIVATEAI-01-01</t>
  </si>
  <si>
    <t>Private AI service activation</t>
  </si>
  <si>
    <t>Major functionality for private ai service activation.</t>
  </si>
  <si>
    <t>Includes major assessment behavior for private ai service activation in the context of private ai platform services.</t>
  </si>
  <si>
    <t>Can the comparator provide defensible parity for private ai service activation with supportable evidence and acceptable operational impact?</t>
  </si>
  <si>
    <t>VCF 9.1 Private AI platform services Private AI service activation comparator parity evidence</t>
  </si>
  <si>
    <t>FN-PRIVATEAI-01-02</t>
  </si>
  <si>
    <t>AI service entitlement context</t>
  </si>
  <si>
    <t>Major functionality for ai service entitlement context.</t>
  </si>
  <si>
    <t>Includes major assessment behavior for ai service entitlement context in the context of private ai platform services.</t>
  </si>
  <si>
    <t>Can the comparator provide defensible parity for ai service entitlement context with supportable evidence and acceptable operational impact?</t>
  </si>
  <si>
    <t>VCF 9.1 Private AI platform services AI service entitlement context comparator parity evidence</t>
  </si>
  <si>
    <t>FN-PRIVATEAI-01-03</t>
  </si>
  <si>
    <t>AI service governance and access</t>
  </si>
  <si>
    <t>Major functionality for ai service governance and access.</t>
  </si>
  <si>
    <t>Includes major assessment behavior for ai service governance and access in the context of private ai platform services.</t>
  </si>
  <si>
    <t>Can the comparator provide defensible parity for ai service governance and access with supportable evidence and acceptable operational impact?</t>
  </si>
  <si>
    <t>VCF 9.1 Private AI platform services AI service governance and access comparator parity evidence</t>
  </si>
  <si>
    <t>FN-PRIVATEAI-02-01</t>
  </si>
  <si>
    <t>GPU/vGPU inventory visibility</t>
  </si>
  <si>
    <t>Major functionality for gpu/vgpu inventory visibility.</t>
  </si>
  <si>
    <t>Includes major assessment behavior for gpu/vgpu inventory visibility in the context of gpu/vgpu infrastructure visibility.</t>
  </si>
  <si>
    <t>Can the comparator provide defensible parity for gpu/vgpu inventory visibility with supportable evidence and acceptable operational impact?</t>
  </si>
  <si>
    <t>VCF 9.1 GPU/vGPU infrastructure visibility GPU/vGPU inventory visibility comparator parity evidence</t>
  </si>
  <si>
    <t>FN-PRIVATEAI-02-02</t>
  </si>
  <si>
    <t>vGPU profile visibility</t>
  </si>
  <si>
    <t>Major functionality for vgpu profile visibility.</t>
  </si>
  <si>
    <t>Includes major assessment behavior for vgpu profile visibility in the context of gpu/vgpu infrastructure visibility.</t>
  </si>
  <si>
    <t>Can the comparator provide defensible parity for vgpu profile visibility with supportable evidence and acceptable operational impact?</t>
  </si>
  <si>
    <t>VCF 9.1 GPU/vGPU infrastructure visibility vGPU profile visibility comparator parity evidence</t>
  </si>
  <si>
    <t>FN-PRIVATEAI-02-03</t>
  </si>
  <si>
    <t>GPU placement and readiness evidence</t>
  </si>
  <si>
    <t>Major functionality for gpu placement and readiness evidence.</t>
  </si>
  <si>
    <t>Includes major assessment behavior for gpu placement and readiness evidence in the context of gpu/vgpu infrastructure visibility.</t>
  </si>
  <si>
    <t>Can the comparator provide defensible parity for gpu placement and readiness evidence with supportable evidence and acceptable operational impact?</t>
  </si>
  <si>
    <t>VCF 9.1 GPU/vGPU infrastructure visibility GPU placement and readiness evidence comparator parity evidence</t>
  </si>
  <si>
    <t>FN-PRIVATEAI-03-01</t>
  </si>
  <si>
    <t>Model runtime service</t>
  </si>
  <si>
    <t>Major functionality for model runtime service.</t>
  </si>
  <si>
    <t>Includes major assessment behavior for model runtime service in the context of model runtime/store and ai blueprints.</t>
  </si>
  <si>
    <t>Can the comparator provide defensible parity for model runtime service with supportable evidence and acceptable operational impact?</t>
  </si>
  <si>
    <t>VCF 9.1 Model runtime/store and AI blueprints Model runtime service comparator parity evidence</t>
  </si>
  <si>
    <t>FN-PRIVATEAI-03-02</t>
  </si>
  <si>
    <t>Model store governance</t>
  </si>
  <si>
    <t>Major functionality for model store governance.</t>
  </si>
  <si>
    <t>Includes major assessment behavior for model store governance in the context of model runtime/store and ai blueprints.</t>
  </si>
  <si>
    <t>Can the comparator provide defensible parity for model store governance with supportable evidence and acceptable operational impact?</t>
  </si>
  <si>
    <t>VCF 9.1 Model runtime/store and AI blueprints Model store governance comparator parity evidence</t>
  </si>
  <si>
    <t>FN-PRIVATEAI-03-03</t>
  </si>
  <si>
    <t>AI blueprint provisioning</t>
  </si>
  <si>
    <t>Major functionality for ai blueprint provisioning.</t>
  </si>
  <si>
    <t>Includes major assessment behavior for ai blueprint provisioning in the context of model runtime/store and ai blueprints.</t>
  </si>
  <si>
    <t>Can the comparator provide defensible parity for ai blueprint provisioning with supportable evidence and acceptable operational impact?</t>
  </si>
  <si>
    <t>VCF 9.1 Model runtime/store and AI blueprints AI blueprint provisioning comparator parity evidence</t>
  </si>
  <si>
    <t>FN-PRIVATEAI-04-01</t>
  </si>
  <si>
    <t>Data indexing and retrieval</t>
  </si>
  <si>
    <t>Major functionality for data indexing and retrieval.</t>
  </si>
  <si>
    <t>Includes major assessment behavior for data indexing and retrieval in the context of rag, data indexing and vector services.</t>
  </si>
  <si>
    <t>Can the comparator provide defensible parity for data indexing and retrieval with supportable evidence and acceptable operational impact?</t>
  </si>
  <si>
    <t>VCF 9.1 RAG, data indexing and vector services Data indexing and retrieval comparator parity evidence</t>
  </si>
  <si>
    <t>FN-PRIVATEAI-04-02</t>
  </si>
  <si>
    <t>Vector database service context</t>
  </si>
  <si>
    <t>Major functionality for vector database service context.</t>
  </si>
  <si>
    <t>Includes major assessment behavior for vector database service context in the context of rag, data indexing and vector services.</t>
  </si>
  <si>
    <t>Can the comparator provide defensible parity for vector database service context with supportable evidence and acceptable operational impact?</t>
  </si>
  <si>
    <t>VCF 9.1 RAG, data indexing and vector services Vector database service context comparator parity evidence</t>
  </si>
  <si>
    <t>FN-PRIVATEAI-04-03</t>
  </si>
  <si>
    <t>RAG workflow enablement</t>
  </si>
  <si>
    <t>Major functionality for rag workflow enablement.</t>
  </si>
  <si>
    <t>Includes major assessment behavior for rag workflow enablement in the context of rag, data indexing and vector services.</t>
  </si>
  <si>
    <t>Can the comparator provide defensible parity for rag workflow enablement with supportable evidence and acceptable operational impact?</t>
  </si>
  <si>
    <t>VCF 9.1 RAG, data indexing and vector services RAG workflow enablement comparator parity evidence</t>
  </si>
  <si>
    <t>Enum_Group</t>
  </si>
  <si>
    <t>Enum_Value</t>
  </si>
  <si>
    <t>Display_Order</t>
  </si>
  <si>
    <t>Active</t>
  </si>
  <si>
    <t>Review</t>
  </si>
  <si>
    <t>Approved</t>
  </si>
  <si>
    <t>Deprecated</t>
  </si>
  <si>
    <t>YesNo</t>
  </si>
  <si>
    <t>Assessment_Level</t>
  </si>
  <si>
    <t>Criticality</t>
  </si>
  <si>
    <t>None</t>
  </si>
  <si>
    <t>Analysis_Domain</t>
  </si>
  <si>
    <t>Feature Group</t>
  </si>
  <si>
    <t>Integration/Add-On</t>
  </si>
  <si>
    <t>Internal Component</t>
  </si>
  <si>
    <t>External Integration</t>
  </si>
  <si>
    <t>Requirement_Rating</t>
  </si>
  <si>
    <t>Required</t>
  </si>
  <si>
    <t>Important</t>
  </si>
  <si>
    <t>Nice-to-have</t>
  </si>
  <si>
    <t>Not Required</t>
  </si>
  <si>
    <t>Unknown</t>
  </si>
  <si>
    <t>Parity</t>
  </si>
  <si>
    <t>Full Parity</t>
  </si>
  <si>
    <t>Partial Parity</t>
  </si>
  <si>
    <t>No Parity</t>
  </si>
  <si>
    <t>Workaround_Complexity</t>
  </si>
  <si>
    <t>Not Applicable</t>
  </si>
  <si>
    <t>Impact_Level</t>
  </si>
  <si>
    <t>Check_ID</t>
  </si>
  <si>
    <t>Check_Name</t>
  </si>
  <si>
    <t>Target</t>
  </si>
  <si>
    <t>Formula_or_Value</t>
  </si>
  <si>
    <t>Result_Status</t>
  </si>
  <si>
    <t>QC-001</t>
  </si>
  <si>
    <t>Product count</t>
  </si>
  <si>
    <t>Target is exactly 12.</t>
  </si>
  <si>
    <t>QC-002</t>
  </si>
  <si>
    <t>Feature count</t>
  </si>
  <si>
    <t>Target is exactly 80.</t>
  </si>
  <si>
    <t>QC-003</t>
  </si>
  <si>
    <t>Functionality count</t>
  </si>
  <si>
    <t>Target is exactly 240.</t>
  </si>
  <si>
    <t>QC-004</t>
  </si>
  <si>
    <t>Average features per product</t>
  </si>
  <si>
    <t>5-10</t>
  </si>
  <si>
    <t>Expected planning range.</t>
  </si>
  <si>
    <t>QC-005</t>
  </si>
  <si>
    <t>Average functionalities per feature</t>
  </si>
  <si>
    <t>1-5</t>
  </si>
  <si>
    <t>QC-006</t>
  </si>
  <si>
    <t>Duplicate Product_ID</t>
  </si>
  <si>
    <t>Pass</t>
  </si>
  <si>
    <t>Computed by build script; must be zero.</t>
  </si>
  <si>
    <t>QC-007</t>
  </si>
  <si>
    <t>Duplicate Feature_ID</t>
  </si>
  <si>
    <t>QC-008</t>
  </si>
  <si>
    <t>Duplicate Functionality_ID</t>
  </si>
  <si>
    <t>QC-009</t>
  </si>
  <si>
    <t>Orphan Feature Product_ID</t>
  </si>
  <si>
    <t>QC-010</t>
  </si>
  <si>
    <t>Orphan Functionality Feature_ID</t>
  </si>
  <si>
    <t>QC-011</t>
  </si>
  <si>
    <t>Orphan Functionality Product_ID</t>
  </si>
  <si>
    <t>Change_ID</t>
  </si>
  <si>
    <t>Date</t>
  </si>
  <si>
    <t>Changed_By</t>
  </si>
  <si>
    <t>Change_Type</t>
  </si>
  <si>
    <t>Affected_ID</t>
  </si>
  <si>
    <t>Change_Summary</t>
  </si>
  <si>
    <t>Rationale</t>
  </si>
  <si>
    <t>Impact</t>
  </si>
  <si>
    <t>Approval_Status</t>
  </si>
  <si>
    <t>CHG-CN-003-001</t>
  </si>
  <si>
    <t>Restructure</t>
  </si>
  <si>
    <t>01_Products</t>
  </si>
  <si>
    <t>Rebuilt top-level product/component list for VCF 9.1 around 12 stable products.</t>
  </si>
  <si>
    <t>Reduce model churn and align with official VCF 9.1 component scope.</t>
  </si>
  <si>
    <t>Requires VCF KB and Comparator KB mapping review against new Product_ID/Feature_ID structure.</t>
  </si>
  <si>
    <t>CHG-CN-003-002</t>
  </si>
  <si>
    <t>Add</t>
  </si>
  <si>
    <t>01b_Integrations_AddOns</t>
  </si>
  <si>
    <t>Added Integration/Add-On registry to capture official advanced services and internal components without inflating product count.</t>
  </si>
  <si>
    <t>Prevent optional or internal components from repeatedly changing top-level model structure.</t>
  </si>
  <si>
    <t>App/KB loader should treat this as reference and conditional assessment metadata.</t>
  </si>
  <si>
    <t>CHG-CN-003-003</t>
  </si>
  <si>
    <t>Rebuild</t>
  </si>
  <si>
    <t>02_Features/03_Functionalities</t>
  </si>
  <si>
    <t>Rebuilt cascade to 80 major features and 240 major functionalities.</t>
  </si>
  <si>
    <t>Keep workshop usable while preserving analysis granularity.</t>
  </si>
  <si>
    <t>Requires review and refinement before approval.</t>
  </si>
  <si>
    <t>Source_ID</t>
  </si>
  <si>
    <t>Source_Title</t>
  </si>
  <si>
    <t>Source_Type</t>
  </si>
  <si>
    <t>Source_Date</t>
  </si>
  <si>
    <t>Relevance</t>
  </si>
  <si>
    <t>Confidence</t>
  </si>
  <si>
    <t>SRC-VCF91-RN</t>
  </si>
  <si>
    <t>VMware Cloud Foundation 9.1 Release Notes</t>
  </si>
  <si>
    <t>Release Notes</t>
  </si>
  <si>
    <t>2026-06</t>
  </si>
  <si>
    <t>Primary release context and BOM entry point</t>
  </si>
  <si>
    <t>SRC-VCF91-WHATSNEW</t>
  </si>
  <si>
    <t>What's New in VCF 9.1</t>
  </si>
  <si>
    <t>2026-05</t>
  </si>
  <si>
    <t>Component-level change organization</t>
  </si>
  <si>
    <t>SRC-VCF91-BOM</t>
  </si>
  <si>
    <t>VCF 9.1 Bill of Materials</t>
  </si>
  <si>
    <t>BOM</t>
  </si>
  <si>
    <t>Primary component/add-on basis</t>
  </si>
  <si>
    <t>SRC-VCF91-FAQ</t>
  </si>
  <si>
    <t>VCF 9.1 General FAQ</t>
  </si>
  <si>
    <t>FAQ</t>
  </si>
  <si>
    <t>Licensing, components, advanced services context</t>
  </si>
  <si>
    <t>SRC-VCF91-FEATURE-COMP</t>
  </si>
  <si>
    <t>VCF 9.1 Feature Comparison &amp; Upgrade Paths</t>
  </si>
  <si>
    <t>Feature Comparison</t>
  </si>
  <si>
    <t>Advanced services and capability comparison</t>
  </si>
  <si>
    <t>SRC-VCF91-REQ-BIN</t>
  </si>
  <si>
    <t>Required Component Binaries for VCF 9.1 upgrade</t>
  </si>
  <si>
    <t>KB</t>
  </si>
  <si>
    <t>Management services component validation</t>
  </si>
  <si>
    <t>SRC-VCF91-UPGRADE-SEQ</t>
  </si>
  <si>
    <t>Upgrade Sequence and Related Issues for VCF 9.1</t>
  </si>
  <si>
    <t>Management services and upgrade-context validation</t>
  </si>
  <si>
    <t>SRC-VCF91-OPS</t>
  </si>
  <si>
    <t>VCF Operations in VCF 9.1</t>
  </si>
  <si>
    <t>Operations and observability capabilities</t>
  </si>
  <si>
    <t>SRC-VCF91-API</t>
  </si>
  <si>
    <t>VCF 9.1 API/SDK/CLI Changelog</t>
  </si>
  <si>
    <t>API Changelog</t>
  </si>
  <si>
    <t>API layer coverage across components</t>
  </si>
  <si>
    <t>SRC-AVI-91</t>
  </si>
  <si>
    <t>Avi Load Balancer for VCF 9.1</t>
  </si>
  <si>
    <t>Product Docs</t>
  </si>
  <si>
    <t>Avi integration/add-on scope</t>
  </si>
  <si>
    <t>SRC-NSX-LB-AVI</t>
  </si>
  <si>
    <t>NSX Load Balancer to Avi Load Balancer Migration</t>
  </si>
  <si>
    <t>NSX load-balancer transition context</t>
  </si>
  <si>
    <t>Product_Sort_Order</t>
  </si>
  <si>
    <t>Feature_Sort_Order</t>
  </si>
  <si>
    <t>Functionality_Sort_Order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</si>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</sst>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1" applyNumberForma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chdocs.broadcom.com/us/en/vmware-cis/vcf/vcf-9-0-and-later/9-1/release-notes/vmware-cloud-foundation-9-1-0-0-release-notes/vmware-cloud-foundation-bill-of-material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28" sqref="C28"/>
    </sheetView>
  </sheetViews>
  <sheetFormatPr defaultRowHeight="14.25"/>
  <cols>
    <col min="1" max="2" width="18" customWidth="1"/>
    <col min="3" max="4" width="38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/>
      <c r="D2" s="2" t="s">
        <v>6</v>
      </c>
    </row>
    <row r="3" spans="1:4" ht="28.5">
      <c r="A3" s="2" t="s">
        <v>7</v>
      </c>
      <c r="B3" s="2" t="s">
        <v>8</v>
      </c>
      <c r="C3" s="2"/>
      <c r="D3" s="2" t="s">
        <v>9</v>
      </c>
    </row>
    <row r="4" spans="1:4" ht="28.5">
      <c r="A4" s="2" t="s">
        <v>10</v>
      </c>
      <c r="B4" s="2" t="s">
        <v>11</v>
      </c>
      <c r="C4" s="2"/>
      <c r="D4" s="2" t="s">
        <v>12</v>
      </c>
    </row>
    <row r="5" spans="1:4" ht="28.5">
      <c r="A5" s="2" t="s">
        <v>13</v>
      </c>
      <c r="B5" s="2" t="s">
        <v>14</v>
      </c>
      <c r="C5" s="2"/>
      <c r="D5" s="2" t="s">
        <v>15</v>
      </c>
    </row>
    <row r="6" spans="1:4">
      <c r="A6" s="2" t="s">
        <v>16</v>
      </c>
      <c r="B6" s="2" t="s">
        <v>17</v>
      </c>
      <c r="C6" s="2"/>
      <c r="D6" s="2" t="s">
        <v>18</v>
      </c>
    </row>
    <row r="7" spans="1:4" ht="28.5">
      <c r="A7" s="2" t="s">
        <v>19</v>
      </c>
      <c r="B7" s="2">
        <v>12</v>
      </c>
      <c r="C7" s="2"/>
      <c r="D7" s="2" t="s">
        <v>20</v>
      </c>
    </row>
    <row r="8" spans="1:4" ht="28.5">
      <c r="A8" s="2" t="s">
        <v>21</v>
      </c>
      <c r="B8" s="2">
        <v>80</v>
      </c>
      <c r="C8" s="2"/>
      <c r="D8" s="2" t="s">
        <v>20</v>
      </c>
    </row>
    <row r="9" spans="1:4" ht="28.5">
      <c r="A9" s="2" t="s">
        <v>22</v>
      </c>
      <c r="B9" s="2">
        <v>240</v>
      </c>
      <c r="C9" s="2"/>
      <c r="D9" s="2" t="s">
        <v>20</v>
      </c>
    </row>
    <row r="10" spans="1:4" ht="57">
      <c r="A10" s="2" t="s">
        <v>23</v>
      </c>
      <c r="B10" s="2" t="s">
        <v>24</v>
      </c>
      <c r="C10" s="2" t="s">
        <v>25</v>
      </c>
      <c r="D10" s="2" t="s">
        <v>26</v>
      </c>
    </row>
    <row r="11" spans="1:4" ht="71.25">
      <c r="A11" s="2" t="s">
        <v>27</v>
      </c>
      <c r="B11" s="2" t="s">
        <v>28</v>
      </c>
      <c r="C11" s="2" t="s">
        <v>29</v>
      </c>
      <c r="D11" s="2" t="s">
        <v>30</v>
      </c>
    </row>
    <row r="12" spans="1:4" ht="42.75">
      <c r="A12" s="2" t="s">
        <v>31</v>
      </c>
      <c r="B12" s="2" t="s">
        <v>32</v>
      </c>
      <c r="C12" s="2"/>
      <c r="D12" s="2" t="s">
        <v>33</v>
      </c>
    </row>
    <row r="13" spans="1:4">
      <c r="A13" s="2" t="s">
        <v>34</v>
      </c>
      <c r="B13" s="2" t="s">
        <v>35</v>
      </c>
      <c r="C13" s="2"/>
      <c r="D13" s="2" t="s">
        <v>36</v>
      </c>
    </row>
    <row r="14" spans="1:4">
      <c r="A14" s="2" t="s">
        <v>37</v>
      </c>
      <c r="B14" s="2">
        <v>46196</v>
      </c>
      <c r="C14" s="2"/>
      <c r="D14" s="2" t="s">
        <v>38</v>
      </c>
    </row>
    <row r="15" spans="1:4">
      <c r="A15" s="2" t="s">
        <v>39</v>
      </c>
      <c r="B15" s="2">
        <v>46196</v>
      </c>
      <c r="C15" s="2"/>
      <c r="D15" s="2" t="s">
        <v>40</v>
      </c>
    </row>
    <row r="16" spans="1:4">
      <c r="A16" s="2" t="s">
        <v>41</v>
      </c>
      <c r="B16" s="2" t="s">
        <v>42</v>
      </c>
      <c r="C16" s="2"/>
      <c r="D16" s="2" t="s">
        <v>43</v>
      </c>
    </row>
    <row r="17" spans="1:4" ht="57">
      <c r="A17" s="2" t="s">
        <v>3</v>
      </c>
      <c r="B17" s="2" t="s">
        <v>44</v>
      </c>
      <c r="C17" s="2"/>
      <c r="D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topLeftCell="A5" workbookViewId="0">
      <selection activeCell="J6" sqref="J6"/>
    </sheetView>
  </sheetViews>
  <sheetFormatPr defaultRowHeight="14.25"/>
  <cols>
    <col min="1" max="1" width="18" customWidth="1"/>
    <col min="2" max="2" width="30" customWidth="1"/>
    <col min="3" max="3" width="18" customWidth="1"/>
    <col min="4" max="4" width="38" customWidth="1"/>
    <col min="5" max="8" width="18" customWidth="1"/>
    <col min="9" max="10" width="38" customWidth="1"/>
    <col min="11" max="12" width="18" customWidth="1"/>
    <col min="13" max="13" width="38" customWidth="1"/>
  </cols>
  <sheetData>
    <row r="1" spans="1:13" ht="3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16</v>
      </c>
      <c r="M1" s="1" t="s">
        <v>3</v>
      </c>
    </row>
    <row r="2" spans="1:13" ht="5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>
        <v>1</v>
      </c>
      <c r="L2" s="2" t="s">
        <v>17</v>
      </c>
      <c r="M2" s="2" t="s">
        <v>66</v>
      </c>
    </row>
    <row r="3" spans="1:13" ht="71.25">
      <c r="A3" s="2" t="s">
        <v>67</v>
      </c>
      <c r="B3" s="2" t="s">
        <v>68</v>
      </c>
      <c r="C3" s="2" t="s">
        <v>69</v>
      </c>
      <c r="D3" s="2" t="s">
        <v>70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29</v>
      </c>
      <c r="J3" s="2" t="s">
        <v>65</v>
      </c>
      <c r="K3" s="2">
        <v>2</v>
      </c>
      <c r="L3" s="2" t="s">
        <v>17</v>
      </c>
      <c r="M3" s="2" t="s">
        <v>71</v>
      </c>
    </row>
    <row r="4" spans="1:13" ht="71.25">
      <c r="A4" s="2" t="s">
        <v>72</v>
      </c>
      <c r="B4" s="2" t="s">
        <v>73</v>
      </c>
      <c r="C4" s="2" t="s">
        <v>74</v>
      </c>
      <c r="D4" s="2" t="s">
        <v>75</v>
      </c>
      <c r="E4" s="2" t="s">
        <v>60</v>
      </c>
      <c r="F4" s="2" t="s">
        <v>61</v>
      </c>
      <c r="G4" s="2" t="s">
        <v>62</v>
      </c>
      <c r="H4" s="2" t="s">
        <v>63</v>
      </c>
      <c r="I4" s="3" t="s">
        <v>29</v>
      </c>
      <c r="J4" s="2" t="s">
        <v>65</v>
      </c>
      <c r="K4" s="2">
        <v>3</v>
      </c>
      <c r="L4" s="2" t="s">
        <v>17</v>
      </c>
      <c r="M4" s="2" t="s">
        <v>76</v>
      </c>
    </row>
    <row r="5" spans="1:13" ht="71.25">
      <c r="A5" s="2" t="s">
        <v>77</v>
      </c>
      <c r="B5" s="2" t="s">
        <v>78</v>
      </c>
      <c r="C5" s="2" t="s">
        <v>79</v>
      </c>
      <c r="D5" s="2" t="s">
        <v>80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29</v>
      </c>
      <c r="J5" s="2" t="s">
        <v>65</v>
      </c>
      <c r="K5" s="2">
        <v>4</v>
      </c>
      <c r="L5" s="2" t="s">
        <v>17</v>
      </c>
      <c r="M5" s="2" t="s">
        <v>81</v>
      </c>
    </row>
    <row r="6" spans="1:13" ht="71.25">
      <c r="A6" s="2" t="s">
        <v>82</v>
      </c>
      <c r="B6" s="2" t="s">
        <v>83</v>
      </c>
      <c r="C6" s="2" t="s">
        <v>84</v>
      </c>
      <c r="D6" s="2" t="s">
        <v>85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29</v>
      </c>
      <c r="J6" s="2" t="s">
        <v>65</v>
      </c>
      <c r="K6" s="2">
        <v>5</v>
      </c>
      <c r="L6" s="2" t="s">
        <v>17</v>
      </c>
      <c r="M6" s="2" t="s">
        <v>86</v>
      </c>
    </row>
    <row r="7" spans="1:13" ht="57">
      <c r="A7" s="2" t="s">
        <v>87</v>
      </c>
      <c r="B7" s="2" t="s">
        <v>88</v>
      </c>
      <c r="C7" s="2" t="s">
        <v>89</v>
      </c>
      <c r="D7" s="2" t="s">
        <v>90</v>
      </c>
      <c r="E7" s="2" t="s">
        <v>60</v>
      </c>
      <c r="F7" s="2" t="s">
        <v>91</v>
      </c>
      <c r="G7" s="2" t="s">
        <v>62</v>
      </c>
      <c r="H7" s="2" t="s">
        <v>92</v>
      </c>
      <c r="I7" s="2" t="s">
        <v>93</v>
      </c>
      <c r="J7" s="2" t="s">
        <v>94</v>
      </c>
      <c r="K7" s="2">
        <v>6</v>
      </c>
      <c r="L7" s="2" t="s">
        <v>17</v>
      </c>
      <c r="M7" s="2" t="s">
        <v>95</v>
      </c>
    </row>
    <row r="8" spans="1:13" ht="71.25">
      <c r="A8" s="2" t="s">
        <v>96</v>
      </c>
      <c r="B8" s="2" t="s">
        <v>97</v>
      </c>
      <c r="C8" s="2" t="s">
        <v>98</v>
      </c>
      <c r="D8" s="2" t="s">
        <v>99</v>
      </c>
      <c r="E8" s="2" t="s">
        <v>60</v>
      </c>
      <c r="F8" s="2" t="s">
        <v>61</v>
      </c>
      <c r="G8" s="2" t="s">
        <v>62</v>
      </c>
      <c r="H8" s="2" t="s">
        <v>100</v>
      </c>
      <c r="I8" s="2" t="s">
        <v>101</v>
      </c>
      <c r="J8" s="2" t="s">
        <v>65</v>
      </c>
      <c r="K8" s="2">
        <v>7</v>
      </c>
      <c r="L8" s="2" t="s">
        <v>17</v>
      </c>
      <c r="M8" s="2" t="s">
        <v>102</v>
      </c>
    </row>
    <row r="9" spans="1:13" ht="71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107</v>
      </c>
      <c r="J9" s="2" t="s">
        <v>65</v>
      </c>
      <c r="K9" s="2">
        <v>8</v>
      </c>
      <c r="L9" s="2" t="s">
        <v>17</v>
      </c>
      <c r="M9" s="2" t="s">
        <v>108</v>
      </c>
    </row>
    <row r="10" spans="1:13" ht="71.25">
      <c r="A10" s="2" t="s">
        <v>109</v>
      </c>
      <c r="B10" s="2" t="s">
        <v>110</v>
      </c>
      <c r="C10" s="2" t="s">
        <v>111</v>
      </c>
      <c r="D10" s="2" t="s">
        <v>112</v>
      </c>
      <c r="E10" s="2" t="s">
        <v>60</v>
      </c>
      <c r="F10" s="2" t="s">
        <v>61</v>
      </c>
      <c r="G10" s="2" t="s">
        <v>62</v>
      </c>
      <c r="H10" s="2" t="s">
        <v>63</v>
      </c>
      <c r="I10" s="2" t="s">
        <v>29</v>
      </c>
      <c r="J10" s="2" t="s">
        <v>65</v>
      </c>
      <c r="K10" s="2">
        <v>9</v>
      </c>
      <c r="L10" s="2" t="s">
        <v>17</v>
      </c>
      <c r="M10" s="2" t="s">
        <v>113</v>
      </c>
    </row>
    <row r="11" spans="1:13" ht="71.25">
      <c r="A11" s="2" t="s">
        <v>114</v>
      </c>
      <c r="B11" s="2" t="s">
        <v>115</v>
      </c>
      <c r="C11" s="2" t="s">
        <v>116</v>
      </c>
      <c r="D11" s="2" t="s">
        <v>117</v>
      </c>
      <c r="E11" s="2" t="s">
        <v>60</v>
      </c>
      <c r="F11" s="2" t="s">
        <v>118</v>
      </c>
      <c r="G11" s="2" t="s">
        <v>62</v>
      </c>
      <c r="H11" s="2" t="s">
        <v>63</v>
      </c>
      <c r="I11" s="2" t="s">
        <v>29</v>
      </c>
      <c r="J11" s="2" t="s">
        <v>65</v>
      </c>
      <c r="K11" s="2">
        <v>10</v>
      </c>
      <c r="L11" s="2" t="s">
        <v>17</v>
      </c>
      <c r="M11" s="2" t="s">
        <v>119</v>
      </c>
    </row>
    <row r="12" spans="1:13" ht="57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60</v>
      </c>
      <c r="F12" s="2" t="s">
        <v>124</v>
      </c>
      <c r="G12" s="2" t="s">
        <v>62</v>
      </c>
      <c r="H12" s="2" t="s">
        <v>92</v>
      </c>
      <c r="I12" s="2" t="s">
        <v>93</v>
      </c>
      <c r="J12" s="2" t="s">
        <v>94</v>
      </c>
      <c r="K12" s="2">
        <v>11</v>
      </c>
      <c r="L12" s="2" t="s">
        <v>17</v>
      </c>
      <c r="M12" s="2" t="s">
        <v>125</v>
      </c>
    </row>
    <row r="13" spans="1:13" ht="42.75">
      <c r="A13" s="2" t="s">
        <v>126</v>
      </c>
      <c r="B13" s="2" t="s">
        <v>127</v>
      </c>
      <c r="C13" s="2" t="s">
        <v>128</v>
      </c>
      <c r="D13" s="2" t="s">
        <v>129</v>
      </c>
      <c r="E13" s="2" t="s">
        <v>60</v>
      </c>
      <c r="F13" s="2" t="s">
        <v>91</v>
      </c>
      <c r="G13" s="2" t="s">
        <v>62</v>
      </c>
      <c r="H13" s="2" t="s">
        <v>130</v>
      </c>
      <c r="I13" s="2" t="s">
        <v>131</v>
      </c>
      <c r="J13" s="2" t="s">
        <v>94</v>
      </c>
      <c r="K13" s="2">
        <v>12</v>
      </c>
      <c r="L13" s="2" t="s">
        <v>17</v>
      </c>
      <c r="M13" s="2" t="s">
        <v>132</v>
      </c>
    </row>
  </sheetData>
  <hyperlinks>
    <hyperlink ref="I4" r:id="rId1" xr:uid="{5E377F7E-CB59-47F6-9734-2DCCCCD8CA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workbookViewId="0"/>
  </sheetViews>
  <sheetFormatPr defaultRowHeight="14.25"/>
  <cols>
    <col min="1" max="1" width="18" customWidth="1"/>
    <col min="2" max="2" width="30" customWidth="1"/>
    <col min="3" max="8" width="18" customWidth="1"/>
    <col min="9" max="9" width="38" customWidth="1"/>
    <col min="10" max="10" width="18" customWidth="1"/>
    <col min="11" max="11" width="38" customWidth="1"/>
  </cols>
  <sheetData>
    <row r="1" spans="1:11" ht="30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3</v>
      </c>
    </row>
    <row r="2" spans="1:11" ht="57">
      <c r="A2" s="2" t="s">
        <v>143</v>
      </c>
      <c r="B2" s="2" t="s">
        <v>144</v>
      </c>
      <c r="C2" s="2" t="s">
        <v>145</v>
      </c>
      <c r="D2" s="2" t="s">
        <v>146</v>
      </c>
      <c r="E2" s="2" t="s">
        <v>147</v>
      </c>
      <c r="F2" s="2" t="s">
        <v>148</v>
      </c>
      <c r="G2" s="2" t="s">
        <v>65</v>
      </c>
      <c r="H2" s="2" t="s">
        <v>149</v>
      </c>
      <c r="I2" s="2" t="s">
        <v>150</v>
      </c>
      <c r="J2" s="2" t="s">
        <v>65</v>
      </c>
      <c r="K2" s="2" t="s">
        <v>151</v>
      </c>
    </row>
    <row r="3" spans="1:11" ht="42.75">
      <c r="A3" s="2" t="s">
        <v>152</v>
      </c>
      <c r="B3" s="2" t="s">
        <v>153</v>
      </c>
      <c r="C3" s="2" t="s">
        <v>154</v>
      </c>
      <c r="D3" s="2" t="s">
        <v>155</v>
      </c>
      <c r="E3" s="2" t="s">
        <v>156</v>
      </c>
      <c r="F3" s="2" t="s">
        <v>82</v>
      </c>
      <c r="G3" s="2" t="s">
        <v>65</v>
      </c>
      <c r="H3" s="2" t="s">
        <v>149</v>
      </c>
      <c r="I3" s="2" t="s">
        <v>157</v>
      </c>
      <c r="J3" s="2" t="s">
        <v>65</v>
      </c>
      <c r="K3" s="2" t="s">
        <v>158</v>
      </c>
    </row>
    <row r="4" spans="1:11" ht="71.25">
      <c r="A4" s="2" t="s">
        <v>159</v>
      </c>
      <c r="B4" s="2" t="s">
        <v>160</v>
      </c>
      <c r="C4" s="2" t="s">
        <v>145</v>
      </c>
      <c r="D4" s="2" t="s">
        <v>161</v>
      </c>
      <c r="E4" s="2" t="s">
        <v>147</v>
      </c>
      <c r="F4" s="2" t="s">
        <v>162</v>
      </c>
      <c r="G4" s="2" t="s">
        <v>94</v>
      </c>
      <c r="H4" s="2" t="s">
        <v>149</v>
      </c>
      <c r="I4" s="2" t="s">
        <v>29</v>
      </c>
      <c r="J4" s="2" t="s">
        <v>65</v>
      </c>
      <c r="K4" s="2" t="s">
        <v>163</v>
      </c>
    </row>
    <row r="5" spans="1:11" ht="71.25">
      <c r="A5" s="2" t="s">
        <v>164</v>
      </c>
      <c r="B5" s="2" t="s">
        <v>165</v>
      </c>
      <c r="C5" s="2" t="s">
        <v>145</v>
      </c>
      <c r="D5" s="2" t="s">
        <v>161</v>
      </c>
      <c r="E5" s="2" t="s">
        <v>147</v>
      </c>
      <c r="F5" s="2" t="s">
        <v>120</v>
      </c>
      <c r="G5" s="2" t="s">
        <v>65</v>
      </c>
      <c r="H5" s="2" t="s">
        <v>149</v>
      </c>
      <c r="I5" s="2" t="s">
        <v>29</v>
      </c>
      <c r="J5" s="2" t="s">
        <v>65</v>
      </c>
      <c r="K5" s="2" t="s">
        <v>166</v>
      </c>
    </row>
    <row r="6" spans="1:11" ht="71.25">
      <c r="A6" s="2" t="s">
        <v>167</v>
      </c>
      <c r="B6" s="2" t="s">
        <v>168</v>
      </c>
      <c r="C6" s="2" t="s">
        <v>169</v>
      </c>
      <c r="D6" s="2" t="s">
        <v>161</v>
      </c>
      <c r="E6" s="2" t="s">
        <v>147</v>
      </c>
      <c r="F6" s="2" t="s">
        <v>170</v>
      </c>
      <c r="G6" s="2" t="s">
        <v>94</v>
      </c>
      <c r="H6" s="2" t="s">
        <v>149</v>
      </c>
      <c r="I6" s="2" t="s">
        <v>29</v>
      </c>
      <c r="J6" s="2" t="s">
        <v>65</v>
      </c>
      <c r="K6" s="2" t="s">
        <v>171</v>
      </c>
    </row>
    <row r="7" spans="1:11" ht="71.25">
      <c r="A7" s="2" t="s">
        <v>172</v>
      </c>
      <c r="B7" s="2" t="s">
        <v>173</v>
      </c>
      <c r="C7" s="2" t="s">
        <v>174</v>
      </c>
      <c r="D7" s="2" t="s">
        <v>175</v>
      </c>
      <c r="E7" s="2" t="s">
        <v>176</v>
      </c>
      <c r="F7" s="2" t="s">
        <v>177</v>
      </c>
      <c r="G7" s="2" t="s">
        <v>65</v>
      </c>
      <c r="H7" s="2" t="s">
        <v>60</v>
      </c>
      <c r="I7" s="2" t="s">
        <v>29</v>
      </c>
      <c r="J7" s="2" t="s">
        <v>65</v>
      </c>
      <c r="K7" s="2" t="s">
        <v>178</v>
      </c>
    </row>
    <row r="8" spans="1:11" ht="71.25">
      <c r="A8" s="2" t="s">
        <v>179</v>
      </c>
      <c r="B8" s="2" t="s">
        <v>180</v>
      </c>
      <c r="C8" s="2" t="s">
        <v>174</v>
      </c>
      <c r="D8" s="2" t="s">
        <v>175</v>
      </c>
      <c r="E8" s="2" t="s">
        <v>176</v>
      </c>
      <c r="F8" s="2" t="s">
        <v>96</v>
      </c>
      <c r="G8" s="2" t="s">
        <v>65</v>
      </c>
      <c r="H8" s="2" t="s">
        <v>60</v>
      </c>
      <c r="I8" s="2" t="s">
        <v>29</v>
      </c>
      <c r="J8" s="2" t="s">
        <v>65</v>
      </c>
      <c r="K8" s="2" t="s">
        <v>181</v>
      </c>
    </row>
    <row r="9" spans="1:11" ht="71.25">
      <c r="A9" s="2" t="s">
        <v>182</v>
      </c>
      <c r="B9" s="2" t="s">
        <v>183</v>
      </c>
      <c r="C9" s="2" t="s">
        <v>174</v>
      </c>
      <c r="D9" s="2" t="s">
        <v>175</v>
      </c>
      <c r="E9" s="2" t="s">
        <v>176</v>
      </c>
      <c r="F9" s="2" t="s">
        <v>96</v>
      </c>
      <c r="G9" s="2" t="s">
        <v>94</v>
      </c>
      <c r="H9" s="2" t="s">
        <v>60</v>
      </c>
      <c r="I9" s="2" t="s">
        <v>29</v>
      </c>
      <c r="J9" s="2" t="s">
        <v>65</v>
      </c>
      <c r="K9" s="2" t="s">
        <v>184</v>
      </c>
    </row>
    <row r="10" spans="1:11" ht="28.5">
      <c r="A10" s="2" t="s">
        <v>185</v>
      </c>
      <c r="B10" s="2" t="s">
        <v>186</v>
      </c>
      <c r="C10" s="2" t="s">
        <v>187</v>
      </c>
      <c r="D10" s="2" t="s">
        <v>175</v>
      </c>
      <c r="E10" s="2" t="s">
        <v>176</v>
      </c>
      <c r="F10" s="2" t="s">
        <v>188</v>
      </c>
      <c r="G10" s="2" t="s">
        <v>65</v>
      </c>
      <c r="H10" s="2" t="s">
        <v>60</v>
      </c>
      <c r="I10" s="2" t="s">
        <v>131</v>
      </c>
      <c r="J10" s="2" t="s">
        <v>65</v>
      </c>
      <c r="K10" s="2" t="s">
        <v>189</v>
      </c>
    </row>
    <row r="11" spans="1:11" ht="42.75">
      <c r="A11" s="2" t="s">
        <v>190</v>
      </c>
      <c r="B11" s="2" t="s">
        <v>191</v>
      </c>
      <c r="C11" s="2" t="s">
        <v>192</v>
      </c>
      <c r="D11" s="2" t="s">
        <v>193</v>
      </c>
      <c r="E11" s="2" t="s">
        <v>176</v>
      </c>
      <c r="F11" s="2" t="s">
        <v>194</v>
      </c>
      <c r="G11" s="2" t="s">
        <v>65</v>
      </c>
      <c r="H11" s="2" t="s">
        <v>60</v>
      </c>
      <c r="I11" s="2" t="s">
        <v>195</v>
      </c>
      <c r="J11" s="2" t="s">
        <v>65</v>
      </c>
      <c r="K11" s="2" t="s">
        <v>196</v>
      </c>
    </row>
    <row r="12" spans="1:11" ht="42.75">
      <c r="A12" s="2" t="s">
        <v>197</v>
      </c>
      <c r="B12" s="2" t="s">
        <v>198</v>
      </c>
      <c r="C12" s="2" t="s">
        <v>192</v>
      </c>
      <c r="D12" s="2" t="s">
        <v>193</v>
      </c>
      <c r="E12" s="2" t="s">
        <v>176</v>
      </c>
      <c r="F12" s="2" t="s">
        <v>67</v>
      </c>
      <c r="G12" s="2" t="s">
        <v>65</v>
      </c>
      <c r="H12" s="2" t="s">
        <v>60</v>
      </c>
      <c r="I12" s="2" t="s">
        <v>195</v>
      </c>
      <c r="J12" s="2" t="s">
        <v>65</v>
      </c>
      <c r="K12" s="2" t="s">
        <v>196</v>
      </c>
    </row>
    <row r="13" spans="1:11" ht="42.75">
      <c r="A13" s="2" t="s">
        <v>199</v>
      </c>
      <c r="B13" s="2" t="s">
        <v>200</v>
      </c>
      <c r="C13" s="2" t="s">
        <v>192</v>
      </c>
      <c r="D13" s="2" t="s">
        <v>193</v>
      </c>
      <c r="E13" s="2" t="s">
        <v>176</v>
      </c>
      <c r="F13" s="2" t="s">
        <v>67</v>
      </c>
      <c r="G13" s="2" t="s">
        <v>65</v>
      </c>
      <c r="H13" s="2" t="s">
        <v>60</v>
      </c>
      <c r="I13" s="2" t="s">
        <v>195</v>
      </c>
      <c r="J13" s="2" t="s">
        <v>65</v>
      </c>
      <c r="K13" s="2" t="s">
        <v>201</v>
      </c>
    </row>
    <row r="14" spans="1:11" ht="42.75">
      <c r="A14" s="2" t="s">
        <v>202</v>
      </c>
      <c r="B14" s="2" t="s">
        <v>203</v>
      </c>
      <c r="C14" s="2" t="s">
        <v>204</v>
      </c>
      <c r="D14" s="2" t="s">
        <v>193</v>
      </c>
      <c r="E14" s="2" t="s">
        <v>176</v>
      </c>
      <c r="F14" s="2" t="s">
        <v>188</v>
      </c>
      <c r="G14" s="2" t="s">
        <v>65</v>
      </c>
      <c r="H14" s="2" t="s">
        <v>60</v>
      </c>
      <c r="I14" s="2" t="s">
        <v>195</v>
      </c>
      <c r="J14" s="2" t="s">
        <v>65</v>
      </c>
      <c r="K14" s="2" t="s">
        <v>205</v>
      </c>
    </row>
    <row r="15" spans="1:11" ht="42.75">
      <c r="A15" s="2" t="s">
        <v>206</v>
      </c>
      <c r="B15" s="2" t="s">
        <v>207</v>
      </c>
      <c r="C15" s="2" t="s">
        <v>208</v>
      </c>
      <c r="D15" s="2" t="s">
        <v>193</v>
      </c>
      <c r="E15" s="2" t="s">
        <v>176</v>
      </c>
      <c r="F15" s="2" t="s">
        <v>209</v>
      </c>
      <c r="G15" s="2" t="s">
        <v>94</v>
      </c>
      <c r="H15" s="2" t="s">
        <v>60</v>
      </c>
      <c r="I15" s="2" t="s">
        <v>195</v>
      </c>
      <c r="J15" s="2" t="s">
        <v>65</v>
      </c>
      <c r="K15" s="2" t="s">
        <v>210</v>
      </c>
    </row>
    <row r="16" spans="1:11" ht="42.75">
      <c r="A16" s="2" t="s">
        <v>211</v>
      </c>
      <c r="B16" s="2" t="s">
        <v>212</v>
      </c>
      <c r="C16" s="2" t="s">
        <v>174</v>
      </c>
      <c r="D16" s="2" t="s">
        <v>193</v>
      </c>
      <c r="E16" s="2" t="s">
        <v>176</v>
      </c>
      <c r="F16" s="2" t="s">
        <v>96</v>
      </c>
      <c r="G16" s="2" t="s">
        <v>94</v>
      </c>
      <c r="H16" s="2" t="s">
        <v>60</v>
      </c>
      <c r="I16" s="2" t="s">
        <v>195</v>
      </c>
      <c r="J16" s="2" t="s">
        <v>65</v>
      </c>
      <c r="K16" s="2" t="s">
        <v>213</v>
      </c>
    </row>
    <row r="17" spans="1:11" ht="71.25">
      <c r="A17" s="2" t="s">
        <v>214</v>
      </c>
      <c r="B17" s="2" t="s">
        <v>215</v>
      </c>
      <c r="C17" s="2" t="s">
        <v>216</v>
      </c>
      <c r="D17" s="2" t="s">
        <v>217</v>
      </c>
      <c r="E17" s="2" t="s">
        <v>176</v>
      </c>
      <c r="F17" s="2" t="s">
        <v>218</v>
      </c>
      <c r="G17" s="2" t="s">
        <v>94</v>
      </c>
      <c r="H17" s="2" t="s">
        <v>60</v>
      </c>
      <c r="I17" s="2" t="s">
        <v>29</v>
      </c>
      <c r="J17" s="2" t="s">
        <v>65</v>
      </c>
      <c r="K17" s="2" t="s">
        <v>219</v>
      </c>
    </row>
    <row r="18" spans="1:11" ht="42.75">
      <c r="A18" s="2" t="s">
        <v>220</v>
      </c>
      <c r="B18" s="2" t="s">
        <v>221</v>
      </c>
      <c r="C18" s="2" t="s">
        <v>222</v>
      </c>
      <c r="D18" s="2" t="s">
        <v>193</v>
      </c>
      <c r="E18" s="2" t="s">
        <v>176</v>
      </c>
      <c r="F18" s="2" t="s">
        <v>188</v>
      </c>
      <c r="G18" s="2" t="s">
        <v>65</v>
      </c>
      <c r="H18" s="2" t="s">
        <v>60</v>
      </c>
      <c r="I18" s="2" t="s">
        <v>195</v>
      </c>
      <c r="J18" s="2" t="s">
        <v>65</v>
      </c>
      <c r="K18" s="2" t="s">
        <v>223</v>
      </c>
    </row>
    <row r="19" spans="1:11" ht="71.25">
      <c r="A19" s="2" t="s">
        <v>224</v>
      </c>
      <c r="B19" s="2" t="s">
        <v>225</v>
      </c>
      <c r="C19" s="2" t="s">
        <v>226</v>
      </c>
      <c r="D19" s="2" t="s">
        <v>227</v>
      </c>
      <c r="E19" s="2" t="s">
        <v>176</v>
      </c>
      <c r="F19" s="2" t="s">
        <v>109</v>
      </c>
      <c r="G19" s="2" t="s">
        <v>94</v>
      </c>
      <c r="H19" s="2" t="s">
        <v>149</v>
      </c>
      <c r="I19" s="2" t="s">
        <v>29</v>
      </c>
      <c r="J19" s="2" t="s">
        <v>65</v>
      </c>
      <c r="K19" s="2" t="s">
        <v>228</v>
      </c>
    </row>
    <row r="20" spans="1:11" ht="71.25">
      <c r="A20" s="2" t="s">
        <v>229</v>
      </c>
      <c r="B20" s="2" t="s">
        <v>230</v>
      </c>
      <c r="C20" s="2" t="s">
        <v>226</v>
      </c>
      <c r="D20" s="2" t="s">
        <v>227</v>
      </c>
      <c r="E20" s="2" t="s">
        <v>176</v>
      </c>
      <c r="F20" s="2" t="s">
        <v>231</v>
      </c>
      <c r="G20" s="2" t="s">
        <v>94</v>
      </c>
      <c r="H20" s="2" t="s">
        <v>149</v>
      </c>
      <c r="I20" s="2" t="s">
        <v>29</v>
      </c>
      <c r="J20" s="2" t="s">
        <v>65</v>
      </c>
      <c r="K20" s="2" t="s">
        <v>232</v>
      </c>
    </row>
    <row r="21" spans="1:11" ht="71.25">
      <c r="A21" s="2" t="s">
        <v>233</v>
      </c>
      <c r="B21" s="2" t="s">
        <v>234</v>
      </c>
      <c r="C21" s="2" t="s">
        <v>226</v>
      </c>
      <c r="D21" s="2" t="s">
        <v>227</v>
      </c>
      <c r="E21" s="2" t="s">
        <v>176</v>
      </c>
      <c r="F21" s="2" t="s">
        <v>235</v>
      </c>
      <c r="G21" s="2" t="s">
        <v>94</v>
      </c>
      <c r="H21" s="2" t="s">
        <v>149</v>
      </c>
      <c r="I21" s="2" t="s">
        <v>29</v>
      </c>
      <c r="J21" s="2" t="s">
        <v>65</v>
      </c>
      <c r="K21" s="2" t="s">
        <v>236</v>
      </c>
    </row>
    <row r="22" spans="1:11" ht="71.25">
      <c r="A22" s="2" t="s">
        <v>237</v>
      </c>
      <c r="B22" s="2" t="s">
        <v>238</v>
      </c>
      <c r="C22" s="2" t="s">
        <v>226</v>
      </c>
      <c r="D22" s="2" t="s">
        <v>227</v>
      </c>
      <c r="E22" s="2" t="s">
        <v>176</v>
      </c>
      <c r="F22" s="2" t="s">
        <v>235</v>
      </c>
      <c r="G22" s="2" t="s">
        <v>94</v>
      </c>
      <c r="H22" s="2" t="s">
        <v>149</v>
      </c>
      <c r="I22" s="2" t="s">
        <v>29</v>
      </c>
      <c r="J22" s="2" t="s">
        <v>65</v>
      </c>
      <c r="K22" s="2" t="s">
        <v>239</v>
      </c>
    </row>
    <row r="23" spans="1:11" ht="42.75">
      <c r="A23" s="2" t="s">
        <v>240</v>
      </c>
      <c r="B23" s="2" t="s">
        <v>241</v>
      </c>
      <c r="C23" s="2" t="s">
        <v>242</v>
      </c>
      <c r="D23" s="2" t="s">
        <v>243</v>
      </c>
      <c r="E23" s="2" t="s">
        <v>147</v>
      </c>
      <c r="F23" s="2" t="s">
        <v>244</v>
      </c>
      <c r="G23" s="2" t="s">
        <v>94</v>
      </c>
      <c r="H23" s="2" t="s">
        <v>149</v>
      </c>
      <c r="I23" s="2" t="s">
        <v>131</v>
      </c>
      <c r="J23" s="2" t="s">
        <v>94</v>
      </c>
      <c r="K23" s="2" t="s">
        <v>245</v>
      </c>
    </row>
    <row r="24" spans="1:11" ht="42.75">
      <c r="A24" s="2" t="s">
        <v>246</v>
      </c>
      <c r="B24" s="2" t="s">
        <v>247</v>
      </c>
      <c r="C24" s="2" t="s">
        <v>248</v>
      </c>
      <c r="D24" s="2" t="s">
        <v>243</v>
      </c>
      <c r="E24" s="2" t="s">
        <v>147</v>
      </c>
      <c r="F24" s="2" t="s">
        <v>87</v>
      </c>
      <c r="G24" s="2" t="s">
        <v>65</v>
      </c>
      <c r="H24" s="2" t="s">
        <v>149</v>
      </c>
      <c r="I24" s="2" t="s">
        <v>93</v>
      </c>
      <c r="J24" s="2" t="s">
        <v>94</v>
      </c>
      <c r="K24" s="2" t="s">
        <v>249</v>
      </c>
    </row>
    <row r="25" spans="1:11" ht="42.75">
      <c r="A25" s="2" t="s">
        <v>250</v>
      </c>
      <c r="B25" s="2" t="s">
        <v>251</v>
      </c>
      <c r="C25" s="2" t="s">
        <v>242</v>
      </c>
      <c r="D25" s="2" t="s">
        <v>243</v>
      </c>
      <c r="E25" s="2" t="s">
        <v>147</v>
      </c>
      <c r="F25" s="2" t="s">
        <v>252</v>
      </c>
      <c r="G25" s="2" t="s">
        <v>94</v>
      </c>
      <c r="H25" s="2" t="s">
        <v>149</v>
      </c>
      <c r="I25" s="2" t="s">
        <v>93</v>
      </c>
      <c r="J25" s="2" t="s">
        <v>94</v>
      </c>
      <c r="K25" s="2" t="s">
        <v>253</v>
      </c>
    </row>
    <row r="26" spans="1:11" ht="42.75">
      <c r="A26" s="2" t="s">
        <v>254</v>
      </c>
      <c r="B26" s="2" t="s">
        <v>255</v>
      </c>
      <c r="C26" s="2" t="s">
        <v>242</v>
      </c>
      <c r="D26" s="2" t="s">
        <v>243</v>
      </c>
      <c r="E26" s="2" t="s">
        <v>147</v>
      </c>
      <c r="F26" s="2" t="s">
        <v>256</v>
      </c>
      <c r="G26" s="2" t="s">
        <v>94</v>
      </c>
      <c r="H26" s="2" t="s">
        <v>149</v>
      </c>
      <c r="I26" s="2" t="s">
        <v>93</v>
      </c>
      <c r="J26" s="2" t="s">
        <v>94</v>
      </c>
      <c r="K26" s="2" t="s">
        <v>257</v>
      </c>
    </row>
    <row r="27" spans="1:11" ht="42.75">
      <c r="A27" s="2" t="s">
        <v>258</v>
      </c>
      <c r="B27" s="2" t="s">
        <v>259</v>
      </c>
      <c r="C27" s="2" t="s">
        <v>260</v>
      </c>
      <c r="D27" s="2" t="s">
        <v>261</v>
      </c>
      <c r="E27" s="2" t="s">
        <v>262</v>
      </c>
      <c r="F27" s="2" t="s">
        <v>263</v>
      </c>
      <c r="G27" s="2" t="s">
        <v>94</v>
      </c>
      <c r="H27" s="2" t="s">
        <v>149</v>
      </c>
      <c r="I27" s="2" t="s">
        <v>93</v>
      </c>
      <c r="J27" s="2" t="s">
        <v>94</v>
      </c>
      <c r="K27" s="2" t="s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workbookViewId="0"/>
  </sheetViews>
  <sheetFormatPr defaultRowHeight="14.25"/>
  <cols>
    <col min="1" max="2" width="18" customWidth="1"/>
    <col min="3" max="3" width="30" customWidth="1"/>
    <col min="4" max="4" width="38" customWidth="1"/>
    <col min="5" max="13" width="18" customWidth="1"/>
    <col min="14" max="16" width="38" customWidth="1"/>
  </cols>
  <sheetData>
    <row r="1" spans="1:16" ht="30">
      <c r="A1" s="1" t="s">
        <v>2276</v>
      </c>
      <c r="B1" s="1" t="s">
        <v>45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55</v>
      </c>
      <c r="M1" s="1" t="s">
        <v>16</v>
      </c>
      <c r="N1" s="1" t="s">
        <v>53</v>
      </c>
      <c r="O1" s="1" t="s">
        <v>54</v>
      </c>
      <c r="P1" s="1" t="s">
        <v>3</v>
      </c>
    </row>
    <row r="2" spans="1:16" ht="85.5">
      <c r="A2" s="2" t="s">
        <v>275</v>
      </c>
      <c r="B2" s="2" t="s">
        <v>56</v>
      </c>
      <c r="C2" s="2" t="s">
        <v>276</v>
      </c>
      <c r="D2" s="2" t="s">
        <v>277</v>
      </c>
      <c r="E2" s="2" t="s">
        <v>278</v>
      </c>
      <c r="F2" s="2" t="s">
        <v>279</v>
      </c>
      <c r="G2" s="2" t="s">
        <v>280</v>
      </c>
      <c r="H2" s="2" t="s">
        <v>65</v>
      </c>
      <c r="I2" s="2" t="s">
        <v>94</v>
      </c>
      <c r="J2" s="2" t="s">
        <v>281</v>
      </c>
      <c r="K2" s="2" t="s">
        <v>282</v>
      </c>
      <c r="L2" s="2">
        <v>1</v>
      </c>
      <c r="M2" s="2" t="s">
        <v>17</v>
      </c>
      <c r="N2" s="2" t="s">
        <v>64</v>
      </c>
      <c r="O2" s="2" t="s">
        <v>65</v>
      </c>
      <c r="P2" s="2" t="s">
        <v>283</v>
      </c>
    </row>
    <row r="3" spans="1:16" ht="71.25">
      <c r="A3" s="2" t="s">
        <v>284</v>
      </c>
      <c r="B3" s="2" t="s">
        <v>56</v>
      </c>
      <c r="C3" s="2" t="s">
        <v>285</v>
      </c>
      <c r="D3" s="2" t="s">
        <v>286</v>
      </c>
      <c r="E3" s="2" t="s">
        <v>287</v>
      </c>
      <c r="F3" s="2" t="s">
        <v>279</v>
      </c>
      <c r="G3" s="2" t="s">
        <v>60</v>
      </c>
      <c r="H3" s="2" t="s">
        <v>288</v>
      </c>
      <c r="I3" s="2" t="s">
        <v>65</v>
      </c>
      <c r="J3" s="2" t="s">
        <v>281</v>
      </c>
      <c r="K3" s="2" t="s">
        <v>289</v>
      </c>
      <c r="L3" s="2">
        <v>2</v>
      </c>
      <c r="M3" s="2" t="s">
        <v>17</v>
      </c>
      <c r="N3" s="2" t="s">
        <v>29</v>
      </c>
      <c r="O3" s="2" t="s">
        <v>65</v>
      </c>
      <c r="P3" s="2" t="s">
        <v>283</v>
      </c>
    </row>
    <row r="4" spans="1:16" ht="71.25">
      <c r="A4" s="2" t="s">
        <v>290</v>
      </c>
      <c r="B4" s="2" t="s">
        <v>56</v>
      </c>
      <c r="C4" s="2" t="s">
        <v>291</v>
      </c>
      <c r="D4" s="2" t="s">
        <v>292</v>
      </c>
      <c r="E4" s="2" t="s">
        <v>293</v>
      </c>
      <c r="F4" s="2" t="s">
        <v>279</v>
      </c>
      <c r="G4" s="2" t="s">
        <v>60</v>
      </c>
      <c r="H4" s="2" t="s">
        <v>65</v>
      </c>
      <c r="I4" s="2" t="s">
        <v>94</v>
      </c>
      <c r="J4" s="2" t="s">
        <v>281</v>
      </c>
      <c r="K4" s="2" t="s">
        <v>294</v>
      </c>
      <c r="L4" s="2">
        <v>3</v>
      </c>
      <c r="M4" s="2" t="s">
        <v>17</v>
      </c>
      <c r="N4" s="2" t="s">
        <v>101</v>
      </c>
      <c r="O4" s="2" t="s">
        <v>65</v>
      </c>
      <c r="P4" s="2" t="s">
        <v>283</v>
      </c>
    </row>
    <row r="5" spans="1:16" ht="85.5">
      <c r="A5" s="2" t="s">
        <v>295</v>
      </c>
      <c r="B5" s="2" t="s">
        <v>56</v>
      </c>
      <c r="C5" s="2" t="s">
        <v>296</v>
      </c>
      <c r="D5" s="2" t="s">
        <v>297</v>
      </c>
      <c r="E5" s="2" t="s">
        <v>298</v>
      </c>
      <c r="F5" s="2" t="s">
        <v>279</v>
      </c>
      <c r="G5" s="2" t="s">
        <v>60</v>
      </c>
      <c r="H5" s="2" t="s">
        <v>65</v>
      </c>
      <c r="I5" s="2" t="s">
        <v>94</v>
      </c>
      <c r="J5" s="2" t="s">
        <v>98</v>
      </c>
      <c r="K5" s="2" t="s">
        <v>299</v>
      </c>
      <c r="L5" s="2">
        <v>4</v>
      </c>
      <c r="M5" s="2" t="s">
        <v>17</v>
      </c>
      <c r="N5" s="2" t="s">
        <v>300</v>
      </c>
      <c r="O5" s="2" t="s">
        <v>65</v>
      </c>
      <c r="P5" s="2" t="s">
        <v>283</v>
      </c>
    </row>
    <row r="6" spans="1:16" ht="71.25">
      <c r="A6" s="2" t="s">
        <v>301</v>
      </c>
      <c r="B6" s="2" t="s">
        <v>56</v>
      </c>
      <c r="C6" s="2" t="s">
        <v>302</v>
      </c>
      <c r="D6" s="2" t="s">
        <v>303</v>
      </c>
      <c r="E6" s="2" t="s">
        <v>304</v>
      </c>
      <c r="F6" s="2" t="s">
        <v>279</v>
      </c>
      <c r="G6" s="2" t="s">
        <v>60</v>
      </c>
      <c r="H6" s="2" t="s">
        <v>65</v>
      </c>
      <c r="I6" s="2" t="s">
        <v>65</v>
      </c>
      <c r="J6" s="2" t="s">
        <v>89</v>
      </c>
      <c r="K6" s="2" t="s">
        <v>305</v>
      </c>
      <c r="L6" s="2">
        <v>5</v>
      </c>
      <c r="M6" s="2" t="s">
        <v>17</v>
      </c>
      <c r="N6" s="2" t="s">
        <v>131</v>
      </c>
      <c r="O6" s="2" t="s">
        <v>65</v>
      </c>
      <c r="P6" s="2" t="s">
        <v>283</v>
      </c>
    </row>
    <row r="7" spans="1:16" ht="57">
      <c r="A7" s="2" t="s">
        <v>306</v>
      </c>
      <c r="B7" s="2" t="s">
        <v>56</v>
      </c>
      <c r="C7" s="2" t="s">
        <v>307</v>
      </c>
      <c r="D7" s="2" t="s">
        <v>308</v>
      </c>
      <c r="E7" s="2" t="s">
        <v>309</v>
      </c>
      <c r="F7" s="2" t="s">
        <v>279</v>
      </c>
      <c r="G7" s="2" t="s">
        <v>280</v>
      </c>
      <c r="H7" s="2" t="s">
        <v>94</v>
      </c>
      <c r="I7" s="2" t="s">
        <v>65</v>
      </c>
      <c r="J7" s="2" t="s">
        <v>310</v>
      </c>
      <c r="K7" s="2" t="s">
        <v>311</v>
      </c>
      <c r="L7" s="2">
        <v>6</v>
      </c>
      <c r="M7" s="2" t="s">
        <v>17</v>
      </c>
      <c r="N7" s="2" t="s">
        <v>131</v>
      </c>
      <c r="O7" s="2" t="s">
        <v>65</v>
      </c>
      <c r="P7" s="2" t="s">
        <v>283</v>
      </c>
    </row>
    <row r="8" spans="1:16" ht="71.25">
      <c r="A8" s="2" t="s">
        <v>312</v>
      </c>
      <c r="B8" s="2" t="s">
        <v>67</v>
      </c>
      <c r="C8" s="2" t="s">
        <v>313</v>
      </c>
      <c r="D8" s="2" t="s">
        <v>314</v>
      </c>
      <c r="E8" s="2" t="s">
        <v>315</v>
      </c>
      <c r="F8" s="2" t="s">
        <v>279</v>
      </c>
      <c r="G8" s="2" t="s">
        <v>60</v>
      </c>
      <c r="H8" s="2" t="s">
        <v>288</v>
      </c>
      <c r="I8" s="2" t="s">
        <v>94</v>
      </c>
      <c r="J8" s="2" t="s">
        <v>69</v>
      </c>
      <c r="K8" s="2" t="s">
        <v>316</v>
      </c>
      <c r="L8" s="2">
        <v>1</v>
      </c>
      <c r="M8" s="2" t="s">
        <v>17</v>
      </c>
      <c r="N8" s="2" t="s">
        <v>29</v>
      </c>
      <c r="O8" s="2" t="s">
        <v>65</v>
      </c>
      <c r="P8" s="2" t="s">
        <v>283</v>
      </c>
    </row>
    <row r="9" spans="1:16" ht="71.25">
      <c r="A9" s="2" t="s">
        <v>317</v>
      </c>
      <c r="B9" s="2" t="s">
        <v>67</v>
      </c>
      <c r="C9" s="2" t="s">
        <v>318</v>
      </c>
      <c r="D9" s="2" t="s">
        <v>319</v>
      </c>
      <c r="E9" s="2" t="s">
        <v>320</v>
      </c>
      <c r="F9" s="2" t="s">
        <v>279</v>
      </c>
      <c r="G9" s="2" t="s">
        <v>60</v>
      </c>
      <c r="H9" s="2" t="s">
        <v>288</v>
      </c>
      <c r="I9" s="2" t="s">
        <v>94</v>
      </c>
      <c r="J9" s="2" t="s">
        <v>69</v>
      </c>
      <c r="K9" s="2" t="s">
        <v>321</v>
      </c>
      <c r="L9" s="2">
        <v>2</v>
      </c>
      <c r="M9" s="2" t="s">
        <v>17</v>
      </c>
      <c r="N9" s="2" t="s">
        <v>29</v>
      </c>
      <c r="O9" s="2" t="s">
        <v>65</v>
      </c>
      <c r="P9" s="2" t="s">
        <v>283</v>
      </c>
    </row>
    <row r="10" spans="1:16" ht="85.5">
      <c r="A10" s="2" t="s">
        <v>322</v>
      </c>
      <c r="B10" s="2" t="s">
        <v>67</v>
      </c>
      <c r="C10" s="2" t="s">
        <v>323</v>
      </c>
      <c r="D10" s="2" t="s">
        <v>324</v>
      </c>
      <c r="E10" s="2" t="s">
        <v>325</v>
      </c>
      <c r="F10" s="2" t="s">
        <v>279</v>
      </c>
      <c r="G10" s="2" t="s">
        <v>60</v>
      </c>
      <c r="H10" s="2" t="s">
        <v>65</v>
      </c>
      <c r="I10" s="2" t="s">
        <v>94</v>
      </c>
      <c r="J10" s="2" t="s">
        <v>116</v>
      </c>
      <c r="K10" s="2" t="s">
        <v>326</v>
      </c>
      <c r="L10" s="2">
        <v>3</v>
      </c>
      <c r="M10" s="2" t="s">
        <v>17</v>
      </c>
      <c r="N10" s="2" t="s">
        <v>327</v>
      </c>
      <c r="O10" s="2" t="s">
        <v>65</v>
      </c>
      <c r="P10" s="2" t="s">
        <v>283</v>
      </c>
    </row>
    <row r="11" spans="1:16" ht="71.25">
      <c r="A11" s="2" t="s">
        <v>328</v>
      </c>
      <c r="B11" s="2" t="s">
        <v>67</v>
      </c>
      <c r="C11" s="2" t="s">
        <v>329</v>
      </c>
      <c r="D11" s="2" t="s">
        <v>330</v>
      </c>
      <c r="E11" s="2" t="s">
        <v>331</v>
      </c>
      <c r="F11" s="2" t="s">
        <v>279</v>
      </c>
      <c r="G11" s="2" t="s">
        <v>60</v>
      </c>
      <c r="H11" s="2" t="s">
        <v>288</v>
      </c>
      <c r="I11" s="2" t="s">
        <v>65</v>
      </c>
      <c r="J11" s="2" t="s">
        <v>69</v>
      </c>
      <c r="K11" s="2" t="s">
        <v>332</v>
      </c>
      <c r="L11" s="2">
        <v>4</v>
      </c>
      <c r="M11" s="2" t="s">
        <v>17</v>
      </c>
      <c r="N11" s="2" t="s">
        <v>195</v>
      </c>
      <c r="O11" s="2" t="s">
        <v>65</v>
      </c>
      <c r="P11" s="2" t="s">
        <v>283</v>
      </c>
    </row>
    <row r="12" spans="1:16" ht="71.25">
      <c r="A12" s="2" t="s">
        <v>333</v>
      </c>
      <c r="B12" s="2" t="s">
        <v>67</v>
      </c>
      <c r="C12" s="2" t="s">
        <v>334</v>
      </c>
      <c r="D12" s="2" t="s">
        <v>335</v>
      </c>
      <c r="E12" s="2" t="s">
        <v>336</v>
      </c>
      <c r="F12" s="2" t="s">
        <v>279</v>
      </c>
      <c r="G12" s="2" t="s">
        <v>280</v>
      </c>
      <c r="H12" s="2" t="s">
        <v>65</v>
      </c>
      <c r="I12" s="2" t="s">
        <v>65</v>
      </c>
      <c r="J12" s="2" t="s">
        <v>69</v>
      </c>
      <c r="K12" s="2" t="s">
        <v>337</v>
      </c>
      <c r="L12" s="2">
        <v>5</v>
      </c>
      <c r="M12" s="2" t="s">
        <v>17</v>
      </c>
      <c r="N12" s="2" t="s">
        <v>195</v>
      </c>
      <c r="O12" s="2" t="s">
        <v>65</v>
      </c>
      <c r="P12" s="2" t="s">
        <v>283</v>
      </c>
    </row>
    <row r="13" spans="1:16" ht="71.25">
      <c r="A13" s="2" t="s">
        <v>338</v>
      </c>
      <c r="B13" s="2" t="s">
        <v>67</v>
      </c>
      <c r="C13" s="2" t="s">
        <v>339</v>
      </c>
      <c r="D13" s="2" t="s">
        <v>340</v>
      </c>
      <c r="E13" s="2" t="s">
        <v>341</v>
      </c>
      <c r="F13" s="2" t="s">
        <v>279</v>
      </c>
      <c r="G13" s="2" t="s">
        <v>60</v>
      </c>
      <c r="H13" s="2" t="s">
        <v>288</v>
      </c>
      <c r="I13" s="2" t="s">
        <v>94</v>
      </c>
      <c r="J13" s="2" t="s">
        <v>69</v>
      </c>
      <c r="K13" s="2" t="s">
        <v>342</v>
      </c>
      <c r="L13" s="2">
        <v>6</v>
      </c>
      <c r="M13" s="2" t="s">
        <v>17</v>
      </c>
      <c r="N13" s="2" t="s">
        <v>327</v>
      </c>
      <c r="O13" s="2" t="s">
        <v>65</v>
      </c>
      <c r="P13" s="2" t="s">
        <v>283</v>
      </c>
    </row>
    <row r="14" spans="1:16" ht="71.25">
      <c r="A14" s="2" t="s">
        <v>343</v>
      </c>
      <c r="B14" s="2" t="s">
        <v>67</v>
      </c>
      <c r="C14" s="2" t="s">
        <v>344</v>
      </c>
      <c r="D14" s="2" t="s">
        <v>345</v>
      </c>
      <c r="E14" s="2" t="s">
        <v>346</v>
      </c>
      <c r="F14" s="2" t="s">
        <v>279</v>
      </c>
      <c r="G14" s="2" t="s">
        <v>60</v>
      </c>
      <c r="H14" s="2" t="s">
        <v>65</v>
      </c>
      <c r="I14" s="2" t="s">
        <v>65</v>
      </c>
      <c r="J14" s="2" t="s">
        <v>89</v>
      </c>
      <c r="K14" s="2" t="s">
        <v>347</v>
      </c>
      <c r="L14" s="2">
        <v>7</v>
      </c>
      <c r="M14" s="2" t="s">
        <v>17</v>
      </c>
      <c r="N14" s="2" t="s">
        <v>101</v>
      </c>
      <c r="O14" s="2" t="s">
        <v>65</v>
      </c>
      <c r="P14" s="2" t="s">
        <v>283</v>
      </c>
    </row>
    <row r="15" spans="1:16" ht="71.25">
      <c r="A15" s="2" t="s">
        <v>348</v>
      </c>
      <c r="B15" s="2" t="s">
        <v>67</v>
      </c>
      <c r="C15" s="2" t="s">
        <v>349</v>
      </c>
      <c r="D15" s="2" t="s">
        <v>350</v>
      </c>
      <c r="E15" s="2" t="s">
        <v>351</v>
      </c>
      <c r="F15" s="2" t="s">
        <v>279</v>
      </c>
      <c r="G15" s="2" t="s">
        <v>280</v>
      </c>
      <c r="H15" s="2" t="s">
        <v>94</v>
      </c>
      <c r="I15" s="2" t="s">
        <v>94</v>
      </c>
      <c r="J15" s="2" t="s">
        <v>105</v>
      </c>
      <c r="K15" s="2" t="s">
        <v>352</v>
      </c>
      <c r="L15" s="2">
        <v>8</v>
      </c>
      <c r="M15" s="2" t="s">
        <v>17</v>
      </c>
      <c r="N15" s="2" t="s">
        <v>353</v>
      </c>
      <c r="O15" s="2" t="s">
        <v>65</v>
      </c>
      <c r="P15" s="2" t="s">
        <v>283</v>
      </c>
    </row>
    <row r="16" spans="1:16" ht="85.5">
      <c r="A16" s="2" t="s">
        <v>354</v>
      </c>
      <c r="B16" s="2" t="s">
        <v>72</v>
      </c>
      <c r="C16" s="2" t="s">
        <v>355</v>
      </c>
      <c r="D16" s="2" t="s">
        <v>356</v>
      </c>
      <c r="E16" s="2" t="s">
        <v>357</v>
      </c>
      <c r="F16" s="2" t="s">
        <v>279</v>
      </c>
      <c r="G16" s="2" t="s">
        <v>280</v>
      </c>
      <c r="H16" s="2" t="s">
        <v>65</v>
      </c>
      <c r="I16" s="2" t="s">
        <v>94</v>
      </c>
      <c r="J16" s="2" t="s">
        <v>74</v>
      </c>
      <c r="K16" s="2" t="s">
        <v>358</v>
      </c>
      <c r="L16" s="2">
        <v>1</v>
      </c>
      <c r="M16" s="2" t="s">
        <v>17</v>
      </c>
      <c r="N16" s="2" t="s">
        <v>29</v>
      </c>
      <c r="O16" s="2" t="s">
        <v>65</v>
      </c>
      <c r="P16" s="2" t="s">
        <v>283</v>
      </c>
    </row>
    <row r="17" spans="1:16" ht="71.25">
      <c r="A17" s="2" t="s">
        <v>359</v>
      </c>
      <c r="B17" s="2" t="s">
        <v>72</v>
      </c>
      <c r="C17" s="2" t="s">
        <v>360</v>
      </c>
      <c r="D17" s="2" t="s">
        <v>361</v>
      </c>
      <c r="E17" s="2" t="s">
        <v>362</v>
      </c>
      <c r="F17" s="2" t="s">
        <v>279</v>
      </c>
      <c r="G17" s="2" t="s">
        <v>60</v>
      </c>
      <c r="H17" s="2" t="s">
        <v>288</v>
      </c>
      <c r="I17" s="2" t="s">
        <v>94</v>
      </c>
      <c r="J17" s="2" t="s">
        <v>74</v>
      </c>
      <c r="K17" s="2" t="s">
        <v>363</v>
      </c>
      <c r="L17" s="2">
        <v>2</v>
      </c>
      <c r="M17" s="2" t="s">
        <v>17</v>
      </c>
      <c r="N17" s="2" t="s">
        <v>29</v>
      </c>
      <c r="O17" s="2" t="s">
        <v>65</v>
      </c>
      <c r="P17" s="2" t="s">
        <v>283</v>
      </c>
    </row>
    <row r="18" spans="1:16" ht="71.25">
      <c r="A18" s="2" t="s">
        <v>364</v>
      </c>
      <c r="B18" s="2" t="s">
        <v>72</v>
      </c>
      <c r="C18" s="2" t="s">
        <v>365</v>
      </c>
      <c r="D18" s="2" t="s">
        <v>366</v>
      </c>
      <c r="E18" s="2" t="s">
        <v>367</v>
      </c>
      <c r="F18" s="2" t="s">
        <v>279</v>
      </c>
      <c r="G18" s="2" t="s">
        <v>280</v>
      </c>
      <c r="H18" s="2" t="s">
        <v>288</v>
      </c>
      <c r="I18" s="2" t="s">
        <v>94</v>
      </c>
      <c r="J18" s="2" t="s">
        <v>74</v>
      </c>
      <c r="K18" s="2" t="s">
        <v>368</v>
      </c>
      <c r="L18" s="2">
        <v>3</v>
      </c>
      <c r="M18" s="2" t="s">
        <v>17</v>
      </c>
      <c r="N18" s="2" t="s">
        <v>64</v>
      </c>
      <c r="O18" s="2" t="s">
        <v>65</v>
      </c>
      <c r="P18" s="2" t="s">
        <v>283</v>
      </c>
    </row>
    <row r="19" spans="1:16" ht="57">
      <c r="A19" s="2" t="s">
        <v>369</v>
      </c>
      <c r="B19" s="2" t="s">
        <v>72</v>
      </c>
      <c r="C19" s="2" t="s">
        <v>370</v>
      </c>
      <c r="D19" s="2" t="s">
        <v>371</v>
      </c>
      <c r="E19" s="2" t="s">
        <v>372</v>
      </c>
      <c r="F19" s="2" t="s">
        <v>279</v>
      </c>
      <c r="G19" s="2" t="s">
        <v>60</v>
      </c>
      <c r="H19" s="2" t="s">
        <v>288</v>
      </c>
      <c r="I19" s="2" t="s">
        <v>373</v>
      </c>
      <c r="J19" s="2" t="s">
        <v>74</v>
      </c>
      <c r="K19" s="2" t="s">
        <v>374</v>
      </c>
      <c r="L19" s="2">
        <v>4</v>
      </c>
      <c r="M19" s="2" t="s">
        <v>17</v>
      </c>
      <c r="N19" s="2" t="s">
        <v>64</v>
      </c>
      <c r="O19" s="2" t="s">
        <v>65</v>
      </c>
      <c r="P19" s="2" t="s">
        <v>283</v>
      </c>
    </row>
    <row r="20" spans="1:16" ht="57">
      <c r="A20" s="2" t="s">
        <v>375</v>
      </c>
      <c r="B20" s="2" t="s">
        <v>72</v>
      </c>
      <c r="C20" s="2" t="s">
        <v>376</v>
      </c>
      <c r="D20" s="2" t="s">
        <v>377</v>
      </c>
      <c r="E20" s="2" t="s">
        <v>378</v>
      </c>
      <c r="F20" s="2" t="s">
        <v>279</v>
      </c>
      <c r="G20" s="2" t="s">
        <v>60</v>
      </c>
      <c r="H20" s="2" t="s">
        <v>288</v>
      </c>
      <c r="I20" s="2" t="s">
        <v>94</v>
      </c>
      <c r="J20" s="2" t="s">
        <v>74</v>
      </c>
      <c r="K20" s="2" t="s">
        <v>379</v>
      </c>
      <c r="L20" s="2">
        <v>5</v>
      </c>
      <c r="M20" s="2" t="s">
        <v>17</v>
      </c>
      <c r="N20" s="2" t="s">
        <v>64</v>
      </c>
      <c r="O20" s="2" t="s">
        <v>65</v>
      </c>
      <c r="P20" s="2" t="s">
        <v>283</v>
      </c>
    </row>
    <row r="21" spans="1:16" ht="57">
      <c r="A21" s="2" t="s">
        <v>380</v>
      </c>
      <c r="B21" s="2" t="s">
        <v>72</v>
      </c>
      <c r="C21" s="2" t="s">
        <v>381</v>
      </c>
      <c r="D21" s="2" t="s">
        <v>382</v>
      </c>
      <c r="E21" s="2" t="s">
        <v>383</v>
      </c>
      <c r="F21" s="2" t="s">
        <v>279</v>
      </c>
      <c r="G21" s="2" t="s">
        <v>60</v>
      </c>
      <c r="H21" s="2" t="s">
        <v>65</v>
      </c>
      <c r="I21" s="2" t="s">
        <v>373</v>
      </c>
      <c r="J21" s="2" t="s">
        <v>74</v>
      </c>
      <c r="K21" s="2" t="s">
        <v>384</v>
      </c>
      <c r="L21" s="2">
        <v>6</v>
      </c>
      <c r="M21" s="2" t="s">
        <v>17</v>
      </c>
      <c r="N21" s="2" t="s">
        <v>64</v>
      </c>
      <c r="O21" s="2" t="s">
        <v>65</v>
      </c>
      <c r="P21" s="2" t="s">
        <v>283</v>
      </c>
    </row>
    <row r="22" spans="1:16" ht="57">
      <c r="A22" s="2" t="s">
        <v>385</v>
      </c>
      <c r="B22" s="2" t="s">
        <v>72</v>
      </c>
      <c r="C22" s="2" t="s">
        <v>386</v>
      </c>
      <c r="D22" s="2" t="s">
        <v>387</v>
      </c>
      <c r="E22" s="2" t="s">
        <v>388</v>
      </c>
      <c r="F22" s="2" t="s">
        <v>279</v>
      </c>
      <c r="G22" s="2" t="s">
        <v>60</v>
      </c>
      <c r="H22" s="2" t="s">
        <v>65</v>
      </c>
      <c r="I22" s="2" t="s">
        <v>65</v>
      </c>
      <c r="J22" s="2" t="s">
        <v>89</v>
      </c>
      <c r="K22" s="2" t="s">
        <v>389</v>
      </c>
      <c r="L22" s="2">
        <v>7</v>
      </c>
      <c r="M22" s="2" t="s">
        <v>17</v>
      </c>
      <c r="N22" s="2" t="s">
        <v>64</v>
      </c>
      <c r="O22" s="2" t="s">
        <v>65</v>
      </c>
      <c r="P22" s="2" t="s">
        <v>283</v>
      </c>
    </row>
    <row r="23" spans="1:16" ht="71.25">
      <c r="A23" s="2" t="s">
        <v>390</v>
      </c>
      <c r="B23" s="2" t="s">
        <v>72</v>
      </c>
      <c r="C23" s="2" t="s">
        <v>391</v>
      </c>
      <c r="D23" s="2" t="s">
        <v>392</v>
      </c>
      <c r="E23" s="2" t="s">
        <v>393</v>
      </c>
      <c r="F23" s="2" t="s">
        <v>279</v>
      </c>
      <c r="G23" s="2" t="s">
        <v>280</v>
      </c>
      <c r="H23" s="2" t="s">
        <v>94</v>
      </c>
      <c r="I23" s="2" t="s">
        <v>373</v>
      </c>
      <c r="J23" s="2" t="s">
        <v>74</v>
      </c>
      <c r="K23" s="2" t="s">
        <v>394</v>
      </c>
      <c r="L23" s="2">
        <v>8</v>
      </c>
      <c r="M23" s="2" t="s">
        <v>17</v>
      </c>
      <c r="N23" s="2" t="s">
        <v>29</v>
      </c>
      <c r="O23" s="2" t="s">
        <v>65</v>
      </c>
      <c r="P23" s="2" t="s">
        <v>283</v>
      </c>
    </row>
    <row r="24" spans="1:16" ht="71.25">
      <c r="A24" s="2" t="s">
        <v>395</v>
      </c>
      <c r="B24" s="2" t="s">
        <v>77</v>
      </c>
      <c r="C24" s="2" t="s">
        <v>396</v>
      </c>
      <c r="D24" s="2" t="s">
        <v>397</v>
      </c>
      <c r="E24" s="2" t="s">
        <v>398</v>
      </c>
      <c r="F24" s="2" t="s">
        <v>279</v>
      </c>
      <c r="G24" s="2" t="s">
        <v>60</v>
      </c>
      <c r="H24" s="2" t="s">
        <v>288</v>
      </c>
      <c r="I24" s="2" t="s">
        <v>65</v>
      </c>
      <c r="J24" s="2" t="s">
        <v>79</v>
      </c>
      <c r="K24" s="2" t="s">
        <v>399</v>
      </c>
      <c r="L24" s="2">
        <v>1</v>
      </c>
      <c r="M24" s="2" t="s">
        <v>17</v>
      </c>
      <c r="N24" s="2" t="s">
        <v>29</v>
      </c>
      <c r="O24" s="2" t="s">
        <v>65</v>
      </c>
      <c r="P24" s="2" t="s">
        <v>283</v>
      </c>
    </row>
    <row r="25" spans="1:16" ht="57">
      <c r="A25" s="2" t="s">
        <v>400</v>
      </c>
      <c r="B25" s="2" t="s">
        <v>77</v>
      </c>
      <c r="C25" s="2" t="s">
        <v>401</v>
      </c>
      <c r="D25" s="2" t="s">
        <v>402</v>
      </c>
      <c r="E25" s="2" t="s">
        <v>403</v>
      </c>
      <c r="F25" s="2" t="s">
        <v>279</v>
      </c>
      <c r="G25" s="2" t="s">
        <v>60</v>
      </c>
      <c r="H25" s="2" t="s">
        <v>288</v>
      </c>
      <c r="I25" s="2" t="s">
        <v>65</v>
      </c>
      <c r="J25" s="2" t="s">
        <v>79</v>
      </c>
      <c r="K25" s="2" t="s">
        <v>404</v>
      </c>
      <c r="L25" s="2">
        <v>2</v>
      </c>
      <c r="M25" s="2" t="s">
        <v>17</v>
      </c>
      <c r="N25" s="2" t="s">
        <v>64</v>
      </c>
      <c r="O25" s="2" t="s">
        <v>65</v>
      </c>
      <c r="P25" s="2" t="s">
        <v>283</v>
      </c>
    </row>
    <row r="26" spans="1:16" ht="71.25">
      <c r="A26" s="2" t="s">
        <v>405</v>
      </c>
      <c r="B26" s="2" t="s">
        <v>77</v>
      </c>
      <c r="C26" s="2" t="s">
        <v>406</v>
      </c>
      <c r="D26" s="2" t="s">
        <v>407</v>
      </c>
      <c r="E26" s="2" t="s">
        <v>408</v>
      </c>
      <c r="F26" s="2" t="s">
        <v>279</v>
      </c>
      <c r="G26" s="2" t="s">
        <v>60</v>
      </c>
      <c r="H26" s="2" t="s">
        <v>288</v>
      </c>
      <c r="I26" s="2" t="s">
        <v>65</v>
      </c>
      <c r="J26" s="2" t="s">
        <v>79</v>
      </c>
      <c r="K26" s="2" t="s">
        <v>409</v>
      </c>
      <c r="L26" s="2">
        <v>3</v>
      </c>
      <c r="M26" s="2" t="s">
        <v>17</v>
      </c>
      <c r="N26" s="2" t="s">
        <v>29</v>
      </c>
      <c r="O26" s="2" t="s">
        <v>65</v>
      </c>
      <c r="P26" s="2" t="s">
        <v>283</v>
      </c>
    </row>
    <row r="27" spans="1:16" ht="71.25">
      <c r="A27" s="2" t="s">
        <v>410</v>
      </c>
      <c r="B27" s="2" t="s">
        <v>77</v>
      </c>
      <c r="C27" s="2" t="s">
        <v>411</v>
      </c>
      <c r="D27" s="2" t="s">
        <v>412</v>
      </c>
      <c r="E27" s="2" t="s">
        <v>413</v>
      </c>
      <c r="F27" s="2" t="s">
        <v>279</v>
      </c>
      <c r="G27" s="2" t="s">
        <v>280</v>
      </c>
      <c r="H27" s="2" t="s">
        <v>65</v>
      </c>
      <c r="I27" s="2" t="s">
        <v>94</v>
      </c>
      <c r="J27" s="2" t="s">
        <v>79</v>
      </c>
      <c r="K27" s="2" t="s">
        <v>414</v>
      </c>
      <c r="L27" s="2">
        <v>4</v>
      </c>
      <c r="M27" s="2" t="s">
        <v>17</v>
      </c>
      <c r="N27" s="2" t="s">
        <v>93</v>
      </c>
      <c r="O27" s="2" t="s">
        <v>65</v>
      </c>
      <c r="P27" s="2" t="s">
        <v>283</v>
      </c>
    </row>
    <row r="28" spans="1:16" ht="71.25">
      <c r="A28" s="2" t="s">
        <v>415</v>
      </c>
      <c r="B28" s="2" t="s">
        <v>77</v>
      </c>
      <c r="C28" s="2" t="s">
        <v>416</v>
      </c>
      <c r="D28" s="2" t="s">
        <v>417</v>
      </c>
      <c r="E28" s="2" t="s">
        <v>418</v>
      </c>
      <c r="F28" s="2" t="s">
        <v>279</v>
      </c>
      <c r="G28" s="2" t="s">
        <v>60</v>
      </c>
      <c r="H28" s="2" t="s">
        <v>94</v>
      </c>
      <c r="I28" s="2" t="s">
        <v>94</v>
      </c>
      <c r="J28" s="2" t="s">
        <v>79</v>
      </c>
      <c r="K28" s="2" t="s">
        <v>419</v>
      </c>
      <c r="L28" s="2">
        <v>5</v>
      </c>
      <c r="M28" s="2" t="s">
        <v>17</v>
      </c>
      <c r="N28" s="2" t="s">
        <v>29</v>
      </c>
      <c r="O28" s="2" t="s">
        <v>65</v>
      </c>
      <c r="P28" s="2" t="s">
        <v>283</v>
      </c>
    </row>
    <row r="29" spans="1:16" ht="71.25">
      <c r="A29" s="2" t="s">
        <v>420</v>
      </c>
      <c r="B29" s="2" t="s">
        <v>77</v>
      </c>
      <c r="C29" s="2" t="s">
        <v>421</v>
      </c>
      <c r="D29" s="2" t="s">
        <v>422</v>
      </c>
      <c r="E29" s="2" t="s">
        <v>423</v>
      </c>
      <c r="F29" s="2" t="s">
        <v>279</v>
      </c>
      <c r="G29" s="2" t="s">
        <v>60</v>
      </c>
      <c r="H29" s="2" t="s">
        <v>65</v>
      </c>
      <c r="I29" s="2" t="s">
        <v>65</v>
      </c>
      <c r="J29" s="2" t="s">
        <v>122</v>
      </c>
      <c r="K29" s="2" t="s">
        <v>424</v>
      </c>
      <c r="L29" s="2">
        <v>6</v>
      </c>
      <c r="M29" s="2" t="s">
        <v>17</v>
      </c>
      <c r="N29" s="2" t="s">
        <v>353</v>
      </c>
      <c r="O29" s="2" t="s">
        <v>65</v>
      </c>
      <c r="P29" s="2" t="s">
        <v>283</v>
      </c>
    </row>
    <row r="30" spans="1:16" ht="71.25">
      <c r="A30" s="2" t="s">
        <v>425</v>
      </c>
      <c r="B30" s="2" t="s">
        <v>77</v>
      </c>
      <c r="C30" s="2" t="s">
        <v>426</v>
      </c>
      <c r="D30" s="2" t="s">
        <v>427</v>
      </c>
      <c r="E30" s="2" t="s">
        <v>428</v>
      </c>
      <c r="F30" s="2" t="s">
        <v>279</v>
      </c>
      <c r="G30" s="2" t="s">
        <v>280</v>
      </c>
      <c r="H30" s="2" t="s">
        <v>94</v>
      </c>
      <c r="I30" s="2" t="s">
        <v>94</v>
      </c>
      <c r="J30" s="2" t="s">
        <v>79</v>
      </c>
      <c r="K30" s="2" t="s">
        <v>429</v>
      </c>
      <c r="L30" s="2">
        <v>7</v>
      </c>
      <c r="M30" s="2" t="s">
        <v>17</v>
      </c>
      <c r="N30" s="2" t="s">
        <v>93</v>
      </c>
      <c r="O30" s="2" t="s">
        <v>65</v>
      </c>
      <c r="P30" s="2" t="s">
        <v>283</v>
      </c>
    </row>
    <row r="31" spans="1:16" ht="71.25">
      <c r="A31" s="2" t="s">
        <v>430</v>
      </c>
      <c r="B31" s="2" t="s">
        <v>82</v>
      </c>
      <c r="C31" s="2" t="s">
        <v>431</v>
      </c>
      <c r="D31" s="2" t="s">
        <v>432</v>
      </c>
      <c r="E31" s="2" t="s">
        <v>433</v>
      </c>
      <c r="F31" s="2" t="s">
        <v>279</v>
      </c>
      <c r="G31" s="2" t="s">
        <v>60</v>
      </c>
      <c r="H31" s="2" t="s">
        <v>288</v>
      </c>
      <c r="I31" s="2" t="s">
        <v>65</v>
      </c>
      <c r="J31" s="2" t="s">
        <v>84</v>
      </c>
      <c r="K31" s="2" t="s">
        <v>434</v>
      </c>
      <c r="L31" s="2">
        <v>1</v>
      </c>
      <c r="M31" s="2" t="s">
        <v>17</v>
      </c>
      <c r="N31" s="2" t="s">
        <v>353</v>
      </c>
      <c r="O31" s="2" t="s">
        <v>65</v>
      </c>
      <c r="P31" s="2" t="s">
        <v>283</v>
      </c>
    </row>
    <row r="32" spans="1:16" ht="71.25">
      <c r="A32" s="2" t="s">
        <v>435</v>
      </c>
      <c r="B32" s="2" t="s">
        <v>82</v>
      </c>
      <c r="C32" s="2" t="s">
        <v>436</v>
      </c>
      <c r="D32" s="2" t="s">
        <v>437</v>
      </c>
      <c r="E32" s="2" t="s">
        <v>438</v>
      </c>
      <c r="F32" s="2" t="s">
        <v>279</v>
      </c>
      <c r="G32" s="2" t="s">
        <v>60</v>
      </c>
      <c r="H32" s="2" t="s">
        <v>288</v>
      </c>
      <c r="I32" s="2" t="s">
        <v>65</v>
      </c>
      <c r="J32" s="2" t="s">
        <v>84</v>
      </c>
      <c r="K32" s="2" t="s">
        <v>439</v>
      </c>
      <c r="L32" s="2">
        <v>2</v>
      </c>
      <c r="M32" s="2" t="s">
        <v>17</v>
      </c>
      <c r="N32" s="2" t="s">
        <v>29</v>
      </c>
      <c r="O32" s="2" t="s">
        <v>65</v>
      </c>
      <c r="P32" s="2" t="s">
        <v>283</v>
      </c>
    </row>
    <row r="33" spans="1:16" ht="71.25">
      <c r="A33" s="2" t="s">
        <v>440</v>
      </c>
      <c r="B33" s="2" t="s">
        <v>82</v>
      </c>
      <c r="C33" s="2" t="s">
        <v>441</v>
      </c>
      <c r="D33" s="2" t="s">
        <v>442</v>
      </c>
      <c r="E33" s="2" t="s">
        <v>443</v>
      </c>
      <c r="F33" s="2" t="s">
        <v>279</v>
      </c>
      <c r="G33" s="2" t="s">
        <v>60</v>
      </c>
      <c r="H33" s="2" t="s">
        <v>288</v>
      </c>
      <c r="I33" s="2" t="s">
        <v>65</v>
      </c>
      <c r="J33" s="2" t="s">
        <v>84</v>
      </c>
      <c r="K33" s="2" t="s">
        <v>444</v>
      </c>
      <c r="L33" s="2">
        <v>3</v>
      </c>
      <c r="M33" s="2" t="s">
        <v>17</v>
      </c>
      <c r="N33" s="2" t="s">
        <v>29</v>
      </c>
      <c r="O33" s="2" t="s">
        <v>65</v>
      </c>
      <c r="P33" s="2" t="s">
        <v>283</v>
      </c>
    </row>
    <row r="34" spans="1:16" ht="71.25">
      <c r="A34" s="2" t="s">
        <v>445</v>
      </c>
      <c r="B34" s="2" t="s">
        <v>82</v>
      </c>
      <c r="C34" s="2" t="s">
        <v>446</v>
      </c>
      <c r="D34" s="2" t="s">
        <v>447</v>
      </c>
      <c r="E34" s="2" t="s">
        <v>448</v>
      </c>
      <c r="F34" s="2" t="s">
        <v>279</v>
      </c>
      <c r="G34" s="2" t="s">
        <v>60</v>
      </c>
      <c r="H34" s="2" t="s">
        <v>65</v>
      </c>
      <c r="I34" s="2" t="s">
        <v>65</v>
      </c>
      <c r="J34" s="2" t="s">
        <v>84</v>
      </c>
      <c r="K34" s="2" t="s">
        <v>449</v>
      </c>
      <c r="L34" s="2">
        <v>4</v>
      </c>
      <c r="M34" s="2" t="s">
        <v>17</v>
      </c>
      <c r="N34" s="2" t="s">
        <v>29</v>
      </c>
      <c r="O34" s="2" t="s">
        <v>65</v>
      </c>
      <c r="P34" s="2" t="s">
        <v>283</v>
      </c>
    </row>
    <row r="35" spans="1:16" ht="57">
      <c r="A35" s="2" t="s">
        <v>450</v>
      </c>
      <c r="B35" s="2" t="s">
        <v>82</v>
      </c>
      <c r="C35" s="2" t="s">
        <v>451</v>
      </c>
      <c r="D35" s="2" t="s">
        <v>452</v>
      </c>
      <c r="E35" s="2" t="s">
        <v>453</v>
      </c>
      <c r="F35" s="2" t="s">
        <v>279</v>
      </c>
      <c r="G35" s="2" t="s">
        <v>60</v>
      </c>
      <c r="H35" s="2" t="s">
        <v>65</v>
      </c>
      <c r="I35" s="2" t="s">
        <v>94</v>
      </c>
      <c r="J35" s="2" t="s">
        <v>84</v>
      </c>
      <c r="K35" s="2" t="s">
        <v>454</v>
      </c>
      <c r="L35" s="2">
        <v>5</v>
      </c>
      <c r="M35" s="2" t="s">
        <v>17</v>
      </c>
      <c r="N35" s="2" t="s">
        <v>64</v>
      </c>
      <c r="O35" s="2" t="s">
        <v>65</v>
      </c>
      <c r="P35" s="2" t="s">
        <v>283</v>
      </c>
    </row>
    <row r="36" spans="1:16" ht="57">
      <c r="A36" s="2" t="s">
        <v>455</v>
      </c>
      <c r="B36" s="2" t="s">
        <v>82</v>
      </c>
      <c r="C36" s="2" t="s">
        <v>456</v>
      </c>
      <c r="D36" s="2" t="s">
        <v>457</v>
      </c>
      <c r="E36" s="2" t="s">
        <v>458</v>
      </c>
      <c r="F36" s="2" t="s">
        <v>279</v>
      </c>
      <c r="G36" s="2" t="s">
        <v>60</v>
      </c>
      <c r="H36" s="2" t="s">
        <v>94</v>
      </c>
      <c r="I36" s="2" t="s">
        <v>65</v>
      </c>
      <c r="J36" s="2" t="s">
        <v>84</v>
      </c>
      <c r="K36" s="2" t="s">
        <v>459</v>
      </c>
      <c r="L36" s="2">
        <v>6</v>
      </c>
      <c r="M36" s="2" t="s">
        <v>17</v>
      </c>
      <c r="N36" s="2" t="s">
        <v>64</v>
      </c>
      <c r="O36" s="2" t="s">
        <v>65</v>
      </c>
      <c r="P36" s="2" t="s">
        <v>283</v>
      </c>
    </row>
    <row r="37" spans="1:16" ht="57">
      <c r="A37" s="2" t="s">
        <v>460</v>
      </c>
      <c r="B37" s="2" t="s">
        <v>82</v>
      </c>
      <c r="C37" s="2" t="s">
        <v>461</v>
      </c>
      <c r="D37" s="2" t="s">
        <v>462</v>
      </c>
      <c r="E37" s="2" t="s">
        <v>463</v>
      </c>
      <c r="F37" s="2" t="s">
        <v>279</v>
      </c>
      <c r="G37" s="2" t="s">
        <v>60</v>
      </c>
      <c r="H37" s="2" t="s">
        <v>65</v>
      </c>
      <c r="I37" s="2" t="s">
        <v>65</v>
      </c>
      <c r="J37" s="2" t="s">
        <v>84</v>
      </c>
      <c r="K37" s="2" t="s">
        <v>464</v>
      </c>
      <c r="L37" s="2">
        <v>7</v>
      </c>
      <c r="M37" s="2" t="s">
        <v>17</v>
      </c>
      <c r="N37" s="2" t="s">
        <v>64</v>
      </c>
      <c r="O37" s="2" t="s">
        <v>65</v>
      </c>
      <c r="P37" s="2" t="s">
        <v>283</v>
      </c>
    </row>
    <row r="38" spans="1:16" ht="57">
      <c r="A38" s="2" t="s">
        <v>465</v>
      </c>
      <c r="B38" s="2" t="s">
        <v>82</v>
      </c>
      <c r="C38" s="2" t="s">
        <v>466</v>
      </c>
      <c r="D38" s="2" t="s">
        <v>467</v>
      </c>
      <c r="E38" s="2" t="s">
        <v>468</v>
      </c>
      <c r="F38" s="2" t="s">
        <v>469</v>
      </c>
      <c r="G38" s="2" t="s">
        <v>60</v>
      </c>
      <c r="H38" s="2" t="s">
        <v>65</v>
      </c>
      <c r="I38" s="2" t="s">
        <v>94</v>
      </c>
      <c r="J38" s="2" t="s">
        <v>84</v>
      </c>
      <c r="K38" s="2" t="s">
        <v>470</v>
      </c>
      <c r="L38" s="2">
        <v>8</v>
      </c>
      <c r="M38" s="2" t="s">
        <v>17</v>
      </c>
      <c r="N38" s="2" t="s">
        <v>157</v>
      </c>
      <c r="O38" s="2" t="s">
        <v>65</v>
      </c>
      <c r="P38" s="2" t="s">
        <v>283</v>
      </c>
    </row>
    <row r="39" spans="1:16" ht="71.25">
      <c r="A39" s="2" t="s">
        <v>471</v>
      </c>
      <c r="B39" s="2" t="s">
        <v>87</v>
      </c>
      <c r="C39" s="2" t="s">
        <v>472</v>
      </c>
      <c r="D39" s="2" t="s">
        <v>473</v>
      </c>
      <c r="E39" s="2" t="s">
        <v>474</v>
      </c>
      <c r="F39" s="2" t="s">
        <v>279</v>
      </c>
      <c r="G39" s="2" t="s">
        <v>60</v>
      </c>
      <c r="H39" s="2" t="s">
        <v>288</v>
      </c>
      <c r="I39" s="2" t="s">
        <v>65</v>
      </c>
      <c r="J39" s="2" t="s">
        <v>89</v>
      </c>
      <c r="K39" s="2" t="s">
        <v>475</v>
      </c>
      <c r="L39" s="2">
        <v>1</v>
      </c>
      <c r="M39" s="2" t="s">
        <v>17</v>
      </c>
      <c r="N39" s="2" t="s">
        <v>29</v>
      </c>
      <c r="O39" s="2" t="s">
        <v>65</v>
      </c>
      <c r="P39" s="2" t="s">
        <v>283</v>
      </c>
    </row>
    <row r="40" spans="1:16" ht="71.25">
      <c r="A40" s="2" t="s">
        <v>476</v>
      </c>
      <c r="B40" s="2" t="s">
        <v>87</v>
      </c>
      <c r="C40" s="2" t="s">
        <v>477</v>
      </c>
      <c r="D40" s="2" t="s">
        <v>478</v>
      </c>
      <c r="E40" s="2" t="s">
        <v>479</v>
      </c>
      <c r="F40" s="2" t="s">
        <v>279</v>
      </c>
      <c r="G40" s="2" t="s">
        <v>60</v>
      </c>
      <c r="H40" s="2" t="s">
        <v>65</v>
      </c>
      <c r="I40" s="2" t="s">
        <v>65</v>
      </c>
      <c r="J40" s="2" t="s">
        <v>89</v>
      </c>
      <c r="K40" s="2" t="s">
        <v>480</v>
      </c>
      <c r="L40" s="2">
        <v>2</v>
      </c>
      <c r="M40" s="2" t="s">
        <v>17</v>
      </c>
      <c r="N40" s="2" t="s">
        <v>29</v>
      </c>
      <c r="O40" s="2" t="s">
        <v>65</v>
      </c>
      <c r="P40" s="2" t="s">
        <v>283</v>
      </c>
    </row>
    <row r="41" spans="1:16" ht="71.25">
      <c r="A41" s="2" t="s">
        <v>481</v>
      </c>
      <c r="B41" s="2" t="s">
        <v>87</v>
      </c>
      <c r="C41" s="2" t="s">
        <v>482</v>
      </c>
      <c r="D41" s="2" t="s">
        <v>483</v>
      </c>
      <c r="E41" s="2" t="s">
        <v>484</v>
      </c>
      <c r="F41" s="2" t="s">
        <v>279</v>
      </c>
      <c r="G41" s="2" t="s">
        <v>60</v>
      </c>
      <c r="H41" s="2" t="s">
        <v>65</v>
      </c>
      <c r="I41" s="2" t="s">
        <v>65</v>
      </c>
      <c r="J41" s="2" t="s">
        <v>89</v>
      </c>
      <c r="K41" s="2" t="s">
        <v>485</v>
      </c>
      <c r="L41" s="2">
        <v>3</v>
      </c>
      <c r="M41" s="2" t="s">
        <v>17</v>
      </c>
      <c r="N41" s="2" t="s">
        <v>353</v>
      </c>
      <c r="O41" s="2" t="s">
        <v>65</v>
      </c>
      <c r="P41" s="2" t="s">
        <v>283</v>
      </c>
    </row>
    <row r="42" spans="1:16" ht="57">
      <c r="A42" s="2" t="s">
        <v>486</v>
      </c>
      <c r="B42" s="2" t="s">
        <v>87</v>
      </c>
      <c r="C42" s="2" t="s">
        <v>487</v>
      </c>
      <c r="D42" s="2" t="s">
        <v>488</v>
      </c>
      <c r="E42" s="2" t="s">
        <v>489</v>
      </c>
      <c r="F42" s="2" t="s">
        <v>469</v>
      </c>
      <c r="G42" s="2" t="s">
        <v>60</v>
      </c>
      <c r="H42" s="2" t="s">
        <v>65</v>
      </c>
      <c r="I42" s="2" t="s">
        <v>65</v>
      </c>
      <c r="J42" s="2" t="s">
        <v>89</v>
      </c>
      <c r="K42" s="2" t="s">
        <v>490</v>
      </c>
      <c r="L42" s="2">
        <v>4</v>
      </c>
      <c r="M42" s="2" t="s">
        <v>17</v>
      </c>
      <c r="N42" s="2" t="s">
        <v>93</v>
      </c>
      <c r="O42" s="2" t="s">
        <v>65</v>
      </c>
      <c r="P42" s="2" t="s">
        <v>283</v>
      </c>
    </row>
    <row r="43" spans="1:16" ht="71.25">
      <c r="A43" s="2" t="s">
        <v>491</v>
      </c>
      <c r="B43" s="2" t="s">
        <v>87</v>
      </c>
      <c r="C43" s="2" t="s">
        <v>492</v>
      </c>
      <c r="D43" s="2" t="s">
        <v>493</v>
      </c>
      <c r="E43" s="2" t="s">
        <v>494</v>
      </c>
      <c r="F43" s="2" t="s">
        <v>279</v>
      </c>
      <c r="G43" s="2" t="s">
        <v>60</v>
      </c>
      <c r="H43" s="2" t="s">
        <v>65</v>
      </c>
      <c r="I43" s="2" t="s">
        <v>65</v>
      </c>
      <c r="J43" s="2" t="s">
        <v>89</v>
      </c>
      <c r="K43" s="2" t="s">
        <v>495</v>
      </c>
      <c r="L43" s="2">
        <v>5</v>
      </c>
      <c r="M43" s="2" t="s">
        <v>17</v>
      </c>
      <c r="N43" s="2" t="s">
        <v>101</v>
      </c>
      <c r="O43" s="2" t="s">
        <v>65</v>
      </c>
      <c r="P43" s="2" t="s">
        <v>283</v>
      </c>
    </row>
    <row r="44" spans="1:16" ht="71.25">
      <c r="A44" s="2" t="s">
        <v>496</v>
      </c>
      <c r="B44" s="2" t="s">
        <v>87</v>
      </c>
      <c r="C44" s="2" t="s">
        <v>497</v>
      </c>
      <c r="D44" s="2" t="s">
        <v>498</v>
      </c>
      <c r="E44" s="2" t="s">
        <v>499</v>
      </c>
      <c r="F44" s="2" t="s">
        <v>469</v>
      </c>
      <c r="G44" s="2" t="s">
        <v>60</v>
      </c>
      <c r="H44" s="2" t="s">
        <v>94</v>
      </c>
      <c r="I44" s="2" t="s">
        <v>65</v>
      </c>
      <c r="J44" s="2" t="s">
        <v>89</v>
      </c>
      <c r="K44" s="2" t="s">
        <v>500</v>
      </c>
      <c r="L44" s="2">
        <v>6</v>
      </c>
      <c r="M44" s="2" t="s">
        <v>17</v>
      </c>
      <c r="N44" s="2" t="s">
        <v>93</v>
      </c>
      <c r="O44" s="2" t="s">
        <v>65</v>
      </c>
      <c r="P44" s="2" t="s">
        <v>283</v>
      </c>
    </row>
    <row r="45" spans="1:16" ht="71.25">
      <c r="A45" s="2" t="s">
        <v>501</v>
      </c>
      <c r="B45" s="2" t="s">
        <v>96</v>
      </c>
      <c r="C45" s="2" t="s">
        <v>502</v>
      </c>
      <c r="D45" s="2" t="s">
        <v>503</v>
      </c>
      <c r="E45" s="2" t="s">
        <v>504</v>
      </c>
      <c r="F45" s="2" t="s">
        <v>279</v>
      </c>
      <c r="G45" s="2" t="s">
        <v>280</v>
      </c>
      <c r="H45" s="2" t="s">
        <v>288</v>
      </c>
      <c r="I45" s="2" t="s">
        <v>94</v>
      </c>
      <c r="J45" s="2" t="s">
        <v>98</v>
      </c>
      <c r="K45" s="2" t="s">
        <v>505</v>
      </c>
      <c r="L45" s="2">
        <v>1</v>
      </c>
      <c r="M45" s="2" t="s">
        <v>17</v>
      </c>
      <c r="N45" s="2" t="s">
        <v>101</v>
      </c>
      <c r="O45" s="2" t="s">
        <v>65</v>
      </c>
      <c r="P45" s="2" t="s">
        <v>283</v>
      </c>
    </row>
    <row r="46" spans="1:16" ht="57">
      <c r="A46" s="2" t="s">
        <v>506</v>
      </c>
      <c r="B46" s="2" t="s">
        <v>96</v>
      </c>
      <c r="C46" s="2" t="s">
        <v>507</v>
      </c>
      <c r="D46" s="2" t="s">
        <v>508</v>
      </c>
      <c r="E46" s="2" t="s">
        <v>509</v>
      </c>
      <c r="F46" s="2" t="s">
        <v>279</v>
      </c>
      <c r="G46" s="2" t="s">
        <v>60</v>
      </c>
      <c r="H46" s="2" t="s">
        <v>65</v>
      </c>
      <c r="I46" s="2" t="s">
        <v>94</v>
      </c>
      <c r="J46" s="2" t="s">
        <v>98</v>
      </c>
      <c r="K46" s="2" t="s">
        <v>414</v>
      </c>
      <c r="L46" s="2">
        <v>2</v>
      </c>
      <c r="M46" s="2" t="s">
        <v>17</v>
      </c>
      <c r="N46" s="2" t="s">
        <v>93</v>
      </c>
      <c r="O46" s="2" t="s">
        <v>65</v>
      </c>
      <c r="P46" s="2" t="s">
        <v>283</v>
      </c>
    </row>
    <row r="47" spans="1:16" ht="71.25">
      <c r="A47" s="2" t="s">
        <v>510</v>
      </c>
      <c r="B47" s="2" t="s">
        <v>96</v>
      </c>
      <c r="C47" s="2" t="s">
        <v>511</v>
      </c>
      <c r="D47" s="2" t="s">
        <v>512</v>
      </c>
      <c r="E47" s="2" t="s">
        <v>513</v>
      </c>
      <c r="F47" s="2" t="s">
        <v>279</v>
      </c>
      <c r="G47" s="2" t="s">
        <v>60</v>
      </c>
      <c r="H47" s="2" t="s">
        <v>65</v>
      </c>
      <c r="I47" s="2" t="s">
        <v>65</v>
      </c>
      <c r="J47" s="2" t="s">
        <v>98</v>
      </c>
      <c r="K47" s="2" t="s">
        <v>514</v>
      </c>
      <c r="L47" s="2">
        <v>3</v>
      </c>
      <c r="M47" s="2" t="s">
        <v>17</v>
      </c>
      <c r="N47" s="2" t="s">
        <v>29</v>
      </c>
      <c r="O47" s="2" t="s">
        <v>65</v>
      </c>
      <c r="P47" s="2" t="s">
        <v>283</v>
      </c>
    </row>
    <row r="48" spans="1:16" ht="71.25">
      <c r="A48" s="2" t="s">
        <v>515</v>
      </c>
      <c r="B48" s="2" t="s">
        <v>96</v>
      </c>
      <c r="C48" s="2" t="s">
        <v>516</v>
      </c>
      <c r="D48" s="2" t="s">
        <v>517</v>
      </c>
      <c r="E48" s="2" t="s">
        <v>518</v>
      </c>
      <c r="F48" s="2" t="s">
        <v>279</v>
      </c>
      <c r="G48" s="2" t="s">
        <v>60</v>
      </c>
      <c r="H48" s="2" t="s">
        <v>65</v>
      </c>
      <c r="I48" s="2" t="s">
        <v>65</v>
      </c>
      <c r="J48" s="2" t="s">
        <v>98</v>
      </c>
      <c r="K48" s="2" t="s">
        <v>519</v>
      </c>
      <c r="L48" s="2">
        <v>4</v>
      </c>
      <c r="M48" s="2" t="s">
        <v>17</v>
      </c>
      <c r="N48" s="2" t="s">
        <v>29</v>
      </c>
      <c r="O48" s="2" t="s">
        <v>65</v>
      </c>
      <c r="P48" s="2" t="s">
        <v>283</v>
      </c>
    </row>
    <row r="49" spans="1:16" ht="71.25">
      <c r="A49" s="2" t="s">
        <v>520</v>
      </c>
      <c r="B49" s="2" t="s">
        <v>96</v>
      </c>
      <c r="C49" s="2" t="s">
        <v>521</v>
      </c>
      <c r="D49" s="2" t="s">
        <v>522</v>
      </c>
      <c r="E49" s="2" t="s">
        <v>523</v>
      </c>
      <c r="F49" s="2" t="s">
        <v>279</v>
      </c>
      <c r="G49" s="2" t="s">
        <v>280</v>
      </c>
      <c r="H49" s="2" t="s">
        <v>94</v>
      </c>
      <c r="I49" s="2" t="s">
        <v>94</v>
      </c>
      <c r="J49" s="2" t="s">
        <v>98</v>
      </c>
      <c r="K49" s="2" t="s">
        <v>524</v>
      </c>
      <c r="L49" s="2">
        <v>5</v>
      </c>
      <c r="M49" s="2" t="s">
        <v>17</v>
      </c>
      <c r="N49" s="2" t="s">
        <v>29</v>
      </c>
      <c r="O49" s="2" t="s">
        <v>65</v>
      </c>
      <c r="P49" s="2" t="s">
        <v>283</v>
      </c>
    </row>
    <row r="50" spans="1:16" ht="57">
      <c r="A50" s="2" t="s">
        <v>525</v>
      </c>
      <c r="B50" s="2" t="s">
        <v>96</v>
      </c>
      <c r="C50" s="2" t="s">
        <v>526</v>
      </c>
      <c r="D50" s="2" t="s">
        <v>527</v>
      </c>
      <c r="E50" s="2" t="s">
        <v>528</v>
      </c>
      <c r="F50" s="2" t="s">
        <v>279</v>
      </c>
      <c r="G50" s="2" t="s">
        <v>60</v>
      </c>
      <c r="H50" s="2" t="s">
        <v>65</v>
      </c>
      <c r="I50" s="2" t="s">
        <v>65</v>
      </c>
      <c r="J50" s="2" t="s">
        <v>89</v>
      </c>
      <c r="K50" s="2" t="s">
        <v>529</v>
      </c>
      <c r="L50" s="2">
        <v>6</v>
      </c>
      <c r="M50" s="2" t="s">
        <v>17</v>
      </c>
      <c r="N50" s="2" t="s">
        <v>131</v>
      </c>
      <c r="O50" s="2" t="s">
        <v>65</v>
      </c>
      <c r="P50" s="2" t="s">
        <v>283</v>
      </c>
    </row>
    <row r="51" spans="1:16" ht="71.25">
      <c r="A51" s="2" t="s">
        <v>530</v>
      </c>
      <c r="B51" s="2" t="s">
        <v>96</v>
      </c>
      <c r="C51" s="2" t="s">
        <v>531</v>
      </c>
      <c r="D51" s="2" t="s">
        <v>532</v>
      </c>
      <c r="E51" s="2" t="s">
        <v>533</v>
      </c>
      <c r="F51" s="2" t="s">
        <v>279</v>
      </c>
      <c r="G51" s="2" t="s">
        <v>280</v>
      </c>
      <c r="H51" s="2" t="s">
        <v>94</v>
      </c>
      <c r="I51" s="2" t="s">
        <v>94</v>
      </c>
      <c r="J51" s="2" t="s">
        <v>98</v>
      </c>
      <c r="K51" s="2" t="s">
        <v>534</v>
      </c>
      <c r="L51" s="2">
        <v>7</v>
      </c>
      <c r="M51" s="2" t="s">
        <v>17</v>
      </c>
      <c r="N51" s="2" t="s">
        <v>101</v>
      </c>
      <c r="O51" s="2" t="s">
        <v>65</v>
      </c>
      <c r="P51" s="2" t="s">
        <v>283</v>
      </c>
    </row>
    <row r="52" spans="1:16" ht="71.25">
      <c r="A52" s="2" t="s">
        <v>535</v>
      </c>
      <c r="B52" s="2" t="s">
        <v>96</v>
      </c>
      <c r="C52" s="2" t="s">
        <v>536</v>
      </c>
      <c r="D52" s="2" t="s">
        <v>537</v>
      </c>
      <c r="E52" s="2" t="s">
        <v>538</v>
      </c>
      <c r="F52" s="2" t="s">
        <v>279</v>
      </c>
      <c r="G52" s="2" t="s">
        <v>280</v>
      </c>
      <c r="H52" s="2" t="s">
        <v>94</v>
      </c>
      <c r="I52" s="2" t="s">
        <v>94</v>
      </c>
      <c r="J52" s="2" t="s">
        <v>98</v>
      </c>
      <c r="K52" s="2" t="s">
        <v>539</v>
      </c>
      <c r="L52" s="2">
        <v>8</v>
      </c>
      <c r="M52" s="2" t="s">
        <v>17</v>
      </c>
      <c r="N52" s="2" t="s">
        <v>29</v>
      </c>
      <c r="O52" s="2" t="s">
        <v>65</v>
      </c>
      <c r="P52" s="2" t="s">
        <v>283</v>
      </c>
    </row>
    <row r="53" spans="1:16" ht="57">
      <c r="A53" s="2" t="s">
        <v>540</v>
      </c>
      <c r="B53" s="2" t="s">
        <v>96</v>
      </c>
      <c r="C53" s="2" t="s">
        <v>541</v>
      </c>
      <c r="D53" s="2" t="s">
        <v>542</v>
      </c>
      <c r="E53" s="2" t="s">
        <v>543</v>
      </c>
      <c r="F53" s="2" t="s">
        <v>279</v>
      </c>
      <c r="G53" s="2" t="s">
        <v>280</v>
      </c>
      <c r="H53" s="2" t="s">
        <v>94</v>
      </c>
      <c r="I53" s="2" t="s">
        <v>373</v>
      </c>
      <c r="J53" s="2" t="s">
        <v>98</v>
      </c>
      <c r="K53" s="2" t="s">
        <v>251</v>
      </c>
      <c r="L53" s="2">
        <v>9</v>
      </c>
      <c r="M53" s="2" t="s">
        <v>17</v>
      </c>
      <c r="N53" s="2" t="s">
        <v>93</v>
      </c>
      <c r="O53" s="2" t="s">
        <v>65</v>
      </c>
      <c r="P53" s="2" t="s">
        <v>283</v>
      </c>
    </row>
    <row r="54" spans="1:16" ht="71.25">
      <c r="A54" s="2" t="s">
        <v>544</v>
      </c>
      <c r="B54" s="2" t="s">
        <v>103</v>
      </c>
      <c r="C54" s="2" t="s">
        <v>545</v>
      </c>
      <c r="D54" s="2" t="s">
        <v>546</v>
      </c>
      <c r="E54" s="2" t="s">
        <v>547</v>
      </c>
      <c r="F54" s="2" t="s">
        <v>279</v>
      </c>
      <c r="G54" s="2" t="s">
        <v>60</v>
      </c>
      <c r="H54" s="2" t="s">
        <v>65</v>
      </c>
      <c r="I54" s="2" t="s">
        <v>65</v>
      </c>
      <c r="J54" s="2" t="s">
        <v>105</v>
      </c>
      <c r="K54" s="2" t="s">
        <v>548</v>
      </c>
      <c r="L54" s="2">
        <v>1</v>
      </c>
      <c r="M54" s="2" t="s">
        <v>17</v>
      </c>
      <c r="N54" s="2" t="s">
        <v>107</v>
      </c>
      <c r="O54" s="2" t="s">
        <v>65</v>
      </c>
      <c r="P54" s="2" t="s">
        <v>283</v>
      </c>
    </row>
    <row r="55" spans="1:16" ht="71.25">
      <c r="A55" s="2" t="s">
        <v>549</v>
      </c>
      <c r="B55" s="2" t="s">
        <v>103</v>
      </c>
      <c r="C55" s="2" t="s">
        <v>550</v>
      </c>
      <c r="D55" s="2" t="s">
        <v>551</v>
      </c>
      <c r="E55" s="2" t="s">
        <v>552</v>
      </c>
      <c r="F55" s="2" t="s">
        <v>279</v>
      </c>
      <c r="G55" s="2" t="s">
        <v>60</v>
      </c>
      <c r="H55" s="2" t="s">
        <v>65</v>
      </c>
      <c r="I55" s="2" t="s">
        <v>94</v>
      </c>
      <c r="J55" s="2" t="s">
        <v>105</v>
      </c>
      <c r="K55" s="2" t="s">
        <v>553</v>
      </c>
      <c r="L55" s="2">
        <v>2</v>
      </c>
      <c r="M55" s="2" t="s">
        <v>17</v>
      </c>
      <c r="N55" s="2" t="s">
        <v>107</v>
      </c>
      <c r="O55" s="2" t="s">
        <v>65</v>
      </c>
      <c r="P55" s="2" t="s">
        <v>283</v>
      </c>
    </row>
    <row r="56" spans="1:16" ht="71.25">
      <c r="A56" s="2" t="s">
        <v>554</v>
      </c>
      <c r="B56" s="2" t="s">
        <v>103</v>
      </c>
      <c r="C56" s="2" t="s">
        <v>555</v>
      </c>
      <c r="D56" s="2" t="s">
        <v>556</v>
      </c>
      <c r="E56" s="2" t="s">
        <v>557</v>
      </c>
      <c r="F56" s="2" t="s">
        <v>279</v>
      </c>
      <c r="G56" s="2" t="s">
        <v>60</v>
      </c>
      <c r="H56" s="2" t="s">
        <v>65</v>
      </c>
      <c r="I56" s="2" t="s">
        <v>65</v>
      </c>
      <c r="J56" s="2" t="s">
        <v>105</v>
      </c>
      <c r="K56" s="2" t="s">
        <v>558</v>
      </c>
      <c r="L56" s="2">
        <v>3</v>
      </c>
      <c r="M56" s="2" t="s">
        <v>17</v>
      </c>
      <c r="N56" s="2" t="s">
        <v>353</v>
      </c>
      <c r="O56" s="2" t="s">
        <v>65</v>
      </c>
      <c r="P56" s="2" t="s">
        <v>283</v>
      </c>
    </row>
    <row r="57" spans="1:16" ht="71.25">
      <c r="A57" s="2" t="s">
        <v>559</v>
      </c>
      <c r="B57" s="2" t="s">
        <v>103</v>
      </c>
      <c r="C57" s="2" t="s">
        <v>560</v>
      </c>
      <c r="D57" s="2" t="s">
        <v>561</v>
      </c>
      <c r="E57" s="2" t="s">
        <v>562</v>
      </c>
      <c r="F57" s="2" t="s">
        <v>279</v>
      </c>
      <c r="G57" s="2" t="s">
        <v>60</v>
      </c>
      <c r="H57" s="2" t="s">
        <v>65</v>
      </c>
      <c r="I57" s="2" t="s">
        <v>94</v>
      </c>
      <c r="J57" s="2" t="s">
        <v>105</v>
      </c>
      <c r="K57" s="2" t="s">
        <v>563</v>
      </c>
      <c r="L57" s="2">
        <v>4</v>
      </c>
      <c r="M57" s="2" t="s">
        <v>17</v>
      </c>
      <c r="N57" s="2" t="s">
        <v>107</v>
      </c>
      <c r="O57" s="2" t="s">
        <v>65</v>
      </c>
      <c r="P57" s="2" t="s">
        <v>283</v>
      </c>
    </row>
    <row r="58" spans="1:16" ht="71.25">
      <c r="A58" s="2" t="s">
        <v>564</v>
      </c>
      <c r="B58" s="2" t="s">
        <v>103</v>
      </c>
      <c r="C58" s="2" t="s">
        <v>565</v>
      </c>
      <c r="D58" s="2" t="s">
        <v>566</v>
      </c>
      <c r="E58" s="2" t="s">
        <v>567</v>
      </c>
      <c r="F58" s="2" t="s">
        <v>279</v>
      </c>
      <c r="G58" s="2" t="s">
        <v>60</v>
      </c>
      <c r="H58" s="2" t="s">
        <v>65</v>
      </c>
      <c r="I58" s="2" t="s">
        <v>65</v>
      </c>
      <c r="J58" s="2" t="s">
        <v>105</v>
      </c>
      <c r="K58" s="2" t="s">
        <v>568</v>
      </c>
      <c r="L58" s="2">
        <v>5</v>
      </c>
      <c r="M58" s="2" t="s">
        <v>17</v>
      </c>
      <c r="N58" s="2" t="s">
        <v>107</v>
      </c>
      <c r="O58" s="2" t="s">
        <v>65</v>
      </c>
      <c r="P58" s="2" t="s">
        <v>283</v>
      </c>
    </row>
    <row r="59" spans="1:16" ht="71.25">
      <c r="A59" s="2" t="s">
        <v>569</v>
      </c>
      <c r="B59" s="2" t="s">
        <v>103</v>
      </c>
      <c r="C59" s="2" t="s">
        <v>570</v>
      </c>
      <c r="D59" s="2" t="s">
        <v>571</v>
      </c>
      <c r="E59" s="2" t="s">
        <v>572</v>
      </c>
      <c r="F59" s="2" t="s">
        <v>279</v>
      </c>
      <c r="G59" s="2" t="s">
        <v>60</v>
      </c>
      <c r="H59" s="2" t="s">
        <v>94</v>
      </c>
      <c r="I59" s="2" t="s">
        <v>94</v>
      </c>
      <c r="J59" s="2" t="s">
        <v>105</v>
      </c>
      <c r="K59" s="2" t="s">
        <v>573</v>
      </c>
      <c r="L59" s="2">
        <v>6</v>
      </c>
      <c r="M59" s="2" t="s">
        <v>17</v>
      </c>
      <c r="N59" s="2" t="s">
        <v>353</v>
      </c>
      <c r="O59" s="2" t="s">
        <v>65</v>
      </c>
      <c r="P59" s="2" t="s">
        <v>283</v>
      </c>
    </row>
    <row r="60" spans="1:16" ht="57">
      <c r="A60" s="2" t="s">
        <v>574</v>
      </c>
      <c r="B60" s="2" t="s">
        <v>103</v>
      </c>
      <c r="C60" s="2" t="s">
        <v>575</v>
      </c>
      <c r="D60" s="2" t="s">
        <v>576</v>
      </c>
      <c r="E60" s="2" t="s">
        <v>577</v>
      </c>
      <c r="F60" s="2" t="s">
        <v>469</v>
      </c>
      <c r="G60" s="2" t="s">
        <v>60</v>
      </c>
      <c r="H60" s="2" t="s">
        <v>94</v>
      </c>
      <c r="I60" s="2" t="s">
        <v>94</v>
      </c>
      <c r="J60" s="2" t="s">
        <v>105</v>
      </c>
      <c r="K60" s="2" t="s">
        <v>260</v>
      </c>
      <c r="L60" s="2">
        <v>7</v>
      </c>
      <c r="M60" s="2" t="s">
        <v>17</v>
      </c>
      <c r="N60" s="2" t="s">
        <v>93</v>
      </c>
      <c r="O60" s="2" t="s">
        <v>65</v>
      </c>
      <c r="P60" s="2" t="s">
        <v>283</v>
      </c>
    </row>
    <row r="61" spans="1:16" ht="71.25">
      <c r="A61" s="2" t="s">
        <v>578</v>
      </c>
      <c r="B61" s="2" t="s">
        <v>109</v>
      </c>
      <c r="C61" s="2" t="s">
        <v>579</v>
      </c>
      <c r="D61" s="2" t="s">
        <v>580</v>
      </c>
      <c r="E61" s="2" t="s">
        <v>581</v>
      </c>
      <c r="F61" s="2" t="s">
        <v>279</v>
      </c>
      <c r="G61" s="2" t="s">
        <v>60</v>
      </c>
      <c r="H61" s="2" t="s">
        <v>65</v>
      </c>
      <c r="I61" s="2" t="s">
        <v>65</v>
      </c>
      <c r="J61" s="2" t="s">
        <v>111</v>
      </c>
      <c r="K61" s="2" t="s">
        <v>582</v>
      </c>
      <c r="L61" s="2">
        <v>1</v>
      </c>
      <c r="M61" s="2" t="s">
        <v>17</v>
      </c>
      <c r="N61" s="2" t="s">
        <v>29</v>
      </c>
      <c r="O61" s="2" t="s">
        <v>65</v>
      </c>
      <c r="P61" s="2" t="s">
        <v>283</v>
      </c>
    </row>
    <row r="62" spans="1:16" ht="71.25">
      <c r="A62" s="2" t="s">
        <v>583</v>
      </c>
      <c r="B62" s="2" t="s">
        <v>109</v>
      </c>
      <c r="C62" s="2" t="s">
        <v>584</v>
      </c>
      <c r="D62" s="2" t="s">
        <v>585</v>
      </c>
      <c r="E62" s="2" t="s">
        <v>586</v>
      </c>
      <c r="F62" s="2" t="s">
        <v>279</v>
      </c>
      <c r="G62" s="2" t="s">
        <v>60</v>
      </c>
      <c r="H62" s="2" t="s">
        <v>288</v>
      </c>
      <c r="I62" s="2" t="s">
        <v>65</v>
      </c>
      <c r="J62" s="2" t="s">
        <v>111</v>
      </c>
      <c r="K62" s="2" t="s">
        <v>587</v>
      </c>
      <c r="L62" s="2">
        <v>2</v>
      </c>
      <c r="M62" s="2" t="s">
        <v>17</v>
      </c>
      <c r="N62" s="2" t="s">
        <v>29</v>
      </c>
      <c r="O62" s="2" t="s">
        <v>65</v>
      </c>
      <c r="P62" s="2" t="s">
        <v>283</v>
      </c>
    </row>
    <row r="63" spans="1:16" ht="57">
      <c r="A63" s="2" t="s">
        <v>588</v>
      </c>
      <c r="B63" s="2" t="s">
        <v>109</v>
      </c>
      <c r="C63" s="2" t="s">
        <v>589</v>
      </c>
      <c r="D63" s="2" t="s">
        <v>590</v>
      </c>
      <c r="E63" s="2" t="s">
        <v>591</v>
      </c>
      <c r="F63" s="2" t="s">
        <v>279</v>
      </c>
      <c r="G63" s="2" t="s">
        <v>280</v>
      </c>
      <c r="H63" s="2" t="s">
        <v>94</v>
      </c>
      <c r="I63" s="2" t="s">
        <v>94</v>
      </c>
      <c r="J63" s="2" t="s">
        <v>111</v>
      </c>
      <c r="K63" s="2" t="s">
        <v>592</v>
      </c>
      <c r="L63" s="2">
        <v>3</v>
      </c>
      <c r="M63" s="2" t="s">
        <v>17</v>
      </c>
      <c r="N63" s="2" t="s">
        <v>64</v>
      </c>
      <c r="O63" s="2" t="s">
        <v>65</v>
      </c>
      <c r="P63" s="2" t="s">
        <v>283</v>
      </c>
    </row>
    <row r="64" spans="1:16" ht="71.25">
      <c r="A64" s="2" t="s">
        <v>593</v>
      </c>
      <c r="B64" s="2" t="s">
        <v>109</v>
      </c>
      <c r="C64" s="2" t="s">
        <v>594</v>
      </c>
      <c r="D64" s="2" t="s">
        <v>595</v>
      </c>
      <c r="E64" s="2" t="s">
        <v>596</v>
      </c>
      <c r="F64" s="2" t="s">
        <v>469</v>
      </c>
      <c r="G64" s="2" t="s">
        <v>60</v>
      </c>
      <c r="H64" s="2" t="s">
        <v>65</v>
      </c>
      <c r="I64" s="2" t="s">
        <v>94</v>
      </c>
      <c r="J64" s="2" t="s">
        <v>111</v>
      </c>
      <c r="K64" s="2" t="s">
        <v>597</v>
      </c>
      <c r="L64" s="2">
        <v>4</v>
      </c>
      <c r="M64" s="2" t="s">
        <v>17</v>
      </c>
      <c r="N64" s="2" t="s">
        <v>29</v>
      </c>
      <c r="O64" s="2" t="s">
        <v>65</v>
      </c>
      <c r="P64" s="2" t="s">
        <v>283</v>
      </c>
    </row>
    <row r="65" spans="1:16" ht="71.25">
      <c r="A65" s="2" t="s">
        <v>598</v>
      </c>
      <c r="B65" s="2" t="s">
        <v>109</v>
      </c>
      <c r="C65" s="2" t="s">
        <v>599</v>
      </c>
      <c r="D65" s="2" t="s">
        <v>600</v>
      </c>
      <c r="E65" s="2" t="s">
        <v>601</v>
      </c>
      <c r="F65" s="2" t="s">
        <v>279</v>
      </c>
      <c r="G65" s="2" t="s">
        <v>60</v>
      </c>
      <c r="H65" s="2" t="s">
        <v>94</v>
      </c>
      <c r="I65" s="2" t="s">
        <v>65</v>
      </c>
      <c r="J65" s="2" t="s">
        <v>111</v>
      </c>
      <c r="K65" s="2" t="s">
        <v>602</v>
      </c>
      <c r="L65" s="2">
        <v>5</v>
      </c>
      <c r="M65" s="2" t="s">
        <v>17</v>
      </c>
      <c r="N65" s="2" t="s">
        <v>29</v>
      </c>
      <c r="O65" s="2" t="s">
        <v>65</v>
      </c>
      <c r="P65" s="2" t="s">
        <v>283</v>
      </c>
    </row>
    <row r="66" spans="1:16" ht="57">
      <c r="A66" s="2" t="s">
        <v>603</v>
      </c>
      <c r="B66" s="2" t="s">
        <v>109</v>
      </c>
      <c r="C66" s="2" t="s">
        <v>604</v>
      </c>
      <c r="D66" s="2" t="s">
        <v>605</v>
      </c>
      <c r="E66" s="2" t="s">
        <v>606</v>
      </c>
      <c r="F66" s="2" t="s">
        <v>469</v>
      </c>
      <c r="G66" s="2" t="s">
        <v>60</v>
      </c>
      <c r="H66" s="2" t="s">
        <v>65</v>
      </c>
      <c r="I66" s="2" t="s">
        <v>65</v>
      </c>
      <c r="J66" s="2" t="s">
        <v>111</v>
      </c>
      <c r="K66" s="2" t="s">
        <v>607</v>
      </c>
      <c r="L66" s="2">
        <v>6</v>
      </c>
      <c r="M66" s="2" t="s">
        <v>17</v>
      </c>
      <c r="N66" s="2" t="s">
        <v>150</v>
      </c>
      <c r="O66" s="2" t="s">
        <v>65</v>
      </c>
      <c r="P66" s="2" t="s">
        <v>283</v>
      </c>
    </row>
    <row r="67" spans="1:16" ht="71.25">
      <c r="A67" s="2" t="s">
        <v>608</v>
      </c>
      <c r="B67" s="2" t="s">
        <v>109</v>
      </c>
      <c r="C67" s="2" t="s">
        <v>609</v>
      </c>
      <c r="D67" s="2" t="s">
        <v>610</v>
      </c>
      <c r="E67" s="2" t="s">
        <v>611</v>
      </c>
      <c r="F67" s="2" t="s">
        <v>469</v>
      </c>
      <c r="G67" s="2" t="s">
        <v>60</v>
      </c>
      <c r="H67" s="2" t="s">
        <v>65</v>
      </c>
      <c r="I67" s="2" t="s">
        <v>65</v>
      </c>
      <c r="J67" s="2" t="s">
        <v>111</v>
      </c>
      <c r="K67" s="2" t="s">
        <v>612</v>
      </c>
      <c r="L67" s="2">
        <v>7</v>
      </c>
      <c r="M67" s="2" t="s">
        <v>17</v>
      </c>
      <c r="N67" s="2" t="s">
        <v>93</v>
      </c>
      <c r="O67" s="2" t="s">
        <v>65</v>
      </c>
      <c r="P67" s="2" t="s">
        <v>283</v>
      </c>
    </row>
    <row r="68" spans="1:16" ht="71.25">
      <c r="A68" s="2" t="s">
        <v>613</v>
      </c>
      <c r="B68" s="2" t="s">
        <v>114</v>
      </c>
      <c r="C68" s="2" t="s">
        <v>614</v>
      </c>
      <c r="D68" s="2" t="s">
        <v>615</v>
      </c>
      <c r="E68" s="2" t="s">
        <v>616</v>
      </c>
      <c r="F68" s="2" t="s">
        <v>279</v>
      </c>
      <c r="G68" s="2" t="s">
        <v>60</v>
      </c>
      <c r="H68" s="2" t="s">
        <v>65</v>
      </c>
      <c r="I68" s="2" t="s">
        <v>94</v>
      </c>
      <c r="J68" s="2" t="s">
        <v>116</v>
      </c>
      <c r="K68" s="2" t="s">
        <v>617</v>
      </c>
      <c r="L68" s="2">
        <v>1</v>
      </c>
      <c r="M68" s="2" t="s">
        <v>17</v>
      </c>
      <c r="N68" s="2" t="s">
        <v>29</v>
      </c>
      <c r="O68" s="2" t="s">
        <v>65</v>
      </c>
      <c r="P68" s="2" t="s">
        <v>283</v>
      </c>
    </row>
    <row r="69" spans="1:16" ht="42.75">
      <c r="A69" s="2" t="s">
        <v>618</v>
      </c>
      <c r="B69" s="2" t="s">
        <v>114</v>
      </c>
      <c r="C69" s="2" t="s">
        <v>619</v>
      </c>
      <c r="D69" s="2" t="s">
        <v>620</v>
      </c>
      <c r="E69" s="2" t="s">
        <v>621</v>
      </c>
      <c r="F69" s="2" t="s">
        <v>279</v>
      </c>
      <c r="G69" s="2" t="s">
        <v>60</v>
      </c>
      <c r="H69" s="2" t="s">
        <v>288</v>
      </c>
      <c r="I69" s="2" t="s">
        <v>94</v>
      </c>
      <c r="J69" s="2" t="s">
        <v>116</v>
      </c>
      <c r="K69" s="2" t="s">
        <v>622</v>
      </c>
      <c r="L69" s="2">
        <v>2</v>
      </c>
      <c r="M69" s="2" t="s">
        <v>17</v>
      </c>
      <c r="N69" s="2" t="s">
        <v>93</v>
      </c>
      <c r="O69" s="2" t="s">
        <v>65</v>
      </c>
      <c r="P69" s="2" t="s">
        <v>283</v>
      </c>
    </row>
    <row r="70" spans="1:16" ht="57">
      <c r="A70" s="2" t="s">
        <v>623</v>
      </c>
      <c r="B70" s="2" t="s">
        <v>114</v>
      </c>
      <c r="C70" s="2" t="s">
        <v>624</v>
      </c>
      <c r="D70" s="2" t="s">
        <v>625</v>
      </c>
      <c r="E70" s="2" t="s">
        <v>626</v>
      </c>
      <c r="F70" s="2" t="s">
        <v>279</v>
      </c>
      <c r="G70" s="2" t="s">
        <v>60</v>
      </c>
      <c r="H70" s="2" t="s">
        <v>65</v>
      </c>
      <c r="I70" s="2" t="s">
        <v>65</v>
      </c>
      <c r="J70" s="2" t="s">
        <v>116</v>
      </c>
      <c r="K70" s="2" t="s">
        <v>627</v>
      </c>
      <c r="L70" s="2">
        <v>3</v>
      </c>
      <c r="M70" s="2" t="s">
        <v>17</v>
      </c>
      <c r="N70" s="2" t="s">
        <v>93</v>
      </c>
      <c r="O70" s="2" t="s">
        <v>65</v>
      </c>
      <c r="P70" s="2" t="s">
        <v>283</v>
      </c>
    </row>
    <row r="71" spans="1:16" ht="57">
      <c r="A71" s="2" t="s">
        <v>628</v>
      </c>
      <c r="B71" s="2" t="s">
        <v>114</v>
      </c>
      <c r="C71" s="2" t="s">
        <v>629</v>
      </c>
      <c r="D71" s="2" t="s">
        <v>630</v>
      </c>
      <c r="E71" s="2" t="s">
        <v>631</v>
      </c>
      <c r="F71" s="2" t="s">
        <v>279</v>
      </c>
      <c r="G71" s="2" t="s">
        <v>60</v>
      </c>
      <c r="H71" s="2" t="s">
        <v>65</v>
      </c>
      <c r="I71" s="2" t="s">
        <v>94</v>
      </c>
      <c r="J71" s="2" t="s">
        <v>116</v>
      </c>
      <c r="K71" s="2" t="s">
        <v>632</v>
      </c>
      <c r="L71" s="2">
        <v>4</v>
      </c>
      <c r="M71" s="2" t="s">
        <v>17</v>
      </c>
      <c r="N71" s="2" t="s">
        <v>327</v>
      </c>
      <c r="O71" s="2" t="s">
        <v>65</v>
      </c>
      <c r="P71" s="2" t="s">
        <v>283</v>
      </c>
    </row>
    <row r="72" spans="1:16" ht="57">
      <c r="A72" s="2" t="s">
        <v>633</v>
      </c>
      <c r="B72" s="2" t="s">
        <v>114</v>
      </c>
      <c r="C72" s="2" t="s">
        <v>634</v>
      </c>
      <c r="D72" s="2" t="s">
        <v>635</v>
      </c>
      <c r="E72" s="2" t="s">
        <v>636</v>
      </c>
      <c r="F72" s="2" t="s">
        <v>279</v>
      </c>
      <c r="G72" s="2" t="s">
        <v>280</v>
      </c>
      <c r="H72" s="2" t="s">
        <v>65</v>
      </c>
      <c r="I72" s="2" t="s">
        <v>94</v>
      </c>
      <c r="J72" s="2" t="s">
        <v>116</v>
      </c>
      <c r="K72" s="2" t="s">
        <v>637</v>
      </c>
      <c r="L72" s="2">
        <v>5</v>
      </c>
      <c r="M72" s="2" t="s">
        <v>17</v>
      </c>
      <c r="N72" s="2" t="s">
        <v>93</v>
      </c>
      <c r="O72" s="2" t="s">
        <v>65</v>
      </c>
      <c r="P72" s="2" t="s">
        <v>283</v>
      </c>
    </row>
    <row r="73" spans="1:16" ht="71.25">
      <c r="A73" s="2" t="s">
        <v>638</v>
      </c>
      <c r="B73" s="2" t="s">
        <v>120</v>
      </c>
      <c r="C73" s="2" t="s">
        <v>639</v>
      </c>
      <c r="D73" s="2" t="s">
        <v>640</v>
      </c>
      <c r="E73" s="2" t="s">
        <v>641</v>
      </c>
      <c r="F73" s="2" t="s">
        <v>279</v>
      </c>
      <c r="G73" s="2" t="s">
        <v>60</v>
      </c>
      <c r="H73" s="2" t="s">
        <v>288</v>
      </c>
      <c r="I73" s="2" t="s">
        <v>65</v>
      </c>
      <c r="J73" s="2" t="s">
        <v>122</v>
      </c>
      <c r="K73" s="2" t="s">
        <v>642</v>
      </c>
      <c r="L73" s="2">
        <v>1</v>
      </c>
      <c r="M73" s="2" t="s">
        <v>17</v>
      </c>
      <c r="N73" s="2" t="s">
        <v>93</v>
      </c>
      <c r="O73" s="2" t="s">
        <v>65</v>
      </c>
      <c r="P73" s="2" t="s">
        <v>283</v>
      </c>
    </row>
    <row r="74" spans="1:16" ht="71.25">
      <c r="A74" s="2" t="s">
        <v>643</v>
      </c>
      <c r="B74" s="2" t="s">
        <v>120</v>
      </c>
      <c r="C74" s="2" t="s">
        <v>644</v>
      </c>
      <c r="D74" s="2" t="s">
        <v>645</v>
      </c>
      <c r="E74" s="2" t="s">
        <v>646</v>
      </c>
      <c r="F74" s="2" t="s">
        <v>279</v>
      </c>
      <c r="G74" s="2" t="s">
        <v>60</v>
      </c>
      <c r="H74" s="2" t="s">
        <v>65</v>
      </c>
      <c r="I74" s="2" t="s">
        <v>65</v>
      </c>
      <c r="J74" s="2" t="s">
        <v>122</v>
      </c>
      <c r="K74" s="2" t="s">
        <v>647</v>
      </c>
      <c r="L74" s="2">
        <v>2</v>
      </c>
      <c r="M74" s="2" t="s">
        <v>17</v>
      </c>
      <c r="N74" s="2" t="s">
        <v>353</v>
      </c>
      <c r="O74" s="2" t="s">
        <v>65</v>
      </c>
      <c r="P74" s="2" t="s">
        <v>283</v>
      </c>
    </row>
    <row r="75" spans="1:16" ht="42.75">
      <c r="A75" s="2" t="s">
        <v>648</v>
      </c>
      <c r="B75" s="2" t="s">
        <v>120</v>
      </c>
      <c r="C75" s="2" t="s">
        <v>649</v>
      </c>
      <c r="D75" s="2" t="s">
        <v>650</v>
      </c>
      <c r="E75" s="2" t="s">
        <v>651</v>
      </c>
      <c r="F75" s="2" t="s">
        <v>279</v>
      </c>
      <c r="G75" s="2" t="s">
        <v>60</v>
      </c>
      <c r="H75" s="2" t="s">
        <v>65</v>
      </c>
      <c r="I75" s="2" t="s">
        <v>65</v>
      </c>
      <c r="J75" s="2" t="s">
        <v>122</v>
      </c>
      <c r="K75" s="2" t="s">
        <v>652</v>
      </c>
      <c r="L75" s="2">
        <v>3</v>
      </c>
      <c r="M75" s="2" t="s">
        <v>17</v>
      </c>
      <c r="N75" s="2" t="s">
        <v>93</v>
      </c>
      <c r="O75" s="2" t="s">
        <v>65</v>
      </c>
      <c r="P75" s="2" t="s">
        <v>283</v>
      </c>
    </row>
    <row r="76" spans="1:16" ht="71.25">
      <c r="A76" s="2" t="s">
        <v>653</v>
      </c>
      <c r="B76" s="2" t="s">
        <v>120</v>
      </c>
      <c r="C76" s="2" t="s">
        <v>654</v>
      </c>
      <c r="D76" s="2" t="s">
        <v>655</v>
      </c>
      <c r="E76" s="2" t="s">
        <v>656</v>
      </c>
      <c r="F76" s="2" t="s">
        <v>279</v>
      </c>
      <c r="G76" s="2" t="s">
        <v>60</v>
      </c>
      <c r="H76" s="2" t="s">
        <v>65</v>
      </c>
      <c r="I76" s="2" t="s">
        <v>65</v>
      </c>
      <c r="J76" s="2" t="s">
        <v>122</v>
      </c>
      <c r="K76" s="2" t="s">
        <v>657</v>
      </c>
      <c r="L76" s="2">
        <v>4</v>
      </c>
      <c r="M76" s="2" t="s">
        <v>17</v>
      </c>
      <c r="N76" s="2" t="s">
        <v>353</v>
      </c>
      <c r="O76" s="2" t="s">
        <v>65</v>
      </c>
      <c r="P76" s="2" t="s">
        <v>283</v>
      </c>
    </row>
    <row r="77" spans="1:16" ht="57">
      <c r="A77" s="2" t="s">
        <v>658</v>
      </c>
      <c r="B77" s="2" t="s">
        <v>120</v>
      </c>
      <c r="C77" s="2" t="s">
        <v>659</v>
      </c>
      <c r="D77" s="2" t="s">
        <v>660</v>
      </c>
      <c r="E77" s="2" t="s">
        <v>661</v>
      </c>
      <c r="F77" s="2" t="s">
        <v>279</v>
      </c>
      <c r="G77" s="2" t="s">
        <v>280</v>
      </c>
      <c r="H77" s="2" t="s">
        <v>94</v>
      </c>
      <c r="I77" s="2" t="s">
        <v>65</v>
      </c>
      <c r="J77" s="2" t="s">
        <v>122</v>
      </c>
      <c r="K77" s="2" t="s">
        <v>662</v>
      </c>
      <c r="L77" s="2">
        <v>5</v>
      </c>
      <c r="M77" s="2" t="s">
        <v>17</v>
      </c>
      <c r="N77" s="2" t="s">
        <v>93</v>
      </c>
      <c r="O77" s="2" t="s">
        <v>65</v>
      </c>
      <c r="P77" s="2" t="s">
        <v>283</v>
      </c>
    </row>
    <row r="78" spans="1:16" ht="42.75">
      <c r="A78" s="2" t="s">
        <v>663</v>
      </c>
      <c r="B78" s="2" t="s">
        <v>126</v>
      </c>
      <c r="C78" s="2" t="s">
        <v>664</v>
      </c>
      <c r="D78" s="2" t="s">
        <v>665</v>
      </c>
      <c r="E78" s="2" t="s">
        <v>666</v>
      </c>
      <c r="F78" s="2" t="s">
        <v>279</v>
      </c>
      <c r="G78" s="2" t="s">
        <v>60</v>
      </c>
      <c r="H78" s="2" t="s">
        <v>94</v>
      </c>
      <c r="I78" s="2" t="s">
        <v>65</v>
      </c>
      <c r="J78" s="2" t="s">
        <v>128</v>
      </c>
      <c r="K78" s="2" t="s">
        <v>667</v>
      </c>
      <c r="L78" s="2">
        <v>1</v>
      </c>
      <c r="M78" s="2" t="s">
        <v>17</v>
      </c>
      <c r="N78" s="2" t="s">
        <v>131</v>
      </c>
      <c r="O78" s="2" t="s">
        <v>65</v>
      </c>
      <c r="P78" s="2" t="s">
        <v>283</v>
      </c>
    </row>
    <row r="79" spans="1:16" ht="42.75">
      <c r="A79" s="2" t="s">
        <v>668</v>
      </c>
      <c r="B79" s="2" t="s">
        <v>126</v>
      </c>
      <c r="C79" s="2" t="s">
        <v>669</v>
      </c>
      <c r="D79" s="2" t="s">
        <v>670</v>
      </c>
      <c r="E79" s="2" t="s">
        <v>671</v>
      </c>
      <c r="F79" s="2" t="s">
        <v>279</v>
      </c>
      <c r="G79" s="2" t="s">
        <v>60</v>
      </c>
      <c r="H79" s="2" t="s">
        <v>94</v>
      </c>
      <c r="I79" s="2" t="s">
        <v>65</v>
      </c>
      <c r="J79" s="2" t="s">
        <v>128</v>
      </c>
      <c r="K79" s="2" t="s">
        <v>672</v>
      </c>
      <c r="L79" s="2">
        <v>2</v>
      </c>
      <c r="M79" s="2" t="s">
        <v>17</v>
      </c>
      <c r="N79" s="2" t="s">
        <v>93</v>
      </c>
      <c r="O79" s="2" t="s">
        <v>65</v>
      </c>
      <c r="P79" s="2" t="s">
        <v>283</v>
      </c>
    </row>
    <row r="80" spans="1:16" ht="57">
      <c r="A80" s="2" t="s">
        <v>673</v>
      </c>
      <c r="B80" s="2" t="s">
        <v>126</v>
      </c>
      <c r="C80" s="2" t="s">
        <v>674</v>
      </c>
      <c r="D80" s="2" t="s">
        <v>675</v>
      </c>
      <c r="E80" s="2" t="s">
        <v>676</v>
      </c>
      <c r="F80" s="2" t="s">
        <v>279</v>
      </c>
      <c r="G80" s="2" t="s">
        <v>60</v>
      </c>
      <c r="H80" s="2" t="s">
        <v>94</v>
      </c>
      <c r="I80" s="2" t="s">
        <v>65</v>
      </c>
      <c r="J80" s="2" t="s">
        <v>128</v>
      </c>
      <c r="K80" s="2" t="s">
        <v>677</v>
      </c>
      <c r="L80" s="2">
        <v>3</v>
      </c>
      <c r="M80" s="2" t="s">
        <v>17</v>
      </c>
      <c r="N80" s="2" t="s">
        <v>93</v>
      </c>
      <c r="O80" s="2" t="s">
        <v>65</v>
      </c>
      <c r="P80" s="2" t="s">
        <v>283</v>
      </c>
    </row>
    <row r="81" spans="1:16" ht="57">
      <c r="A81" s="2" t="s">
        <v>678</v>
      </c>
      <c r="B81" s="2" t="s">
        <v>126</v>
      </c>
      <c r="C81" s="2" t="s">
        <v>679</v>
      </c>
      <c r="D81" s="2" t="s">
        <v>680</v>
      </c>
      <c r="E81" s="2" t="s">
        <v>681</v>
      </c>
      <c r="F81" s="2" t="s">
        <v>469</v>
      </c>
      <c r="G81" s="2" t="s">
        <v>60</v>
      </c>
      <c r="H81" s="2" t="s">
        <v>94</v>
      </c>
      <c r="I81" s="2" t="s">
        <v>65</v>
      </c>
      <c r="J81" s="2" t="s">
        <v>128</v>
      </c>
      <c r="K81" s="2" t="s">
        <v>682</v>
      </c>
      <c r="L81" s="2">
        <v>4</v>
      </c>
      <c r="M81" s="2" t="s">
        <v>17</v>
      </c>
      <c r="N81" s="2" t="s">
        <v>93</v>
      </c>
      <c r="O81" s="2" t="s">
        <v>65</v>
      </c>
      <c r="P81" s="2" t="s">
        <v>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1"/>
  <sheetViews>
    <sheetView topLeftCell="A5" workbookViewId="0">
      <selection activeCell="A2" sqref="A2:XFD4"/>
    </sheetView>
  </sheetViews>
  <sheetFormatPr defaultRowHeight="14.25"/>
  <cols>
    <col min="1" max="3" width="18" customWidth="1"/>
    <col min="4" max="4" width="30" customWidth="1"/>
    <col min="5" max="8" width="38" customWidth="1"/>
    <col min="9" max="13" width="18" customWidth="1"/>
    <col min="14" max="14" width="38" customWidth="1"/>
    <col min="15" max="17" width="18" customWidth="1"/>
    <col min="18" max="20" width="38" customWidth="1"/>
  </cols>
  <sheetData>
    <row r="1" spans="1:20" ht="30">
      <c r="A1" s="1" t="s">
        <v>35</v>
      </c>
      <c r="B1" s="1" t="s">
        <v>265</v>
      </c>
      <c r="C1" s="1" t="s">
        <v>45</v>
      </c>
      <c r="D1" s="1" t="s">
        <v>683</v>
      </c>
      <c r="E1" s="1" t="s">
        <v>684</v>
      </c>
      <c r="F1" s="1" t="s">
        <v>685</v>
      </c>
      <c r="G1" s="1" t="s">
        <v>686</v>
      </c>
      <c r="H1" s="1" t="s">
        <v>687</v>
      </c>
      <c r="I1" s="1" t="s">
        <v>273</v>
      </c>
      <c r="J1" s="1" t="s">
        <v>274</v>
      </c>
      <c r="K1" s="1" t="s">
        <v>271</v>
      </c>
      <c r="L1" s="1" t="s">
        <v>272</v>
      </c>
      <c r="M1" s="1" t="s">
        <v>688</v>
      </c>
      <c r="N1" s="1" t="s">
        <v>689</v>
      </c>
      <c r="O1" s="1" t="s">
        <v>690</v>
      </c>
      <c r="P1" s="1" t="s">
        <v>55</v>
      </c>
      <c r="Q1" s="1" t="s">
        <v>16</v>
      </c>
      <c r="R1" s="1" t="s">
        <v>53</v>
      </c>
      <c r="S1" s="1" t="s">
        <v>54</v>
      </c>
      <c r="T1" s="1" t="s">
        <v>3</v>
      </c>
    </row>
    <row r="2" spans="1:20" ht="114">
      <c r="A2" s="2" t="s">
        <v>691</v>
      </c>
      <c r="B2" s="2" t="s">
        <v>275</v>
      </c>
      <c r="C2" s="2" t="s">
        <v>56</v>
      </c>
      <c r="D2" s="2" t="s">
        <v>692</v>
      </c>
      <c r="E2" s="2" t="s">
        <v>693</v>
      </c>
      <c r="F2" s="2" t="s">
        <v>694</v>
      </c>
      <c r="G2" s="2" t="s">
        <v>695</v>
      </c>
      <c r="H2" s="2" t="s">
        <v>696</v>
      </c>
      <c r="I2" s="2" t="s">
        <v>281</v>
      </c>
      <c r="J2" s="2" t="s">
        <v>282</v>
      </c>
      <c r="K2" s="2" t="s">
        <v>65</v>
      </c>
      <c r="L2" s="2" t="s">
        <v>94</v>
      </c>
      <c r="M2" s="2" t="s">
        <v>697</v>
      </c>
      <c r="N2" s="2" t="s">
        <v>698</v>
      </c>
      <c r="O2" s="2" t="s">
        <v>60</v>
      </c>
      <c r="P2" s="2">
        <v>1</v>
      </c>
      <c r="Q2" s="2" t="s">
        <v>17</v>
      </c>
      <c r="R2" s="2" t="s">
        <v>64</v>
      </c>
      <c r="S2" s="2" t="s">
        <v>65</v>
      </c>
      <c r="T2" s="2" t="s">
        <v>699</v>
      </c>
    </row>
    <row r="3" spans="1:20" ht="114">
      <c r="A3" s="2" t="s">
        <v>700</v>
      </c>
      <c r="B3" s="2" t="s">
        <v>275</v>
      </c>
      <c r="C3" s="2" t="s">
        <v>56</v>
      </c>
      <c r="D3" s="2" t="s">
        <v>701</v>
      </c>
      <c r="E3" s="2" t="s">
        <v>702</v>
      </c>
      <c r="F3" s="2" t="s">
        <v>703</v>
      </c>
      <c r="G3" s="2" t="s">
        <v>695</v>
      </c>
      <c r="H3" s="2" t="s">
        <v>704</v>
      </c>
      <c r="I3" s="2" t="s">
        <v>281</v>
      </c>
      <c r="J3" s="2" t="s">
        <v>282</v>
      </c>
      <c r="K3" s="2" t="s">
        <v>65</v>
      </c>
      <c r="L3" s="2" t="s">
        <v>94</v>
      </c>
      <c r="M3" s="2" t="s">
        <v>697</v>
      </c>
      <c r="N3" s="2" t="s">
        <v>705</v>
      </c>
      <c r="O3" s="2" t="s">
        <v>60</v>
      </c>
      <c r="P3" s="2">
        <v>2</v>
      </c>
      <c r="Q3" s="2" t="s">
        <v>17</v>
      </c>
      <c r="R3" s="2" t="s">
        <v>64</v>
      </c>
      <c r="S3" s="2" t="s">
        <v>65</v>
      </c>
      <c r="T3" s="2" t="s">
        <v>699</v>
      </c>
    </row>
    <row r="4" spans="1:20" ht="114">
      <c r="A4" s="2" t="s">
        <v>706</v>
      </c>
      <c r="B4" s="2" t="s">
        <v>275</v>
      </c>
      <c r="C4" s="2" t="s">
        <v>56</v>
      </c>
      <c r="D4" s="2" t="s">
        <v>707</v>
      </c>
      <c r="E4" s="2" t="s">
        <v>708</v>
      </c>
      <c r="F4" s="2" t="s">
        <v>709</v>
      </c>
      <c r="G4" s="2" t="s">
        <v>695</v>
      </c>
      <c r="H4" s="2" t="s">
        <v>710</v>
      </c>
      <c r="I4" s="2" t="s">
        <v>281</v>
      </c>
      <c r="J4" s="2" t="s">
        <v>282</v>
      </c>
      <c r="K4" s="2" t="s">
        <v>65</v>
      </c>
      <c r="L4" s="2" t="s">
        <v>94</v>
      </c>
      <c r="M4" s="2" t="s">
        <v>697</v>
      </c>
      <c r="N4" s="2" t="s">
        <v>711</v>
      </c>
      <c r="O4" s="2" t="s">
        <v>60</v>
      </c>
      <c r="P4" s="2">
        <v>3</v>
      </c>
      <c r="Q4" s="2" t="s">
        <v>17</v>
      </c>
      <c r="R4" s="2" t="s">
        <v>64</v>
      </c>
      <c r="S4" s="2" t="s">
        <v>65</v>
      </c>
      <c r="T4" s="2" t="s">
        <v>699</v>
      </c>
    </row>
    <row r="5" spans="1:20" ht="114">
      <c r="A5" s="2" t="s">
        <v>712</v>
      </c>
      <c r="B5" s="2" t="s">
        <v>284</v>
      </c>
      <c r="C5" s="2" t="s">
        <v>56</v>
      </c>
      <c r="D5" s="2" t="s">
        <v>713</v>
      </c>
      <c r="E5" s="2" t="s">
        <v>714</v>
      </c>
      <c r="F5" s="2" t="s">
        <v>715</v>
      </c>
      <c r="G5" s="2" t="s">
        <v>695</v>
      </c>
      <c r="H5" s="2" t="s">
        <v>716</v>
      </c>
      <c r="I5" s="2" t="s">
        <v>281</v>
      </c>
      <c r="J5" s="2" t="s">
        <v>289</v>
      </c>
      <c r="K5" s="2" t="s">
        <v>288</v>
      </c>
      <c r="L5" s="2" t="s">
        <v>65</v>
      </c>
      <c r="M5" s="2" t="s">
        <v>697</v>
      </c>
      <c r="N5" s="2" t="s">
        <v>717</v>
      </c>
      <c r="O5" s="2" t="s">
        <v>60</v>
      </c>
      <c r="P5" s="2">
        <v>1</v>
      </c>
      <c r="Q5" s="2" t="s">
        <v>17</v>
      </c>
      <c r="R5" s="2" t="s">
        <v>29</v>
      </c>
      <c r="S5" s="2" t="s">
        <v>65</v>
      </c>
      <c r="T5" s="2" t="s">
        <v>699</v>
      </c>
    </row>
    <row r="6" spans="1:20" ht="114">
      <c r="A6" s="2" t="s">
        <v>718</v>
      </c>
      <c r="B6" s="2" t="s">
        <v>284</v>
      </c>
      <c r="C6" s="2" t="s">
        <v>56</v>
      </c>
      <c r="D6" s="2" t="s">
        <v>719</v>
      </c>
      <c r="E6" s="2" t="s">
        <v>720</v>
      </c>
      <c r="F6" s="2" t="s">
        <v>721</v>
      </c>
      <c r="G6" s="2" t="s">
        <v>695</v>
      </c>
      <c r="H6" s="2" t="s">
        <v>722</v>
      </c>
      <c r="I6" s="2" t="s">
        <v>281</v>
      </c>
      <c r="J6" s="2" t="s">
        <v>289</v>
      </c>
      <c r="K6" s="2" t="s">
        <v>288</v>
      </c>
      <c r="L6" s="2" t="s">
        <v>65</v>
      </c>
      <c r="M6" s="2" t="s">
        <v>697</v>
      </c>
      <c r="N6" s="2" t="s">
        <v>723</v>
      </c>
      <c r="O6" s="2" t="s">
        <v>60</v>
      </c>
      <c r="P6" s="2">
        <v>2</v>
      </c>
      <c r="Q6" s="2" t="s">
        <v>17</v>
      </c>
      <c r="R6" s="2" t="s">
        <v>29</v>
      </c>
      <c r="S6" s="2" t="s">
        <v>65</v>
      </c>
      <c r="T6" s="2" t="s">
        <v>699</v>
      </c>
    </row>
    <row r="7" spans="1:20" ht="114">
      <c r="A7" s="2" t="s">
        <v>724</v>
      </c>
      <c r="B7" s="2" t="s">
        <v>284</v>
      </c>
      <c r="C7" s="2" t="s">
        <v>56</v>
      </c>
      <c r="D7" s="2" t="s">
        <v>725</v>
      </c>
      <c r="E7" s="2" t="s">
        <v>726</v>
      </c>
      <c r="F7" s="2" t="s">
        <v>727</v>
      </c>
      <c r="G7" s="2" t="s">
        <v>695</v>
      </c>
      <c r="H7" s="2" t="s">
        <v>728</v>
      </c>
      <c r="I7" s="2" t="s">
        <v>281</v>
      </c>
      <c r="J7" s="2" t="s">
        <v>289</v>
      </c>
      <c r="K7" s="2" t="s">
        <v>288</v>
      </c>
      <c r="L7" s="2" t="s">
        <v>65</v>
      </c>
      <c r="M7" s="2" t="s">
        <v>697</v>
      </c>
      <c r="N7" s="2" t="s">
        <v>729</v>
      </c>
      <c r="O7" s="2" t="s">
        <v>60</v>
      </c>
      <c r="P7" s="2">
        <v>3</v>
      </c>
      <c r="Q7" s="2" t="s">
        <v>17</v>
      </c>
      <c r="R7" s="2" t="s">
        <v>29</v>
      </c>
      <c r="S7" s="2" t="s">
        <v>65</v>
      </c>
      <c r="T7" s="2" t="s">
        <v>699</v>
      </c>
    </row>
    <row r="8" spans="1:20" ht="114">
      <c r="A8" s="2" t="s">
        <v>730</v>
      </c>
      <c r="B8" s="2" t="s">
        <v>290</v>
      </c>
      <c r="C8" s="2" t="s">
        <v>56</v>
      </c>
      <c r="D8" s="2" t="s">
        <v>731</v>
      </c>
      <c r="E8" s="2" t="s">
        <v>732</v>
      </c>
      <c r="F8" s="2" t="s">
        <v>733</v>
      </c>
      <c r="G8" s="2" t="s">
        <v>695</v>
      </c>
      <c r="H8" s="2" t="s">
        <v>734</v>
      </c>
      <c r="I8" s="2" t="s">
        <v>281</v>
      </c>
      <c r="J8" s="2" t="s">
        <v>294</v>
      </c>
      <c r="K8" s="2" t="s">
        <v>65</v>
      </c>
      <c r="L8" s="2" t="s">
        <v>94</v>
      </c>
      <c r="M8" s="2" t="s">
        <v>697</v>
      </c>
      <c r="N8" s="2" t="s">
        <v>735</v>
      </c>
      <c r="O8" s="2" t="s">
        <v>60</v>
      </c>
      <c r="P8" s="2">
        <v>1</v>
      </c>
      <c r="Q8" s="2" t="s">
        <v>17</v>
      </c>
      <c r="R8" s="2" t="s">
        <v>101</v>
      </c>
      <c r="S8" s="2" t="s">
        <v>65</v>
      </c>
      <c r="T8" s="2" t="s">
        <v>699</v>
      </c>
    </row>
    <row r="9" spans="1:20" ht="114">
      <c r="A9" s="2" t="s">
        <v>736</v>
      </c>
      <c r="B9" s="2" t="s">
        <v>290</v>
      </c>
      <c r="C9" s="2" t="s">
        <v>56</v>
      </c>
      <c r="D9" s="2" t="s">
        <v>737</v>
      </c>
      <c r="E9" s="2" t="s">
        <v>738</v>
      </c>
      <c r="F9" s="2" t="s">
        <v>739</v>
      </c>
      <c r="G9" s="2" t="s">
        <v>695</v>
      </c>
      <c r="H9" s="2" t="s">
        <v>740</v>
      </c>
      <c r="I9" s="2" t="s">
        <v>281</v>
      </c>
      <c r="J9" s="2" t="s">
        <v>294</v>
      </c>
      <c r="K9" s="2" t="s">
        <v>65</v>
      </c>
      <c r="L9" s="2" t="s">
        <v>94</v>
      </c>
      <c r="M9" s="2" t="s">
        <v>697</v>
      </c>
      <c r="N9" s="2" t="s">
        <v>741</v>
      </c>
      <c r="O9" s="2" t="s">
        <v>60</v>
      </c>
      <c r="P9" s="2">
        <v>2</v>
      </c>
      <c r="Q9" s="2" t="s">
        <v>17</v>
      </c>
      <c r="R9" s="2" t="s">
        <v>101</v>
      </c>
      <c r="S9" s="2" t="s">
        <v>65</v>
      </c>
      <c r="T9" s="2" t="s">
        <v>699</v>
      </c>
    </row>
    <row r="10" spans="1:20" ht="114">
      <c r="A10" s="2" t="s">
        <v>742</v>
      </c>
      <c r="B10" s="2" t="s">
        <v>290</v>
      </c>
      <c r="C10" s="2" t="s">
        <v>56</v>
      </c>
      <c r="D10" s="2" t="s">
        <v>743</v>
      </c>
      <c r="E10" s="2" t="s">
        <v>744</v>
      </c>
      <c r="F10" s="2" t="s">
        <v>745</v>
      </c>
      <c r="G10" s="2" t="s">
        <v>695</v>
      </c>
      <c r="H10" s="2" t="s">
        <v>746</v>
      </c>
      <c r="I10" s="2" t="s">
        <v>281</v>
      </c>
      <c r="J10" s="2" t="s">
        <v>294</v>
      </c>
      <c r="K10" s="2" t="s">
        <v>65</v>
      </c>
      <c r="L10" s="2" t="s">
        <v>94</v>
      </c>
      <c r="M10" s="2" t="s">
        <v>697</v>
      </c>
      <c r="N10" s="2" t="s">
        <v>747</v>
      </c>
      <c r="O10" s="2" t="s">
        <v>60</v>
      </c>
      <c r="P10" s="2">
        <v>3</v>
      </c>
      <c r="Q10" s="2" t="s">
        <v>17</v>
      </c>
      <c r="R10" s="2" t="s">
        <v>101</v>
      </c>
      <c r="S10" s="2" t="s">
        <v>65</v>
      </c>
      <c r="T10" s="2" t="s">
        <v>699</v>
      </c>
    </row>
    <row r="11" spans="1:20" ht="114">
      <c r="A11" s="2" t="s">
        <v>748</v>
      </c>
      <c r="B11" s="2" t="s">
        <v>295</v>
      </c>
      <c r="C11" s="2" t="s">
        <v>56</v>
      </c>
      <c r="D11" s="2" t="s">
        <v>749</v>
      </c>
      <c r="E11" s="2" t="s">
        <v>750</v>
      </c>
      <c r="F11" s="2" t="s">
        <v>751</v>
      </c>
      <c r="G11" s="2" t="s">
        <v>695</v>
      </c>
      <c r="H11" s="2" t="s">
        <v>752</v>
      </c>
      <c r="I11" s="2" t="s">
        <v>98</v>
      </c>
      <c r="J11" s="2" t="s">
        <v>299</v>
      </c>
      <c r="K11" s="2" t="s">
        <v>65</v>
      </c>
      <c r="L11" s="2" t="s">
        <v>94</v>
      </c>
      <c r="M11" s="2" t="s">
        <v>697</v>
      </c>
      <c r="N11" s="2" t="s">
        <v>753</v>
      </c>
      <c r="O11" s="2" t="s">
        <v>60</v>
      </c>
      <c r="P11" s="2">
        <v>1</v>
      </c>
      <c r="Q11" s="2" t="s">
        <v>17</v>
      </c>
      <c r="R11" s="2" t="s">
        <v>300</v>
      </c>
      <c r="S11" s="2" t="s">
        <v>65</v>
      </c>
      <c r="T11" s="2" t="s">
        <v>699</v>
      </c>
    </row>
    <row r="12" spans="1:20" ht="114">
      <c r="A12" s="2" t="s">
        <v>754</v>
      </c>
      <c r="B12" s="2" t="s">
        <v>295</v>
      </c>
      <c r="C12" s="2" t="s">
        <v>56</v>
      </c>
      <c r="D12" s="2" t="s">
        <v>755</v>
      </c>
      <c r="E12" s="2" t="s">
        <v>756</v>
      </c>
      <c r="F12" s="2" t="s">
        <v>757</v>
      </c>
      <c r="G12" s="2" t="s">
        <v>695</v>
      </c>
      <c r="H12" s="2" t="s">
        <v>758</v>
      </c>
      <c r="I12" s="2" t="s">
        <v>98</v>
      </c>
      <c r="J12" s="2" t="s">
        <v>299</v>
      </c>
      <c r="K12" s="2" t="s">
        <v>65</v>
      </c>
      <c r="L12" s="2" t="s">
        <v>94</v>
      </c>
      <c r="M12" s="2" t="s">
        <v>697</v>
      </c>
      <c r="N12" s="2" t="s">
        <v>759</v>
      </c>
      <c r="O12" s="2" t="s">
        <v>60</v>
      </c>
      <c r="P12" s="2">
        <v>2</v>
      </c>
      <c r="Q12" s="2" t="s">
        <v>17</v>
      </c>
      <c r="R12" s="2" t="s">
        <v>300</v>
      </c>
      <c r="S12" s="2" t="s">
        <v>65</v>
      </c>
      <c r="T12" s="2" t="s">
        <v>699</v>
      </c>
    </row>
    <row r="13" spans="1:20" ht="114">
      <c r="A13" s="2" t="s">
        <v>760</v>
      </c>
      <c r="B13" s="2" t="s">
        <v>295</v>
      </c>
      <c r="C13" s="2" t="s">
        <v>56</v>
      </c>
      <c r="D13" s="2" t="s">
        <v>761</v>
      </c>
      <c r="E13" s="2" t="s">
        <v>762</v>
      </c>
      <c r="F13" s="2" t="s">
        <v>763</v>
      </c>
      <c r="G13" s="2" t="s">
        <v>695</v>
      </c>
      <c r="H13" s="2" t="s">
        <v>764</v>
      </c>
      <c r="I13" s="2" t="s">
        <v>98</v>
      </c>
      <c r="J13" s="2" t="s">
        <v>299</v>
      </c>
      <c r="K13" s="2" t="s">
        <v>65</v>
      </c>
      <c r="L13" s="2" t="s">
        <v>94</v>
      </c>
      <c r="M13" s="2" t="s">
        <v>697</v>
      </c>
      <c r="N13" s="2" t="s">
        <v>765</v>
      </c>
      <c r="O13" s="2" t="s">
        <v>60</v>
      </c>
      <c r="P13" s="2">
        <v>3</v>
      </c>
      <c r="Q13" s="2" t="s">
        <v>17</v>
      </c>
      <c r="R13" s="2" t="s">
        <v>300</v>
      </c>
      <c r="S13" s="2" t="s">
        <v>65</v>
      </c>
      <c r="T13" s="2" t="s">
        <v>699</v>
      </c>
    </row>
    <row r="14" spans="1:20" ht="114">
      <c r="A14" s="2" t="s">
        <v>766</v>
      </c>
      <c r="B14" s="2" t="s">
        <v>301</v>
      </c>
      <c r="C14" s="2" t="s">
        <v>56</v>
      </c>
      <c r="D14" s="2" t="s">
        <v>767</v>
      </c>
      <c r="E14" s="2" t="s">
        <v>768</v>
      </c>
      <c r="F14" s="2" t="s">
        <v>769</v>
      </c>
      <c r="G14" s="2" t="s">
        <v>695</v>
      </c>
      <c r="H14" s="2" t="s">
        <v>770</v>
      </c>
      <c r="I14" s="2" t="s">
        <v>89</v>
      </c>
      <c r="J14" s="2" t="s">
        <v>305</v>
      </c>
      <c r="K14" s="2" t="s">
        <v>65</v>
      </c>
      <c r="L14" s="2" t="s">
        <v>65</v>
      </c>
      <c r="M14" s="2" t="s">
        <v>697</v>
      </c>
      <c r="N14" s="2" t="s">
        <v>771</v>
      </c>
      <c r="O14" s="2" t="s">
        <v>60</v>
      </c>
      <c r="P14" s="2">
        <v>1</v>
      </c>
      <c r="Q14" s="2" t="s">
        <v>17</v>
      </c>
      <c r="R14" s="2" t="s">
        <v>131</v>
      </c>
      <c r="S14" s="2" t="s">
        <v>65</v>
      </c>
      <c r="T14" s="2" t="s">
        <v>699</v>
      </c>
    </row>
    <row r="15" spans="1:20" ht="114">
      <c r="A15" s="2" t="s">
        <v>772</v>
      </c>
      <c r="B15" s="2" t="s">
        <v>301</v>
      </c>
      <c r="C15" s="2" t="s">
        <v>56</v>
      </c>
      <c r="D15" s="2" t="s">
        <v>773</v>
      </c>
      <c r="E15" s="2" t="s">
        <v>774</v>
      </c>
      <c r="F15" s="2" t="s">
        <v>775</v>
      </c>
      <c r="G15" s="2" t="s">
        <v>695</v>
      </c>
      <c r="H15" s="2" t="s">
        <v>776</v>
      </c>
      <c r="I15" s="2" t="s">
        <v>89</v>
      </c>
      <c r="J15" s="2" t="s">
        <v>305</v>
      </c>
      <c r="K15" s="2" t="s">
        <v>65</v>
      </c>
      <c r="L15" s="2" t="s">
        <v>65</v>
      </c>
      <c r="M15" s="2" t="s">
        <v>697</v>
      </c>
      <c r="N15" s="2" t="s">
        <v>777</v>
      </c>
      <c r="O15" s="2" t="s">
        <v>60</v>
      </c>
      <c r="P15" s="2">
        <v>2</v>
      </c>
      <c r="Q15" s="2" t="s">
        <v>17</v>
      </c>
      <c r="R15" s="2" t="s">
        <v>131</v>
      </c>
      <c r="S15" s="2" t="s">
        <v>65</v>
      </c>
      <c r="T15" s="2" t="s">
        <v>699</v>
      </c>
    </row>
    <row r="16" spans="1:20" ht="114">
      <c r="A16" s="2" t="s">
        <v>778</v>
      </c>
      <c r="B16" s="2" t="s">
        <v>301</v>
      </c>
      <c r="C16" s="2" t="s">
        <v>56</v>
      </c>
      <c r="D16" s="2" t="s">
        <v>779</v>
      </c>
      <c r="E16" s="2" t="s">
        <v>780</v>
      </c>
      <c r="F16" s="2" t="s">
        <v>781</v>
      </c>
      <c r="G16" s="2" t="s">
        <v>695</v>
      </c>
      <c r="H16" s="2" t="s">
        <v>782</v>
      </c>
      <c r="I16" s="2" t="s">
        <v>89</v>
      </c>
      <c r="J16" s="2" t="s">
        <v>305</v>
      </c>
      <c r="K16" s="2" t="s">
        <v>65</v>
      </c>
      <c r="L16" s="2" t="s">
        <v>65</v>
      </c>
      <c r="M16" s="2" t="s">
        <v>697</v>
      </c>
      <c r="N16" s="2" t="s">
        <v>783</v>
      </c>
      <c r="O16" s="2" t="s">
        <v>60</v>
      </c>
      <c r="P16" s="2">
        <v>3</v>
      </c>
      <c r="Q16" s="2" t="s">
        <v>17</v>
      </c>
      <c r="R16" s="2" t="s">
        <v>131</v>
      </c>
      <c r="S16" s="2" t="s">
        <v>65</v>
      </c>
      <c r="T16" s="2" t="s">
        <v>699</v>
      </c>
    </row>
    <row r="17" spans="1:20" ht="114">
      <c r="A17" s="2" t="s">
        <v>784</v>
      </c>
      <c r="B17" s="2" t="s">
        <v>306</v>
      </c>
      <c r="C17" s="2" t="s">
        <v>56</v>
      </c>
      <c r="D17" s="2" t="s">
        <v>785</v>
      </c>
      <c r="E17" s="2" t="s">
        <v>786</v>
      </c>
      <c r="F17" s="2" t="s">
        <v>787</v>
      </c>
      <c r="G17" s="2" t="s">
        <v>695</v>
      </c>
      <c r="H17" s="2" t="s">
        <v>788</v>
      </c>
      <c r="I17" s="2" t="s">
        <v>310</v>
      </c>
      <c r="J17" s="2" t="s">
        <v>311</v>
      </c>
      <c r="K17" s="2" t="s">
        <v>94</v>
      </c>
      <c r="L17" s="2" t="s">
        <v>65</v>
      </c>
      <c r="M17" s="2" t="s">
        <v>697</v>
      </c>
      <c r="N17" s="2" t="s">
        <v>789</v>
      </c>
      <c r="O17" s="2" t="s">
        <v>60</v>
      </c>
      <c r="P17" s="2">
        <v>1</v>
      </c>
      <c r="Q17" s="2" t="s">
        <v>17</v>
      </c>
      <c r="R17" s="2" t="s">
        <v>131</v>
      </c>
      <c r="S17" s="2" t="s">
        <v>65</v>
      </c>
      <c r="T17" s="2" t="s">
        <v>699</v>
      </c>
    </row>
    <row r="18" spans="1:20" ht="114">
      <c r="A18" s="2" t="s">
        <v>790</v>
      </c>
      <c r="B18" s="2" t="s">
        <v>306</v>
      </c>
      <c r="C18" s="2" t="s">
        <v>56</v>
      </c>
      <c r="D18" s="2" t="s">
        <v>791</v>
      </c>
      <c r="E18" s="2" t="s">
        <v>792</v>
      </c>
      <c r="F18" s="2" t="s">
        <v>793</v>
      </c>
      <c r="G18" s="2" t="s">
        <v>695</v>
      </c>
      <c r="H18" s="2" t="s">
        <v>794</v>
      </c>
      <c r="I18" s="2" t="s">
        <v>310</v>
      </c>
      <c r="J18" s="2" t="s">
        <v>311</v>
      </c>
      <c r="K18" s="2" t="s">
        <v>94</v>
      </c>
      <c r="L18" s="2" t="s">
        <v>65</v>
      </c>
      <c r="M18" s="2" t="s">
        <v>697</v>
      </c>
      <c r="N18" s="2" t="s">
        <v>795</v>
      </c>
      <c r="O18" s="2" t="s">
        <v>60</v>
      </c>
      <c r="P18" s="2">
        <v>2</v>
      </c>
      <c r="Q18" s="2" t="s">
        <v>17</v>
      </c>
      <c r="R18" s="2" t="s">
        <v>131</v>
      </c>
      <c r="S18" s="2" t="s">
        <v>65</v>
      </c>
      <c r="T18" s="2" t="s">
        <v>699</v>
      </c>
    </row>
    <row r="19" spans="1:20" ht="114">
      <c r="A19" s="2" t="s">
        <v>796</v>
      </c>
      <c r="B19" s="2" t="s">
        <v>306</v>
      </c>
      <c r="C19" s="2" t="s">
        <v>56</v>
      </c>
      <c r="D19" s="2" t="s">
        <v>797</v>
      </c>
      <c r="E19" s="2" t="s">
        <v>798</v>
      </c>
      <c r="F19" s="2" t="s">
        <v>799</v>
      </c>
      <c r="G19" s="2" t="s">
        <v>695</v>
      </c>
      <c r="H19" s="2" t="s">
        <v>800</v>
      </c>
      <c r="I19" s="2" t="s">
        <v>310</v>
      </c>
      <c r="J19" s="2" t="s">
        <v>311</v>
      </c>
      <c r="K19" s="2" t="s">
        <v>94</v>
      </c>
      <c r="L19" s="2" t="s">
        <v>65</v>
      </c>
      <c r="M19" s="2" t="s">
        <v>697</v>
      </c>
      <c r="N19" s="2" t="s">
        <v>801</v>
      </c>
      <c r="O19" s="2" t="s">
        <v>60</v>
      </c>
      <c r="P19" s="2">
        <v>3</v>
      </c>
      <c r="Q19" s="2" t="s">
        <v>17</v>
      </c>
      <c r="R19" s="2" t="s">
        <v>131</v>
      </c>
      <c r="S19" s="2" t="s">
        <v>65</v>
      </c>
      <c r="T19" s="2" t="s">
        <v>699</v>
      </c>
    </row>
    <row r="20" spans="1:20" ht="114">
      <c r="A20" s="2" t="s">
        <v>802</v>
      </c>
      <c r="B20" s="2" t="s">
        <v>312</v>
      </c>
      <c r="C20" s="2" t="s">
        <v>67</v>
      </c>
      <c r="D20" s="2" t="s">
        <v>803</v>
      </c>
      <c r="E20" s="2" t="s">
        <v>804</v>
      </c>
      <c r="F20" s="2" t="s">
        <v>805</v>
      </c>
      <c r="G20" s="2" t="s">
        <v>695</v>
      </c>
      <c r="H20" s="2" t="s">
        <v>806</v>
      </c>
      <c r="I20" s="2" t="s">
        <v>69</v>
      </c>
      <c r="J20" s="2" t="s">
        <v>316</v>
      </c>
      <c r="K20" s="2" t="s">
        <v>288</v>
      </c>
      <c r="L20" s="2" t="s">
        <v>94</v>
      </c>
      <c r="M20" s="2" t="s">
        <v>697</v>
      </c>
      <c r="N20" s="2" t="s">
        <v>807</v>
      </c>
      <c r="O20" s="2" t="s">
        <v>60</v>
      </c>
      <c r="P20" s="2">
        <v>1</v>
      </c>
      <c r="Q20" s="2" t="s">
        <v>17</v>
      </c>
      <c r="R20" s="2" t="s">
        <v>29</v>
      </c>
      <c r="S20" s="2" t="s">
        <v>65</v>
      </c>
      <c r="T20" s="2" t="s">
        <v>699</v>
      </c>
    </row>
    <row r="21" spans="1:20" ht="114">
      <c r="A21" s="2" t="s">
        <v>808</v>
      </c>
      <c r="B21" s="2" t="s">
        <v>312</v>
      </c>
      <c r="C21" s="2" t="s">
        <v>67</v>
      </c>
      <c r="D21" s="2" t="s">
        <v>809</v>
      </c>
      <c r="E21" s="2" t="s">
        <v>810</v>
      </c>
      <c r="F21" s="2" t="s">
        <v>811</v>
      </c>
      <c r="G21" s="2" t="s">
        <v>695</v>
      </c>
      <c r="H21" s="2" t="s">
        <v>812</v>
      </c>
      <c r="I21" s="2" t="s">
        <v>69</v>
      </c>
      <c r="J21" s="2" t="s">
        <v>316</v>
      </c>
      <c r="K21" s="2" t="s">
        <v>288</v>
      </c>
      <c r="L21" s="2" t="s">
        <v>94</v>
      </c>
      <c r="M21" s="2" t="s">
        <v>697</v>
      </c>
      <c r="N21" s="2" t="s">
        <v>813</v>
      </c>
      <c r="O21" s="2" t="s">
        <v>60</v>
      </c>
      <c r="P21" s="2">
        <v>2</v>
      </c>
      <c r="Q21" s="2" t="s">
        <v>17</v>
      </c>
      <c r="R21" s="2" t="s">
        <v>29</v>
      </c>
      <c r="S21" s="2" t="s">
        <v>65</v>
      </c>
      <c r="T21" s="2" t="s">
        <v>699</v>
      </c>
    </row>
    <row r="22" spans="1:20" ht="114">
      <c r="A22" s="2" t="s">
        <v>814</v>
      </c>
      <c r="B22" s="2" t="s">
        <v>312</v>
      </c>
      <c r="C22" s="2" t="s">
        <v>67</v>
      </c>
      <c r="D22" s="2" t="s">
        <v>815</v>
      </c>
      <c r="E22" s="2" t="s">
        <v>816</v>
      </c>
      <c r="F22" s="2" t="s">
        <v>817</v>
      </c>
      <c r="G22" s="2" t="s">
        <v>695</v>
      </c>
      <c r="H22" s="2" t="s">
        <v>818</v>
      </c>
      <c r="I22" s="2" t="s">
        <v>69</v>
      </c>
      <c r="J22" s="2" t="s">
        <v>316</v>
      </c>
      <c r="K22" s="2" t="s">
        <v>288</v>
      </c>
      <c r="L22" s="2" t="s">
        <v>94</v>
      </c>
      <c r="M22" s="2" t="s">
        <v>697</v>
      </c>
      <c r="N22" s="2" t="s">
        <v>819</v>
      </c>
      <c r="O22" s="2" t="s">
        <v>60</v>
      </c>
      <c r="P22" s="2">
        <v>3</v>
      </c>
      <c r="Q22" s="2" t="s">
        <v>17</v>
      </c>
      <c r="R22" s="2" t="s">
        <v>29</v>
      </c>
      <c r="S22" s="2" t="s">
        <v>65</v>
      </c>
      <c r="T22" s="2" t="s">
        <v>699</v>
      </c>
    </row>
    <row r="23" spans="1:20" ht="114">
      <c r="A23" s="2" t="s">
        <v>820</v>
      </c>
      <c r="B23" s="2" t="s">
        <v>317</v>
      </c>
      <c r="C23" s="2" t="s">
        <v>67</v>
      </c>
      <c r="D23" s="2" t="s">
        <v>821</v>
      </c>
      <c r="E23" s="2" t="s">
        <v>822</v>
      </c>
      <c r="F23" s="2" t="s">
        <v>823</v>
      </c>
      <c r="G23" s="2" t="s">
        <v>695</v>
      </c>
      <c r="H23" s="2" t="s">
        <v>824</v>
      </c>
      <c r="I23" s="2" t="s">
        <v>69</v>
      </c>
      <c r="J23" s="2" t="s">
        <v>321</v>
      </c>
      <c r="K23" s="2" t="s">
        <v>288</v>
      </c>
      <c r="L23" s="2" t="s">
        <v>94</v>
      </c>
      <c r="M23" s="2" t="s">
        <v>697</v>
      </c>
      <c r="N23" s="2" t="s">
        <v>825</v>
      </c>
      <c r="O23" s="2" t="s">
        <v>60</v>
      </c>
      <c r="P23" s="2">
        <v>1</v>
      </c>
      <c r="Q23" s="2" t="s">
        <v>17</v>
      </c>
      <c r="R23" s="2" t="s">
        <v>29</v>
      </c>
      <c r="S23" s="2" t="s">
        <v>65</v>
      </c>
      <c r="T23" s="2" t="s">
        <v>699</v>
      </c>
    </row>
    <row r="24" spans="1:20" ht="114">
      <c r="A24" s="2" t="s">
        <v>826</v>
      </c>
      <c r="B24" s="2" t="s">
        <v>317</v>
      </c>
      <c r="C24" s="2" t="s">
        <v>67</v>
      </c>
      <c r="D24" s="2" t="s">
        <v>827</v>
      </c>
      <c r="E24" s="2" t="s">
        <v>828</v>
      </c>
      <c r="F24" s="2" t="s">
        <v>829</v>
      </c>
      <c r="G24" s="2" t="s">
        <v>695</v>
      </c>
      <c r="H24" s="2" t="s">
        <v>830</v>
      </c>
      <c r="I24" s="2" t="s">
        <v>69</v>
      </c>
      <c r="J24" s="2" t="s">
        <v>321</v>
      </c>
      <c r="K24" s="2" t="s">
        <v>288</v>
      </c>
      <c r="L24" s="2" t="s">
        <v>94</v>
      </c>
      <c r="M24" s="2" t="s">
        <v>697</v>
      </c>
      <c r="N24" s="2" t="s">
        <v>831</v>
      </c>
      <c r="O24" s="2" t="s">
        <v>60</v>
      </c>
      <c r="P24" s="2">
        <v>2</v>
      </c>
      <c r="Q24" s="2" t="s">
        <v>17</v>
      </c>
      <c r="R24" s="2" t="s">
        <v>29</v>
      </c>
      <c r="S24" s="2" t="s">
        <v>65</v>
      </c>
      <c r="T24" s="2" t="s">
        <v>699</v>
      </c>
    </row>
    <row r="25" spans="1:20" ht="114">
      <c r="A25" s="2" t="s">
        <v>832</v>
      </c>
      <c r="B25" s="2" t="s">
        <v>317</v>
      </c>
      <c r="C25" s="2" t="s">
        <v>67</v>
      </c>
      <c r="D25" s="2" t="s">
        <v>833</v>
      </c>
      <c r="E25" s="2" t="s">
        <v>834</v>
      </c>
      <c r="F25" s="2" t="s">
        <v>835</v>
      </c>
      <c r="G25" s="2" t="s">
        <v>695</v>
      </c>
      <c r="H25" s="2" t="s">
        <v>836</v>
      </c>
      <c r="I25" s="2" t="s">
        <v>69</v>
      </c>
      <c r="J25" s="2" t="s">
        <v>321</v>
      </c>
      <c r="K25" s="2" t="s">
        <v>288</v>
      </c>
      <c r="L25" s="2" t="s">
        <v>94</v>
      </c>
      <c r="M25" s="2" t="s">
        <v>697</v>
      </c>
      <c r="N25" s="2" t="s">
        <v>837</v>
      </c>
      <c r="O25" s="2" t="s">
        <v>60</v>
      </c>
      <c r="P25" s="2">
        <v>3</v>
      </c>
      <c r="Q25" s="2" t="s">
        <v>17</v>
      </c>
      <c r="R25" s="2" t="s">
        <v>29</v>
      </c>
      <c r="S25" s="2" t="s">
        <v>65</v>
      </c>
      <c r="T25" s="2" t="s">
        <v>699</v>
      </c>
    </row>
    <row r="26" spans="1:20" ht="114">
      <c r="A26" s="2" t="s">
        <v>838</v>
      </c>
      <c r="B26" s="2" t="s">
        <v>322</v>
      </c>
      <c r="C26" s="2" t="s">
        <v>67</v>
      </c>
      <c r="D26" s="2" t="s">
        <v>839</v>
      </c>
      <c r="E26" s="2" t="s">
        <v>840</v>
      </c>
      <c r="F26" s="2" t="s">
        <v>841</v>
      </c>
      <c r="G26" s="2" t="s">
        <v>695</v>
      </c>
      <c r="H26" s="2" t="s">
        <v>842</v>
      </c>
      <c r="I26" s="2" t="s">
        <v>116</v>
      </c>
      <c r="J26" s="2" t="s">
        <v>326</v>
      </c>
      <c r="K26" s="2" t="s">
        <v>65</v>
      </c>
      <c r="L26" s="2" t="s">
        <v>94</v>
      </c>
      <c r="M26" s="2" t="s">
        <v>697</v>
      </c>
      <c r="N26" s="2" t="s">
        <v>843</v>
      </c>
      <c r="O26" s="2" t="s">
        <v>60</v>
      </c>
      <c r="P26" s="2">
        <v>1</v>
      </c>
      <c r="Q26" s="2" t="s">
        <v>17</v>
      </c>
      <c r="R26" s="2" t="s">
        <v>327</v>
      </c>
      <c r="S26" s="2" t="s">
        <v>65</v>
      </c>
      <c r="T26" s="2" t="s">
        <v>699</v>
      </c>
    </row>
    <row r="27" spans="1:20" ht="114">
      <c r="A27" s="2" t="s">
        <v>844</v>
      </c>
      <c r="B27" s="2" t="s">
        <v>322</v>
      </c>
      <c r="C27" s="2" t="s">
        <v>67</v>
      </c>
      <c r="D27" s="2" t="s">
        <v>845</v>
      </c>
      <c r="E27" s="2" t="s">
        <v>846</v>
      </c>
      <c r="F27" s="2" t="s">
        <v>847</v>
      </c>
      <c r="G27" s="2" t="s">
        <v>695</v>
      </c>
      <c r="H27" s="2" t="s">
        <v>848</v>
      </c>
      <c r="I27" s="2" t="s">
        <v>116</v>
      </c>
      <c r="J27" s="2" t="s">
        <v>326</v>
      </c>
      <c r="K27" s="2" t="s">
        <v>65</v>
      </c>
      <c r="L27" s="2" t="s">
        <v>94</v>
      </c>
      <c r="M27" s="2" t="s">
        <v>697</v>
      </c>
      <c r="N27" s="2" t="s">
        <v>849</v>
      </c>
      <c r="O27" s="2" t="s">
        <v>60</v>
      </c>
      <c r="P27" s="2">
        <v>2</v>
      </c>
      <c r="Q27" s="2" t="s">
        <v>17</v>
      </c>
      <c r="R27" s="2" t="s">
        <v>327</v>
      </c>
      <c r="S27" s="2" t="s">
        <v>65</v>
      </c>
      <c r="T27" s="2" t="s">
        <v>699</v>
      </c>
    </row>
    <row r="28" spans="1:20" ht="114">
      <c r="A28" s="2" t="s">
        <v>850</v>
      </c>
      <c r="B28" s="2" t="s">
        <v>322</v>
      </c>
      <c r="C28" s="2" t="s">
        <v>67</v>
      </c>
      <c r="D28" s="2" t="s">
        <v>851</v>
      </c>
      <c r="E28" s="2" t="s">
        <v>852</v>
      </c>
      <c r="F28" s="2" t="s">
        <v>853</v>
      </c>
      <c r="G28" s="2" t="s">
        <v>695</v>
      </c>
      <c r="H28" s="2" t="s">
        <v>854</v>
      </c>
      <c r="I28" s="2" t="s">
        <v>116</v>
      </c>
      <c r="J28" s="2" t="s">
        <v>326</v>
      </c>
      <c r="K28" s="2" t="s">
        <v>65</v>
      </c>
      <c r="L28" s="2" t="s">
        <v>94</v>
      </c>
      <c r="M28" s="2" t="s">
        <v>697</v>
      </c>
      <c r="N28" s="2" t="s">
        <v>855</v>
      </c>
      <c r="O28" s="2" t="s">
        <v>60</v>
      </c>
      <c r="P28" s="2">
        <v>3</v>
      </c>
      <c r="Q28" s="2" t="s">
        <v>17</v>
      </c>
      <c r="R28" s="2" t="s">
        <v>327</v>
      </c>
      <c r="S28" s="2" t="s">
        <v>65</v>
      </c>
      <c r="T28" s="2" t="s">
        <v>699</v>
      </c>
    </row>
    <row r="29" spans="1:20" ht="114">
      <c r="A29" s="2" t="s">
        <v>856</v>
      </c>
      <c r="B29" s="2" t="s">
        <v>328</v>
      </c>
      <c r="C29" s="2" t="s">
        <v>67</v>
      </c>
      <c r="D29" s="2" t="s">
        <v>857</v>
      </c>
      <c r="E29" s="2" t="s">
        <v>858</v>
      </c>
      <c r="F29" s="2" t="s">
        <v>859</v>
      </c>
      <c r="G29" s="2" t="s">
        <v>695</v>
      </c>
      <c r="H29" s="2" t="s">
        <v>860</v>
      </c>
      <c r="I29" s="2" t="s">
        <v>69</v>
      </c>
      <c r="J29" s="2" t="s">
        <v>332</v>
      </c>
      <c r="K29" s="2" t="s">
        <v>288</v>
      </c>
      <c r="L29" s="2" t="s">
        <v>65</v>
      </c>
      <c r="M29" s="2" t="s">
        <v>697</v>
      </c>
      <c r="N29" s="2" t="s">
        <v>861</v>
      </c>
      <c r="O29" s="2" t="s">
        <v>60</v>
      </c>
      <c r="P29" s="2">
        <v>1</v>
      </c>
      <c r="Q29" s="2" t="s">
        <v>17</v>
      </c>
      <c r="R29" s="2" t="s">
        <v>195</v>
      </c>
      <c r="S29" s="2" t="s">
        <v>65</v>
      </c>
      <c r="T29" s="2" t="s">
        <v>699</v>
      </c>
    </row>
    <row r="30" spans="1:20" ht="114">
      <c r="A30" s="2" t="s">
        <v>862</v>
      </c>
      <c r="B30" s="2" t="s">
        <v>328</v>
      </c>
      <c r="C30" s="2" t="s">
        <v>67</v>
      </c>
      <c r="D30" s="2" t="s">
        <v>863</v>
      </c>
      <c r="E30" s="2" t="s">
        <v>864</v>
      </c>
      <c r="F30" s="2" t="s">
        <v>865</v>
      </c>
      <c r="G30" s="2" t="s">
        <v>695</v>
      </c>
      <c r="H30" s="2" t="s">
        <v>866</v>
      </c>
      <c r="I30" s="2" t="s">
        <v>69</v>
      </c>
      <c r="J30" s="2" t="s">
        <v>332</v>
      </c>
      <c r="K30" s="2" t="s">
        <v>288</v>
      </c>
      <c r="L30" s="2" t="s">
        <v>65</v>
      </c>
      <c r="M30" s="2" t="s">
        <v>697</v>
      </c>
      <c r="N30" s="2" t="s">
        <v>867</v>
      </c>
      <c r="O30" s="2" t="s">
        <v>60</v>
      </c>
      <c r="P30" s="2">
        <v>2</v>
      </c>
      <c r="Q30" s="2" t="s">
        <v>17</v>
      </c>
      <c r="R30" s="2" t="s">
        <v>195</v>
      </c>
      <c r="S30" s="2" t="s">
        <v>65</v>
      </c>
      <c r="T30" s="2" t="s">
        <v>699</v>
      </c>
    </row>
    <row r="31" spans="1:20" ht="114">
      <c r="A31" s="2" t="s">
        <v>868</v>
      </c>
      <c r="B31" s="2" t="s">
        <v>328</v>
      </c>
      <c r="C31" s="2" t="s">
        <v>67</v>
      </c>
      <c r="D31" s="2" t="s">
        <v>869</v>
      </c>
      <c r="E31" s="2" t="s">
        <v>870</v>
      </c>
      <c r="F31" s="2" t="s">
        <v>871</v>
      </c>
      <c r="G31" s="2" t="s">
        <v>695</v>
      </c>
      <c r="H31" s="2" t="s">
        <v>872</v>
      </c>
      <c r="I31" s="2" t="s">
        <v>69</v>
      </c>
      <c r="J31" s="2" t="s">
        <v>332</v>
      </c>
      <c r="K31" s="2" t="s">
        <v>288</v>
      </c>
      <c r="L31" s="2" t="s">
        <v>65</v>
      </c>
      <c r="M31" s="2" t="s">
        <v>697</v>
      </c>
      <c r="N31" s="2" t="s">
        <v>873</v>
      </c>
      <c r="O31" s="2" t="s">
        <v>60</v>
      </c>
      <c r="P31" s="2">
        <v>3</v>
      </c>
      <c r="Q31" s="2" t="s">
        <v>17</v>
      </c>
      <c r="R31" s="2" t="s">
        <v>195</v>
      </c>
      <c r="S31" s="2" t="s">
        <v>65</v>
      </c>
      <c r="T31" s="2" t="s">
        <v>699</v>
      </c>
    </row>
    <row r="32" spans="1:20" ht="114">
      <c r="A32" s="2" t="s">
        <v>874</v>
      </c>
      <c r="B32" s="2" t="s">
        <v>333</v>
      </c>
      <c r="C32" s="2" t="s">
        <v>67</v>
      </c>
      <c r="D32" s="2" t="s">
        <v>875</v>
      </c>
      <c r="E32" s="2" t="s">
        <v>876</v>
      </c>
      <c r="F32" s="2" t="s">
        <v>877</v>
      </c>
      <c r="G32" s="2" t="s">
        <v>695</v>
      </c>
      <c r="H32" s="2" t="s">
        <v>878</v>
      </c>
      <c r="I32" s="2" t="s">
        <v>69</v>
      </c>
      <c r="J32" s="2" t="s">
        <v>337</v>
      </c>
      <c r="K32" s="2" t="s">
        <v>65</v>
      </c>
      <c r="L32" s="2" t="s">
        <v>65</v>
      </c>
      <c r="M32" s="2" t="s">
        <v>697</v>
      </c>
      <c r="N32" s="2" t="s">
        <v>879</v>
      </c>
      <c r="O32" s="2" t="s">
        <v>60</v>
      </c>
      <c r="P32" s="2">
        <v>1</v>
      </c>
      <c r="Q32" s="2" t="s">
        <v>17</v>
      </c>
      <c r="R32" s="2" t="s">
        <v>195</v>
      </c>
      <c r="S32" s="2" t="s">
        <v>65</v>
      </c>
      <c r="T32" s="2" t="s">
        <v>699</v>
      </c>
    </row>
    <row r="33" spans="1:20" ht="114">
      <c r="A33" s="2" t="s">
        <v>880</v>
      </c>
      <c r="B33" s="2" t="s">
        <v>333</v>
      </c>
      <c r="C33" s="2" t="s">
        <v>67</v>
      </c>
      <c r="D33" s="2" t="s">
        <v>881</v>
      </c>
      <c r="E33" s="2" t="s">
        <v>882</v>
      </c>
      <c r="F33" s="2" t="s">
        <v>883</v>
      </c>
      <c r="G33" s="2" t="s">
        <v>695</v>
      </c>
      <c r="H33" s="2" t="s">
        <v>884</v>
      </c>
      <c r="I33" s="2" t="s">
        <v>69</v>
      </c>
      <c r="J33" s="2" t="s">
        <v>337</v>
      </c>
      <c r="K33" s="2" t="s">
        <v>65</v>
      </c>
      <c r="L33" s="2" t="s">
        <v>65</v>
      </c>
      <c r="M33" s="2" t="s">
        <v>697</v>
      </c>
      <c r="N33" s="2" t="s">
        <v>885</v>
      </c>
      <c r="O33" s="2" t="s">
        <v>60</v>
      </c>
      <c r="P33" s="2">
        <v>2</v>
      </c>
      <c r="Q33" s="2" t="s">
        <v>17</v>
      </c>
      <c r="R33" s="2" t="s">
        <v>195</v>
      </c>
      <c r="S33" s="2" t="s">
        <v>65</v>
      </c>
      <c r="T33" s="2" t="s">
        <v>699</v>
      </c>
    </row>
    <row r="34" spans="1:20" ht="114">
      <c r="A34" s="2" t="s">
        <v>886</v>
      </c>
      <c r="B34" s="2" t="s">
        <v>333</v>
      </c>
      <c r="C34" s="2" t="s">
        <v>67</v>
      </c>
      <c r="D34" s="2" t="s">
        <v>887</v>
      </c>
      <c r="E34" s="2" t="s">
        <v>888</v>
      </c>
      <c r="F34" s="2" t="s">
        <v>889</v>
      </c>
      <c r="G34" s="2" t="s">
        <v>695</v>
      </c>
      <c r="H34" s="2" t="s">
        <v>890</v>
      </c>
      <c r="I34" s="2" t="s">
        <v>69</v>
      </c>
      <c r="J34" s="2" t="s">
        <v>337</v>
      </c>
      <c r="K34" s="2" t="s">
        <v>65</v>
      </c>
      <c r="L34" s="2" t="s">
        <v>65</v>
      </c>
      <c r="M34" s="2" t="s">
        <v>697</v>
      </c>
      <c r="N34" s="2" t="s">
        <v>891</v>
      </c>
      <c r="O34" s="2" t="s">
        <v>60</v>
      </c>
      <c r="P34" s="2">
        <v>3</v>
      </c>
      <c r="Q34" s="2" t="s">
        <v>17</v>
      </c>
      <c r="R34" s="2" t="s">
        <v>195</v>
      </c>
      <c r="S34" s="2" t="s">
        <v>65</v>
      </c>
      <c r="T34" s="2" t="s">
        <v>699</v>
      </c>
    </row>
    <row r="35" spans="1:20" ht="114">
      <c r="A35" s="2" t="s">
        <v>892</v>
      </c>
      <c r="B35" s="2" t="s">
        <v>338</v>
      </c>
      <c r="C35" s="2" t="s">
        <v>67</v>
      </c>
      <c r="D35" s="2" t="s">
        <v>893</v>
      </c>
      <c r="E35" s="2" t="s">
        <v>894</v>
      </c>
      <c r="F35" s="2" t="s">
        <v>895</v>
      </c>
      <c r="G35" s="2" t="s">
        <v>695</v>
      </c>
      <c r="H35" s="2" t="s">
        <v>896</v>
      </c>
      <c r="I35" s="2" t="s">
        <v>69</v>
      </c>
      <c r="J35" s="2" t="s">
        <v>342</v>
      </c>
      <c r="K35" s="2" t="s">
        <v>288</v>
      </c>
      <c r="L35" s="2" t="s">
        <v>94</v>
      </c>
      <c r="M35" s="2" t="s">
        <v>697</v>
      </c>
      <c r="N35" s="2" t="s">
        <v>897</v>
      </c>
      <c r="O35" s="2" t="s">
        <v>60</v>
      </c>
      <c r="P35" s="2">
        <v>1</v>
      </c>
      <c r="Q35" s="2" t="s">
        <v>17</v>
      </c>
      <c r="R35" s="2" t="s">
        <v>327</v>
      </c>
      <c r="S35" s="2" t="s">
        <v>65</v>
      </c>
      <c r="T35" s="2" t="s">
        <v>699</v>
      </c>
    </row>
    <row r="36" spans="1:20" ht="114">
      <c r="A36" s="2" t="s">
        <v>898</v>
      </c>
      <c r="B36" s="2" t="s">
        <v>338</v>
      </c>
      <c r="C36" s="2" t="s">
        <v>67</v>
      </c>
      <c r="D36" s="2" t="s">
        <v>899</v>
      </c>
      <c r="E36" s="2" t="s">
        <v>900</v>
      </c>
      <c r="F36" s="2" t="s">
        <v>901</v>
      </c>
      <c r="G36" s="2" t="s">
        <v>695</v>
      </c>
      <c r="H36" s="2" t="s">
        <v>902</v>
      </c>
      <c r="I36" s="2" t="s">
        <v>69</v>
      </c>
      <c r="J36" s="2" t="s">
        <v>342</v>
      </c>
      <c r="K36" s="2" t="s">
        <v>288</v>
      </c>
      <c r="L36" s="2" t="s">
        <v>94</v>
      </c>
      <c r="M36" s="2" t="s">
        <v>697</v>
      </c>
      <c r="N36" s="2" t="s">
        <v>903</v>
      </c>
      <c r="O36" s="2" t="s">
        <v>60</v>
      </c>
      <c r="P36" s="2">
        <v>2</v>
      </c>
      <c r="Q36" s="2" t="s">
        <v>17</v>
      </c>
      <c r="R36" s="2" t="s">
        <v>327</v>
      </c>
      <c r="S36" s="2" t="s">
        <v>65</v>
      </c>
      <c r="T36" s="2" t="s">
        <v>699</v>
      </c>
    </row>
    <row r="37" spans="1:20" ht="114">
      <c r="A37" s="2" t="s">
        <v>904</v>
      </c>
      <c r="B37" s="2" t="s">
        <v>338</v>
      </c>
      <c r="C37" s="2" t="s">
        <v>67</v>
      </c>
      <c r="D37" s="2" t="s">
        <v>905</v>
      </c>
      <c r="E37" s="2" t="s">
        <v>906</v>
      </c>
      <c r="F37" s="2" t="s">
        <v>907</v>
      </c>
      <c r="G37" s="2" t="s">
        <v>695</v>
      </c>
      <c r="H37" s="2" t="s">
        <v>908</v>
      </c>
      <c r="I37" s="2" t="s">
        <v>69</v>
      </c>
      <c r="J37" s="2" t="s">
        <v>342</v>
      </c>
      <c r="K37" s="2" t="s">
        <v>288</v>
      </c>
      <c r="L37" s="2" t="s">
        <v>94</v>
      </c>
      <c r="M37" s="2" t="s">
        <v>697</v>
      </c>
      <c r="N37" s="2" t="s">
        <v>909</v>
      </c>
      <c r="O37" s="2" t="s">
        <v>60</v>
      </c>
      <c r="P37" s="2">
        <v>3</v>
      </c>
      <c r="Q37" s="2" t="s">
        <v>17</v>
      </c>
      <c r="R37" s="2" t="s">
        <v>327</v>
      </c>
      <c r="S37" s="2" t="s">
        <v>65</v>
      </c>
      <c r="T37" s="2" t="s">
        <v>699</v>
      </c>
    </row>
    <row r="38" spans="1:20" ht="114">
      <c r="A38" s="2" t="s">
        <v>910</v>
      </c>
      <c r="B38" s="2" t="s">
        <v>343</v>
      </c>
      <c r="C38" s="2" t="s">
        <v>67</v>
      </c>
      <c r="D38" s="2" t="s">
        <v>911</v>
      </c>
      <c r="E38" s="2" t="s">
        <v>912</v>
      </c>
      <c r="F38" s="2" t="s">
        <v>913</v>
      </c>
      <c r="G38" s="2" t="s">
        <v>695</v>
      </c>
      <c r="H38" s="2" t="s">
        <v>914</v>
      </c>
      <c r="I38" s="2" t="s">
        <v>89</v>
      </c>
      <c r="J38" s="2" t="s">
        <v>347</v>
      </c>
      <c r="K38" s="2" t="s">
        <v>65</v>
      </c>
      <c r="L38" s="2" t="s">
        <v>65</v>
      </c>
      <c r="M38" s="2" t="s">
        <v>697</v>
      </c>
      <c r="N38" s="2" t="s">
        <v>915</v>
      </c>
      <c r="O38" s="2" t="s">
        <v>60</v>
      </c>
      <c r="P38" s="2">
        <v>1</v>
      </c>
      <c r="Q38" s="2" t="s">
        <v>17</v>
      </c>
      <c r="R38" s="2" t="s">
        <v>101</v>
      </c>
      <c r="S38" s="2" t="s">
        <v>65</v>
      </c>
      <c r="T38" s="2" t="s">
        <v>699</v>
      </c>
    </row>
    <row r="39" spans="1:20" ht="114">
      <c r="A39" s="2" t="s">
        <v>916</v>
      </c>
      <c r="B39" s="2" t="s">
        <v>343</v>
      </c>
      <c r="C39" s="2" t="s">
        <v>67</v>
      </c>
      <c r="D39" s="2" t="s">
        <v>917</v>
      </c>
      <c r="E39" s="2" t="s">
        <v>918</v>
      </c>
      <c r="F39" s="2" t="s">
        <v>919</v>
      </c>
      <c r="G39" s="2" t="s">
        <v>695</v>
      </c>
      <c r="H39" s="2" t="s">
        <v>920</v>
      </c>
      <c r="I39" s="2" t="s">
        <v>89</v>
      </c>
      <c r="J39" s="2" t="s">
        <v>347</v>
      </c>
      <c r="K39" s="2" t="s">
        <v>65</v>
      </c>
      <c r="L39" s="2" t="s">
        <v>65</v>
      </c>
      <c r="M39" s="2" t="s">
        <v>697</v>
      </c>
      <c r="N39" s="2" t="s">
        <v>921</v>
      </c>
      <c r="O39" s="2" t="s">
        <v>60</v>
      </c>
      <c r="P39" s="2">
        <v>2</v>
      </c>
      <c r="Q39" s="2" t="s">
        <v>17</v>
      </c>
      <c r="R39" s="2" t="s">
        <v>101</v>
      </c>
      <c r="S39" s="2" t="s">
        <v>65</v>
      </c>
      <c r="T39" s="2" t="s">
        <v>699</v>
      </c>
    </row>
    <row r="40" spans="1:20" ht="114">
      <c r="A40" s="2" t="s">
        <v>922</v>
      </c>
      <c r="B40" s="2" t="s">
        <v>343</v>
      </c>
      <c r="C40" s="2" t="s">
        <v>67</v>
      </c>
      <c r="D40" s="2" t="s">
        <v>923</v>
      </c>
      <c r="E40" s="2" t="s">
        <v>924</v>
      </c>
      <c r="F40" s="2" t="s">
        <v>925</v>
      </c>
      <c r="G40" s="2" t="s">
        <v>695</v>
      </c>
      <c r="H40" s="2" t="s">
        <v>926</v>
      </c>
      <c r="I40" s="2" t="s">
        <v>89</v>
      </c>
      <c r="J40" s="2" t="s">
        <v>347</v>
      </c>
      <c r="K40" s="2" t="s">
        <v>65</v>
      </c>
      <c r="L40" s="2" t="s">
        <v>65</v>
      </c>
      <c r="M40" s="2" t="s">
        <v>697</v>
      </c>
      <c r="N40" s="2" t="s">
        <v>927</v>
      </c>
      <c r="O40" s="2" t="s">
        <v>60</v>
      </c>
      <c r="P40" s="2">
        <v>3</v>
      </c>
      <c r="Q40" s="2" t="s">
        <v>17</v>
      </c>
      <c r="R40" s="2" t="s">
        <v>101</v>
      </c>
      <c r="S40" s="2" t="s">
        <v>65</v>
      </c>
      <c r="T40" s="2" t="s">
        <v>699</v>
      </c>
    </row>
    <row r="41" spans="1:20" ht="114">
      <c r="A41" s="2" t="s">
        <v>928</v>
      </c>
      <c r="B41" s="2" t="s">
        <v>348</v>
      </c>
      <c r="C41" s="2" t="s">
        <v>67</v>
      </c>
      <c r="D41" s="2" t="s">
        <v>929</v>
      </c>
      <c r="E41" s="2" t="s">
        <v>930</v>
      </c>
      <c r="F41" s="2" t="s">
        <v>931</v>
      </c>
      <c r="G41" s="2" t="s">
        <v>695</v>
      </c>
      <c r="H41" s="2" t="s">
        <v>932</v>
      </c>
      <c r="I41" s="2" t="s">
        <v>105</v>
      </c>
      <c r="J41" s="2" t="s">
        <v>352</v>
      </c>
      <c r="K41" s="2" t="s">
        <v>94</v>
      </c>
      <c r="L41" s="2" t="s">
        <v>94</v>
      </c>
      <c r="M41" s="2" t="s">
        <v>697</v>
      </c>
      <c r="N41" s="2" t="s">
        <v>933</v>
      </c>
      <c r="O41" s="2" t="s">
        <v>60</v>
      </c>
      <c r="P41" s="2">
        <v>1</v>
      </c>
      <c r="Q41" s="2" t="s">
        <v>17</v>
      </c>
      <c r="R41" s="2" t="s">
        <v>353</v>
      </c>
      <c r="S41" s="2" t="s">
        <v>65</v>
      </c>
      <c r="T41" s="2" t="s">
        <v>699</v>
      </c>
    </row>
    <row r="42" spans="1:20" ht="114">
      <c r="A42" s="2" t="s">
        <v>934</v>
      </c>
      <c r="B42" s="2" t="s">
        <v>348</v>
      </c>
      <c r="C42" s="2" t="s">
        <v>67</v>
      </c>
      <c r="D42" s="2" t="s">
        <v>935</v>
      </c>
      <c r="E42" s="2" t="s">
        <v>936</v>
      </c>
      <c r="F42" s="2" t="s">
        <v>937</v>
      </c>
      <c r="G42" s="2" t="s">
        <v>695</v>
      </c>
      <c r="H42" s="2" t="s">
        <v>938</v>
      </c>
      <c r="I42" s="2" t="s">
        <v>105</v>
      </c>
      <c r="J42" s="2" t="s">
        <v>352</v>
      </c>
      <c r="K42" s="2" t="s">
        <v>94</v>
      </c>
      <c r="L42" s="2" t="s">
        <v>94</v>
      </c>
      <c r="M42" s="2" t="s">
        <v>697</v>
      </c>
      <c r="N42" s="2" t="s">
        <v>939</v>
      </c>
      <c r="O42" s="2" t="s">
        <v>60</v>
      </c>
      <c r="P42" s="2">
        <v>2</v>
      </c>
      <c r="Q42" s="2" t="s">
        <v>17</v>
      </c>
      <c r="R42" s="2" t="s">
        <v>353</v>
      </c>
      <c r="S42" s="2" t="s">
        <v>65</v>
      </c>
      <c r="T42" s="2" t="s">
        <v>699</v>
      </c>
    </row>
    <row r="43" spans="1:20" ht="114">
      <c r="A43" s="2" t="s">
        <v>940</v>
      </c>
      <c r="B43" s="2" t="s">
        <v>348</v>
      </c>
      <c r="C43" s="2" t="s">
        <v>67</v>
      </c>
      <c r="D43" s="2" t="s">
        <v>941</v>
      </c>
      <c r="E43" s="2" t="s">
        <v>942</v>
      </c>
      <c r="F43" s="2" t="s">
        <v>943</v>
      </c>
      <c r="G43" s="2" t="s">
        <v>695</v>
      </c>
      <c r="H43" s="2" t="s">
        <v>944</v>
      </c>
      <c r="I43" s="2" t="s">
        <v>105</v>
      </c>
      <c r="J43" s="2" t="s">
        <v>352</v>
      </c>
      <c r="K43" s="2" t="s">
        <v>94</v>
      </c>
      <c r="L43" s="2" t="s">
        <v>94</v>
      </c>
      <c r="M43" s="2" t="s">
        <v>697</v>
      </c>
      <c r="N43" s="2" t="s">
        <v>945</v>
      </c>
      <c r="O43" s="2" t="s">
        <v>60</v>
      </c>
      <c r="P43" s="2">
        <v>3</v>
      </c>
      <c r="Q43" s="2" t="s">
        <v>17</v>
      </c>
      <c r="R43" s="2" t="s">
        <v>353</v>
      </c>
      <c r="S43" s="2" t="s">
        <v>65</v>
      </c>
      <c r="T43" s="2" t="s">
        <v>699</v>
      </c>
    </row>
    <row r="44" spans="1:20" ht="114">
      <c r="A44" s="2" t="s">
        <v>946</v>
      </c>
      <c r="B44" s="2" t="s">
        <v>354</v>
      </c>
      <c r="C44" s="2" t="s">
        <v>72</v>
      </c>
      <c r="D44" s="2" t="s">
        <v>947</v>
      </c>
      <c r="E44" s="2" t="s">
        <v>948</v>
      </c>
      <c r="F44" s="2" t="s">
        <v>949</v>
      </c>
      <c r="G44" s="2" t="s">
        <v>695</v>
      </c>
      <c r="H44" s="2" t="s">
        <v>950</v>
      </c>
      <c r="I44" s="2" t="s">
        <v>74</v>
      </c>
      <c r="J44" s="2" t="s">
        <v>358</v>
      </c>
      <c r="K44" s="2" t="s">
        <v>65</v>
      </c>
      <c r="L44" s="2" t="s">
        <v>94</v>
      </c>
      <c r="M44" s="2" t="s">
        <v>697</v>
      </c>
      <c r="N44" s="2" t="s">
        <v>951</v>
      </c>
      <c r="O44" s="2" t="s">
        <v>60</v>
      </c>
      <c r="P44" s="2">
        <v>1</v>
      </c>
      <c r="Q44" s="2" t="s">
        <v>17</v>
      </c>
      <c r="R44" s="2" t="s">
        <v>29</v>
      </c>
      <c r="S44" s="2" t="s">
        <v>65</v>
      </c>
      <c r="T44" s="2" t="s">
        <v>699</v>
      </c>
    </row>
    <row r="45" spans="1:20" ht="114">
      <c r="A45" s="2" t="s">
        <v>952</v>
      </c>
      <c r="B45" s="2" t="s">
        <v>354</v>
      </c>
      <c r="C45" s="2" t="s">
        <v>72</v>
      </c>
      <c r="D45" s="2" t="s">
        <v>953</v>
      </c>
      <c r="E45" s="2" t="s">
        <v>954</v>
      </c>
      <c r="F45" s="2" t="s">
        <v>955</v>
      </c>
      <c r="G45" s="2" t="s">
        <v>695</v>
      </c>
      <c r="H45" s="2" t="s">
        <v>956</v>
      </c>
      <c r="I45" s="2" t="s">
        <v>74</v>
      </c>
      <c r="J45" s="2" t="s">
        <v>358</v>
      </c>
      <c r="K45" s="2" t="s">
        <v>65</v>
      </c>
      <c r="L45" s="2" t="s">
        <v>94</v>
      </c>
      <c r="M45" s="2" t="s">
        <v>697</v>
      </c>
      <c r="N45" s="2" t="s">
        <v>957</v>
      </c>
      <c r="O45" s="2" t="s">
        <v>60</v>
      </c>
      <c r="P45" s="2">
        <v>2</v>
      </c>
      <c r="Q45" s="2" t="s">
        <v>17</v>
      </c>
      <c r="R45" s="2" t="s">
        <v>29</v>
      </c>
      <c r="S45" s="2" t="s">
        <v>65</v>
      </c>
      <c r="T45" s="2" t="s">
        <v>699</v>
      </c>
    </row>
    <row r="46" spans="1:20" ht="114">
      <c r="A46" s="2" t="s">
        <v>958</v>
      </c>
      <c r="B46" s="2" t="s">
        <v>354</v>
      </c>
      <c r="C46" s="2" t="s">
        <v>72</v>
      </c>
      <c r="D46" s="2" t="s">
        <v>959</v>
      </c>
      <c r="E46" s="2" t="s">
        <v>960</v>
      </c>
      <c r="F46" s="2" t="s">
        <v>961</v>
      </c>
      <c r="G46" s="2" t="s">
        <v>695</v>
      </c>
      <c r="H46" s="2" t="s">
        <v>962</v>
      </c>
      <c r="I46" s="2" t="s">
        <v>74</v>
      </c>
      <c r="J46" s="2" t="s">
        <v>358</v>
      </c>
      <c r="K46" s="2" t="s">
        <v>65</v>
      </c>
      <c r="L46" s="2" t="s">
        <v>94</v>
      </c>
      <c r="M46" s="2" t="s">
        <v>697</v>
      </c>
      <c r="N46" s="2" t="s">
        <v>963</v>
      </c>
      <c r="O46" s="2" t="s">
        <v>60</v>
      </c>
      <c r="P46" s="2">
        <v>3</v>
      </c>
      <c r="Q46" s="2" t="s">
        <v>17</v>
      </c>
      <c r="R46" s="2" t="s">
        <v>29</v>
      </c>
      <c r="S46" s="2" t="s">
        <v>65</v>
      </c>
      <c r="T46" s="2" t="s">
        <v>699</v>
      </c>
    </row>
    <row r="47" spans="1:20" ht="114">
      <c r="A47" s="2" t="s">
        <v>964</v>
      </c>
      <c r="B47" s="2" t="s">
        <v>359</v>
      </c>
      <c r="C47" s="2" t="s">
        <v>72</v>
      </c>
      <c r="D47" s="2" t="s">
        <v>965</v>
      </c>
      <c r="E47" s="2" t="s">
        <v>966</v>
      </c>
      <c r="F47" s="2" t="s">
        <v>967</v>
      </c>
      <c r="G47" s="2" t="s">
        <v>695</v>
      </c>
      <c r="H47" s="2" t="s">
        <v>968</v>
      </c>
      <c r="I47" s="2" t="s">
        <v>74</v>
      </c>
      <c r="J47" s="2" t="s">
        <v>363</v>
      </c>
      <c r="K47" s="2" t="s">
        <v>288</v>
      </c>
      <c r="L47" s="2" t="s">
        <v>94</v>
      </c>
      <c r="M47" s="2" t="s">
        <v>697</v>
      </c>
      <c r="N47" s="2" t="s">
        <v>969</v>
      </c>
      <c r="O47" s="2" t="s">
        <v>60</v>
      </c>
      <c r="P47" s="2">
        <v>1</v>
      </c>
      <c r="Q47" s="2" t="s">
        <v>17</v>
      </c>
      <c r="R47" s="2" t="s">
        <v>29</v>
      </c>
      <c r="S47" s="2" t="s">
        <v>65</v>
      </c>
      <c r="T47" s="2" t="s">
        <v>699</v>
      </c>
    </row>
    <row r="48" spans="1:20" ht="114">
      <c r="A48" s="2" t="s">
        <v>970</v>
      </c>
      <c r="B48" s="2" t="s">
        <v>359</v>
      </c>
      <c r="C48" s="2" t="s">
        <v>72</v>
      </c>
      <c r="D48" s="2" t="s">
        <v>971</v>
      </c>
      <c r="E48" s="2" t="s">
        <v>972</v>
      </c>
      <c r="F48" s="2" t="s">
        <v>973</v>
      </c>
      <c r="G48" s="2" t="s">
        <v>695</v>
      </c>
      <c r="H48" s="2" t="s">
        <v>974</v>
      </c>
      <c r="I48" s="2" t="s">
        <v>74</v>
      </c>
      <c r="J48" s="2" t="s">
        <v>363</v>
      </c>
      <c r="K48" s="2" t="s">
        <v>288</v>
      </c>
      <c r="L48" s="2" t="s">
        <v>94</v>
      </c>
      <c r="M48" s="2" t="s">
        <v>697</v>
      </c>
      <c r="N48" s="2" t="s">
        <v>975</v>
      </c>
      <c r="O48" s="2" t="s">
        <v>60</v>
      </c>
      <c r="P48" s="2">
        <v>2</v>
      </c>
      <c r="Q48" s="2" t="s">
        <v>17</v>
      </c>
      <c r="R48" s="2" t="s">
        <v>29</v>
      </c>
      <c r="S48" s="2" t="s">
        <v>65</v>
      </c>
      <c r="T48" s="2" t="s">
        <v>699</v>
      </c>
    </row>
    <row r="49" spans="1:20" ht="114">
      <c r="A49" s="2" t="s">
        <v>976</v>
      </c>
      <c r="B49" s="2" t="s">
        <v>359</v>
      </c>
      <c r="C49" s="2" t="s">
        <v>72</v>
      </c>
      <c r="D49" s="2" t="s">
        <v>977</v>
      </c>
      <c r="E49" s="2" t="s">
        <v>978</v>
      </c>
      <c r="F49" s="2" t="s">
        <v>979</v>
      </c>
      <c r="G49" s="2" t="s">
        <v>695</v>
      </c>
      <c r="H49" s="2" t="s">
        <v>980</v>
      </c>
      <c r="I49" s="2" t="s">
        <v>74</v>
      </c>
      <c r="J49" s="2" t="s">
        <v>363</v>
      </c>
      <c r="K49" s="2" t="s">
        <v>288</v>
      </c>
      <c r="L49" s="2" t="s">
        <v>94</v>
      </c>
      <c r="M49" s="2" t="s">
        <v>697</v>
      </c>
      <c r="N49" s="2" t="s">
        <v>981</v>
      </c>
      <c r="O49" s="2" t="s">
        <v>60</v>
      </c>
      <c r="P49" s="2">
        <v>3</v>
      </c>
      <c r="Q49" s="2" t="s">
        <v>17</v>
      </c>
      <c r="R49" s="2" t="s">
        <v>29</v>
      </c>
      <c r="S49" s="2" t="s">
        <v>65</v>
      </c>
      <c r="T49" s="2" t="s">
        <v>699</v>
      </c>
    </row>
    <row r="50" spans="1:20" ht="114">
      <c r="A50" s="2" t="s">
        <v>982</v>
      </c>
      <c r="B50" s="2" t="s">
        <v>364</v>
      </c>
      <c r="C50" s="2" t="s">
        <v>72</v>
      </c>
      <c r="D50" s="2" t="s">
        <v>983</v>
      </c>
      <c r="E50" s="2" t="s">
        <v>984</v>
      </c>
      <c r="F50" s="2" t="s">
        <v>985</v>
      </c>
      <c r="G50" s="2" t="s">
        <v>695</v>
      </c>
      <c r="H50" s="2" t="s">
        <v>986</v>
      </c>
      <c r="I50" s="2" t="s">
        <v>74</v>
      </c>
      <c r="J50" s="2" t="s">
        <v>368</v>
      </c>
      <c r="K50" s="2" t="s">
        <v>288</v>
      </c>
      <c r="L50" s="2" t="s">
        <v>94</v>
      </c>
      <c r="M50" s="2" t="s">
        <v>697</v>
      </c>
      <c r="N50" s="2" t="s">
        <v>987</v>
      </c>
      <c r="O50" s="2" t="s">
        <v>60</v>
      </c>
      <c r="P50" s="2">
        <v>1</v>
      </c>
      <c r="Q50" s="2" t="s">
        <v>17</v>
      </c>
      <c r="R50" s="2" t="s">
        <v>64</v>
      </c>
      <c r="S50" s="2" t="s">
        <v>65</v>
      </c>
      <c r="T50" s="2" t="s">
        <v>699</v>
      </c>
    </row>
    <row r="51" spans="1:20" ht="114">
      <c r="A51" s="2" t="s">
        <v>988</v>
      </c>
      <c r="B51" s="2" t="s">
        <v>364</v>
      </c>
      <c r="C51" s="2" t="s">
        <v>72</v>
      </c>
      <c r="D51" s="2" t="s">
        <v>989</v>
      </c>
      <c r="E51" s="2" t="s">
        <v>990</v>
      </c>
      <c r="F51" s="2" t="s">
        <v>991</v>
      </c>
      <c r="G51" s="2" t="s">
        <v>695</v>
      </c>
      <c r="H51" s="2" t="s">
        <v>992</v>
      </c>
      <c r="I51" s="2" t="s">
        <v>74</v>
      </c>
      <c r="J51" s="2" t="s">
        <v>368</v>
      </c>
      <c r="K51" s="2" t="s">
        <v>288</v>
      </c>
      <c r="L51" s="2" t="s">
        <v>94</v>
      </c>
      <c r="M51" s="2" t="s">
        <v>697</v>
      </c>
      <c r="N51" s="2" t="s">
        <v>993</v>
      </c>
      <c r="O51" s="2" t="s">
        <v>60</v>
      </c>
      <c r="P51" s="2">
        <v>2</v>
      </c>
      <c r="Q51" s="2" t="s">
        <v>17</v>
      </c>
      <c r="R51" s="2" t="s">
        <v>64</v>
      </c>
      <c r="S51" s="2" t="s">
        <v>65</v>
      </c>
      <c r="T51" s="2" t="s">
        <v>699</v>
      </c>
    </row>
    <row r="52" spans="1:20" ht="114">
      <c r="A52" s="2" t="s">
        <v>994</v>
      </c>
      <c r="B52" s="2" t="s">
        <v>364</v>
      </c>
      <c r="C52" s="2" t="s">
        <v>72</v>
      </c>
      <c r="D52" s="2" t="s">
        <v>995</v>
      </c>
      <c r="E52" s="2" t="s">
        <v>996</v>
      </c>
      <c r="F52" s="2" t="s">
        <v>997</v>
      </c>
      <c r="G52" s="2" t="s">
        <v>695</v>
      </c>
      <c r="H52" s="2" t="s">
        <v>998</v>
      </c>
      <c r="I52" s="2" t="s">
        <v>74</v>
      </c>
      <c r="J52" s="2" t="s">
        <v>368</v>
      </c>
      <c r="K52" s="2" t="s">
        <v>288</v>
      </c>
      <c r="L52" s="2" t="s">
        <v>94</v>
      </c>
      <c r="M52" s="2" t="s">
        <v>697</v>
      </c>
      <c r="N52" s="2" t="s">
        <v>999</v>
      </c>
      <c r="O52" s="2" t="s">
        <v>60</v>
      </c>
      <c r="P52" s="2">
        <v>3</v>
      </c>
      <c r="Q52" s="2" t="s">
        <v>17</v>
      </c>
      <c r="R52" s="2" t="s">
        <v>64</v>
      </c>
      <c r="S52" s="2" t="s">
        <v>65</v>
      </c>
      <c r="T52" s="2" t="s">
        <v>699</v>
      </c>
    </row>
    <row r="53" spans="1:20" ht="114">
      <c r="A53" s="2" t="s">
        <v>1000</v>
      </c>
      <c r="B53" s="2" t="s">
        <v>369</v>
      </c>
      <c r="C53" s="2" t="s">
        <v>72</v>
      </c>
      <c r="D53" s="2" t="s">
        <v>1001</v>
      </c>
      <c r="E53" s="2" t="s">
        <v>1002</v>
      </c>
      <c r="F53" s="2" t="s">
        <v>1003</v>
      </c>
      <c r="G53" s="2" t="s">
        <v>695</v>
      </c>
      <c r="H53" s="2" t="s">
        <v>1004</v>
      </c>
      <c r="I53" s="2" t="s">
        <v>74</v>
      </c>
      <c r="J53" s="2" t="s">
        <v>374</v>
      </c>
      <c r="K53" s="2" t="s">
        <v>288</v>
      </c>
      <c r="L53" s="2" t="s">
        <v>373</v>
      </c>
      <c r="M53" s="2" t="s">
        <v>697</v>
      </c>
      <c r="N53" s="2" t="s">
        <v>1005</v>
      </c>
      <c r="O53" s="2" t="s">
        <v>60</v>
      </c>
      <c r="P53" s="2">
        <v>1</v>
      </c>
      <c r="Q53" s="2" t="s">
        <v>17</v>
      </c>
      <c r="R53" s="2" t="s">
        <v>64</v>
      </c>
      <c r="S53" s="2" t="s">
        <v>65</v>
      </c>
      <c r="T53" s="2" t="s">
        <v>699</v>
      </c>
    </row>
    <row r="54" spans="1:20" ht="114">
      <c r="A54" s="2" t="s">
        <v>1006</v>
      </c>
      <c r="B54" s="2" t="s">
        <v>369</v>
      </c>
      <c r="C54" s="2" t="s">
        <v>72</v>
      </c>
      <c r="D54" s="2" t="s">
        <v>1007</v>
      </c>
      <c r="E54" s="2" t="s">
        <v>1008</v>
      </c>
      <c r="F54" s="2" t="s">
        <v>1009</v>
      </c>
      <c r="G54" s="2" t="s">
        <v>695</v>
      </c>
      <c r="H54" s="2" t="s">
        <v>1010</v>
      </c>
      <c r="I54" s="2" t="s">
        <v>74</v>
      </c>
      <c r="J54" s="2" t="s">
        <v>374</v>
      </c>
      <c r="K54" s="2" t="s">
        <v>288</v>
      </c>
      <c r="L54" s="2" t="s">
        <v>373</v>
      </c>
      <c r="M54" s="2" t="s">
        <v>697</v>
      </c>
      <c r="N54" s="2" t="s">
        <v>1011</v>
      </c>
      <c r="O54" s="2" t="s">
        <v>60</v>
      </c>
      <c r="P54" s="2">
        <v>2</v>
      </c>
      <c r="Q54" s="2" t="s">
        <v>17</v>
      </c>
      <c r="R54" s="2" t="s">
        <v>64</v>
      </c>
      <c r="S54" s="2" t="s">
        <v>65</v>
      </c>
      <c r="T54" s="2" t="s">
        <v>699</v>
      </c>
    </row>
    <row r="55" spans="1:20" ht="114">
      <c r="A55" s="2" t="s">
        <v>1012</v>
      </c>
      <c r="B55" s="2" t="s">
        <v>369</v>
      </c>
      <c r="C55" s="2" t="s">
        <v>72</v>
      </c>
      <c r="D55" s="2" t="s">
        <v>1013</v>
      </c>
      <c r="E55" s="2" t="s">
        <v>1014</v>
      </c>
      <c r="F55" s="2" t="s">
        <v>1015</v>
      </c>
      <c r="G55" s="2" t="s">
        <v>695</v>
      </c>
      <c r="H55" s="2" t="s">
        <v>1016</v>
      </c>
      <c r="I55" s="2" t="s">
        <v>74</v>
      </c>
      <c r="J55" s="2" t="s">
        <v>374</v>
      </c>
      <c r="K55" s="2" t="s">
        <v>288</v>
      </c>
      <c r="L55" s="2" t="s">
        <v>373</v>
      </c>
      <c r="M55" s="2" t="s">
        <v>697</v>
      </c>
      <c r="N55" s="2" t="s">
        <v>1017</v>
      </c>
      <c r="O55" s="2" t="s">
        <v>60</v>
      </c>
      <c r="P55" s="2">
        <v>3</v>
      </c>
      <c r="Q55" s="2" t="s">
        <v>17</v>
      </c>
      <c r="R55" s="2" t="s">
        <v>64</v>
      </c>
      <c r="S55" s="2" t="s">
        <v>65</v>
      </c>
      <c r="T55" s="2" t="s">
        <v>699</v>
      </c>
    </row>
    <row r="56" spans="1:20" ht="114">
      <c r="A56" s="2" t="s">
        <v>1018</v>
      </c>
      <c r="B56" s="2" t="s">
        <v>375</v>
      </c>
      <c r="C56" s="2" t="s">
        <v>72</v>
      </c>
      <c r="D56" s="2" t="s">
        <v>1019</v>
      </c>
      <c r="E56" s="2" t="s">
        <v>1020</v>
      </c>
      <c r="F56" s="2" t="s">
        <v>1021</v>
      </c>
      <c r="G56" s="2" t="s">
        <v>695</v>
      </c>
      <c r="H56" s="2" t="s">
        <v>1022</v>
      </c>
      <c r="I56" s="2" t="s">
        <v>74</v>
      </c>
      <c r="J56" s="2" t="s">
        <v>379</v>
      </c>
      <c r="K56" s="2" t="s">
        <v>288</v>
      </c>
      <c r="L56" s="2" t="s">
        <v>94</v>
      </c>
      <c r="M56" s="2" t="s">
        <v>697</v>
      </c>
      <c r="N56" s="2" t="s">
        <v>1023</v>
      </c>
      <c r="O56" s="2" t="s">
        <v>60</v>
      </c>
      <c r="P56" s="2">
        <v>1</v>
      </c>
      <c r="Q56" s="2" t="s">
        <v>17</v>
      </c>
      <c r="R56" s="2" t="s">
        <v>64</v>
      </c>
      <c r="S56" s="2" t="s">
        <v>65</v>
      </c>
      <c r="T56" s="2" t="s">
        <v>699</v>
      </c>
    </row>
    <row r="57" spans="1:20" ht="114">
      <c r="A57" s="2" t="s">
        <v>1024</v>
      </c>
      <c r="B57" s="2" t="s">
        <v>375</v>
      </c>
      <c r="C57" s="2" t="s">
        <v>72</v>
      </c>
      <c r="D57" s="2" t="s">
        <v>1025</v>
      </c>
      <c r="E57" s="2" t="s">
        <v>1026</v>
      </c>
      <c r="F57" s="2" t="s">
        <v>1027</v>
      </c>
      <c r="G57" s="2" t="s">
        <v>695</v>
      </c>
      <c r="H57" s="2" t="s">
        <v>1028</v>
      </c>
      <c r="I57" s="2" t="s">
        <v>74</v>
      </c>
      <c r="J57" s="2" t="s">
        <v>379</v>
      </c>
      <c r="K57" s="2" t="s">
        <v>288</v>
      </c>
      <c r="L57" s="2" t="s">
        <v>94</v>
      </c>
      <c r="M57" s="2" t="s">
        <v>697</v>
      </c>
      <c r="N57" s="2" t="s">
        <v>1029</v>
      </c>
      <c r="O57" s="2" t="s">
        <v>60</v>
      </c>
      <c r="P57" s="2">
        <v>2</v>
      </c>
      <c r="Q57" s="2" t="s">
        <v>17</v>
      </c>
      <c r="R57" s="2" t="s">
        <v>64</v>
      </c>
      <c r="S57" s="2" t="s">
        <v>65</v>
      </c>
      <c r="T57" s="2" t="s">
        <v>699</v>
      </c>
    </row>
    <row r="58" spans="1:20" ht="114">
      <c r="A58" s="2" t="s">
        <v>1030</v>
      </c>
      <c r="B58" s="2" t="s">
        <v>375</v>
      </c>
      <c r="C58" s="2" t="s">
        <v>72</v>
      </c>
      <c r="D58" s="2" t="s">
        <v>1031</v>
      </c>
      <c r="E58" s="2" t="s">
        <v>1032</v>
      </c>
      <c r="F58" s="2" t="s">
        <v>1033</v>
      </c>
      <c r="G58" s="2" t="s">
        <v>695</v>
      </c>
      <c r="H58" s="2" t="s">
        <v>1034</v>
      </c>
      <c r="I58" s="2" t="s">
        <v>74</v>
      </c>
      <c r="J58" s="2" t="s">
        <v>379</v>
      </c>
      <c r="K58" s="2" t="s">
        <v>288</v>
      </c>
      <c r="L58" s="2" t="s">
        <v>94</v>
      </c>
      <c r="M58" s="2" t="s">
        <v>697</v>
      </c>
      <c r="N58" s="2" t="s">
        <v>1035</v>
      </c>
      <c r="O58" s="2" t="s">
        <v>60</v>
      </c>
      <c r="P58" s="2">
        <v>3</v>
      </c>
      <c r="Q58" s="2" t="s">
        <v>17</v>
      </c>
      <c r="R58" s="2" t="s">
        <v>64</v>
      </c>
      <c r="S58" s="2" t="s">
        <v>65</v>
      </c>
      <c r="T58" s="2" t="s">
        <v>699</v>
      </c>
    </row>
    <row r="59" spans="1:20" ht="114">
      <c r="A59" s="2" t="s">
        <v>1036</v>
      </c>
      <c r="B59" s="2" t="s">
        <v>380</v>
      </c>
      <c r="C59" s="2" t="s">
        <v>72</v>
      </c>
      <c r="D59" s="2" t="s">
        <v>1037</v>
      </c>
      <c r="E59" s="2" t="s">
        <v>1038</v>
      </c>
      <c r="F59" s="2" t="s">
        <v>1039</v>
      </c>
      <c r="G59" s="2" t="s">
        <v>695</v>
      </c>
      <c r="H59" s="2" t="s">
        <v>1040</v>
      </c>
      <c r="I59" s="2" t="s">
        <v>74</v>
      </c>
      <c r="J59" s="2" t="s">
        <v>384</v>
      </c>
      <c r="K59" s="2" t="s">
        <v>65</v>
      </c>
      <c r="L59" s="2" t="s">
        <v>373</v>
      </c>
      <c r="M59" s="2" t="s">
        <v>697</v>
      </c>
      <c r="N59" s="2" t="s">
        <v>1041</v>
      </c>
      <c r="O59" s="2" t="s">
        <v>60</v>
      </c>
      <c r="P59" s="2">
        <v>1</v>
      </c>
      <c r="Q59" s="2" t="s">
        <v>17</v>
      </c>
      <c r="R59" s="2" t="s">
        <v>64</v>
      </c>
      <c r="S59" s="2" t="s">
        <v>65</v>
      </c>
      <c r="T59" s="2" t="s">
        <v>699</v>
      </c>
    </row>
    <row r="60" spans="1:20" ht="114">
      <c r="A60" s="2" t="s">
        <v>1042</v>
      </c>
      <c r="B60" s="2" t="s">
        <v>380</v>
      </c>
      <c r="C60" s="2" t="s">
        <v>72</v>
      </c>
      <c r="D60" s="2" t="s">
        <v>1043</v>
      </c>
      <c r="E60" s="2" t="s">
        <v>1044</v>
      </c>
      <c r="F60" s="2" t="s">
        <v>1045</v>
      </c>
      <c r="G60" s="2" t="s">
        <v>695</v>
      </c>
      <c r="H60" s="2" t="s">
        <v>1046</v>
      </c>
      <c r="I60" s="2" t="s">
        <v>74</v>
      </c>
      <c r="J60" s="2" t="s">
        <v>384</v>
      </c>
      <c r="K60" s="2" t="s">
        <v>65</v>
      </c>
      <c r="L60" s="2" t="s">
        <v>373</v>
      </c>
      <c r="M60" s="2" t="s">
        <v>697</v>
      </c>
      <c r="N60" s="2" t="s">
        <v>1047</v>
      </c>
      <c r="O60" s="2" t="s">
        <v>60</v>
      </c>
      <c r="P60" s="2">
        <v>2</v>
      </c>
      <c r="Q60" s="2" t="s">
        <v>17</v>
      </c>
      <c r="R60" s="2" t="s">
        <v>64</v>
      </c>
      <c r="S60" s="2" t="s">
        <v>65</v>
      </c>
      <c r="T60" s="2" t="s">
        <v>699</v>
      </c>
    </row>
    <row r="61" spans="1:20" ht="114">
      <c r="A61" s="2" t="s">
        <v>1048</v>
      </c>
      <c r="B61" s="2" t="s">
        <v>380</v>
      </c>
      <c r="C61" s="2" t="s">
        <v>72</v>
      </c>
      <c r="D61" s="2" t="s">
        <v>1049</v>
      </c>
      <c r="E61" s="2" t="s">
        <v>1050</v>
      </c>
      <c r="F61" s="2" t="s">
        <v>1051</v>
      </c>
      <c r="G61" s="2" t="s">
        <v>695</v>
      </c>
      <c r="H61" s="2" t="s">
        <v>1052</v>
      </c>
      <c r="I61" s="2" t="s">
        <v>74</v>
      </c>
      <c r="J61" s="2" t="s">
        <v>384</v>
      </c>
      <c r="K61" s="2" t="s">
        <v>65</v>
      </c>
      <c r="L61" s="2" t="s">
        <v>373</v>
      </c>
      <c r="M61" s="2" t="s">
        <v>697</v>
      </c>
      <c r="N61" s="2" t="s">
        <v>1053</v>
      </c>
      <c r="O61" s="2" t="s">
        <v>60</v>
      </c>
      <c r="P61" s="2">
        <v>3</v>
      </c>
      <c r="Q61" s="2" t="s">
        <v>17</v>
      </c>
      <c r="R61" s="2" t="s">
        <v>64</v>
      </c>
      <c r="S61" s="2" t="s">
        <v>65</v>
      </c>
      <c r="T61" s="2" t="s">
        <v>699</v>
      </c>
    </row>
    <row r="62" spans="1:20" ht="114">
      <c r="A62" s="2" t="s">
        <v>1054</v>
      </c>
      <c r="B62" s="2" t="s">
        <v>385</v>
      </c>
      <c r="C62" s="2" t="s">
        <v>72</v>
      </c>
      <c r="D62" s="2" t="s">
        <v>1055</v>
      </c>
      <c r="E62" s="2" t="s">
        <v>1056</v>
      </c>
      <c r="F62" s="2" t="s">
        <v>1057</v>
      </c>
      <c r="G62" s="2" t="s">
        <v>695</v>
      </c>
      <c r="H62" s="2" t="s">
        <v>1058</v>
      </c>
      <c r="I62" s="2" t="s">
        <v>89</v>
      </c>
      <c r="J62" s="2" t="s">
        <v>389</v>
      </c>
      <c r="K62" s="2" t="s">
        <v>65</v>
      </c>
      <c r="L62" s="2" t="s">
        <v>65</v>
      </c>
      <c r="M62" s="2" t="s">
        <v>697</v>
      </c>
      <c r="N62" s="2" t="s">
        <v>1059</v>
      </c>
      <c r="O62" s="2" t="s">
        <v>60</v>
      </c>
      <c r="P62" s="2">
        <v>1</v>
      </c>
      <c r="Q62" s="2" t="s">
        <v>17</v>
      </c>
      <c r="R62" s="2" t="s">
        <v>64</v>
      </c>
      <c r="S62" s="2" t="s">
        <v>65</v>
      </c>
      <c r="T62" s="2" t="s">
        <v>699</v>
      </c>
    </row>
    <row r="63" spans="1:20" ht="114">
      <c r="A63" s="2" t="s">
        <v>1060</v>
      </c>
      <c r="B63" s="2" t="s">
        <v>385</v>
      </c>
      <c r="C63" s="2" t="s">
        <v>72</v>
      </c>
      <c r="D63" s="2" t="s">
        <v>1061</v>
      </c>
      <c r="E63" s="2" t="s">
        <v>1062</v>
      </c>
      <c r="F63" s="2" t="s">
        <v>1063</v>
      </c>
      <c r="G63" s="2" t="s">
        <v>695</v>
      </c>
      <c r="H63" s="2" t="s">
        <v>1064</v>
      </c>
      <c r="I63" s="2" t="s">
        <v>89</v>
      </c>
      <c r="J63" s="2" t="s">
        <v>389</v>
      </c>
      <c r="K63" s="2" t="s">
        <v>65</v>
      </c>
      <c r="L63" s="2" t="s">
        <v>65</v>
      </c>
      <c r="M63" s="2" t="s">
        <v>697</v>
      </c>
      <c r="N63" s="2" t="s">
        <v>1065</v>
      </c>
      <c r="O63" s="2" t="s">
        <v>60</v>
      </c>
      <c r="P63" s="2">
        <v>2</v>
      </c>
      <c r="Q63" s="2" t="s">
        <v>17</v>
      </c>
      <c r="R63" s="2" t="s">
        <v>64</v>
      </c>
      <c r="S63" s="2" t="s">
        <v>65</v>
      </c>
      <c r="T63" s="2" t="s">
        <v>699</v>
      </c>
    </row>
    <row r="64" spans="1:20" ht="114">
      <c r="A64" s="2" t="s">
        <v>1066</v>
      </c>
      <c r="B64" s="2" t="s">
        <v>385</v>
      </c>
      <c r="C64" s="2" t="s">
        <v>72</v>
      </c>
      <c r="D64" s="2" t="s">
        <v>1067</v>
      </c>
      <c r="E64" s="2" t="s">
        <v>1068</v>
      </c>
      <c r="F64" s="2" t="s">
        <v>1069</v>
      </c>
      <c r="G64" s="2" t="s">
        <v>695</v>
      </c>
      <c r="H64" s="2" t="s">
        <v>1070</v>
      </c>
      <c r="I64" s="2" t="s">
        <v>89</v>
      </c>
      <c r="J64" s="2" t="s">
        <v>389</v>
      </c>
      <c r="K64" s="2" t="s">
        <v>65</v>
      </c>
      <c r="L64" s="2" t="s">
        <v>65</v>
      </c>
      <c r="M64" s="2" t="s">
        <v>697</v>
      </c>
      <c r="N64" s="2" t="s">
        <v>1071</v>
      </c>
      <c r="O64" s="2" t="s">
        <v>60</v>
      </c>
      <c r="P64" s="2">
        <v>3</v>
      </c>
      <c r="Q64" s="2" t="s">
        <v>17</v>
      </c>
      <c r="R64" s="2" t="s">
        <v>64</v>
      </c>
      <c r="S64" s="2" t="s">
        <v>65</v>
      </c>
      <c r="T64" s="2" t="s">
        <v>699</v>
      </c>
    </row>
    <row r="65" spans="1:20" ht="114">
      <c r="A65" s="2" t="s">
        <v>1072</v>
      </c>
      <c r="B65" s="2" t="s">
        <v>390</v>
      </c>
      <c r="C65" s="2" t="s">
        <v>72</v>
      </c>
      <c r="D65" s="2" t="s">
        <v>1073</v>
      </c>
      <c r="E65" s="2" t="s">
        <v>1074</v>
      </c>
      <c r="F65" s="2" t="s">
        <v>1075</v>
      </c>
      <c r="G65" s="2" t="s">
        <v>695</v>
      </c>
      <c r="H65" s="2" t="s">
        <v>1076</v>
      </c>
      <c r="I65" s="2" t="s">
        <v>74</v>
      </c>
      <c r="J65" s="2" t="s">
        <v>394</v>
      </c>
      <c r="K65" s="2" t="s">
        <v>94</v>
      </c>
      <c r="L65" s="2" t="s">
        <v>373</v>
      </c>
      <c r="M65" s="2" t="s">
        <v>697</v>
      </c>
      <c r="N65" s="2" t="s">
        <v>1077</v>
      </c>
      <c r="O65" s="2" t="s">
        <v>60</v>
      </c>
      <c r="P65" s="2">
        <v>1</v>
      </c>
      <c r="Q65" s="2" t="s">
        <v>17</v>
      </c>
      <c r="R65" s="2" t="s">
        <v>29</v>
      </c>
      <c r="S65" s="2" t="s">
        <v>65</v>
      </c>
      <c r="T65" s="2" t="s">
        <v>699</v>
      </c>
    </row>
    <row r="66" spans="1:20" ht="114">
      <c r="A66" s="2" t="s">
        <v>1078</v>
      </c>
      <c r="B66" s="2" t="s">
        <v>390</v>
      </c>
      <c r="C66" s="2" t="s">
        <v>72</v>
      </c>
      <c r="D66" s="2" t="s">
        <v>1079</v>
      </c>
      <c r="E66" s="2" t="s">
        <v>1080</v>
      </c>
      <c r="F66" s="2" t="s">
        <v>1081</v>
      </c>
      <c r="G66" s="2" t="s">
        <v>695</v>
      </c>
      <c r="H66" s="2" t="s">
        <v>1082</v>
      </c>
      <c r="I66" s="2" t="s">
        <v>74</v>
      </c>
      <c r="J66" s="2" t="s">
        <v>394</v>
      </c>
      <c r="K66" s="2" t="s">
        <v>94</v>
      </c>
      <c r="L66" s="2" t="s">
        <v>373</v>
      </c>
      <c r="M66" s="2" t="s">
        <v>697</v>
      </c>
      <c r="N66" s="2" t="s">
        <v>1083</v>
      </c>
      <c r="O66" s="2" t="s">
        <v>60</v>
      </c>
      <c r="P66" s="2">
        <v>2</v>
      </c>
      <c r="Q66" s="2" t="s">
        <v>17</v>
      </c>
      <c r="R66" s="2" t="s">
        <v>29</v>
      </c>
      <c r="S66" s="2" t="s">
        <v>65</v>
      </c>
      <c r="T66" s="2" t="s">
        <v>699</v>
      </c>
    </row>
    <row r="67" spans="1:20" ht="114">
      <c r="A67" s="2" t="s">
        <v>1084</v>
      </c>
      <c r="B67" s="2" t="s">
        <v>390</v>
      </c>
      <c r="C67" s="2" t="s">
        <v>72</v>
      </c>
      <c r="D67" s="2" t="s">
        <v>1085</v>
      </c>
      <c r="E67" s="2" t="s">
        <v>1086</v>
      </c>
      <c r="F67" s="2" t="s">
        <v>1087</v>
      </c>
      <c r="G67" s="2" t="s">
        <v>695</v>
      </c>
      <c r="H67" s="2" t="s">
        <v>1088</v>
      </c>
      <c r="I67" s="2" t="s">
        <v>74</v>
      </c>
      <c r="J67" s="2" t="s">
        <v>394</v>
      </c>
      <c r="K67" s="2" t="s">
        <v>94</v>
      </c>
      <c r="L67" s="2" t="s">
        <v>373</v>
      </c>
      <c r="M67" s="2" t="s">
        <v>697</v>
      </c>
      <c r="N67" s="2" t="s">
        <v>1089</v>
      </c>
      <c r="O67" s="2" t="s">
        <v>60</v>
      </c>
      <c r="P67" s="2">
        <v>3</v>
      </c>
      <c r="Q67" s="2" t="s">
        <v>17</v>
      </c>
      <c r="R67" s="2" t="s">
        <v>29</v>
      </c>
      <c r="S67" s="2" t="s">
        <v>65</v>
      </c>
      <c r="T67" s="2" t="s">
        <v>699</v>
      </c>
    </row>
    <row r="68" spans="1:20" ht="114">
      <c r="A68" s="2" t="s">
        <v>1090</v>
      </c>
      <c r="B68" s="2" t="s">
        <v>395</v>
      </c>
      <c r="C68" s="2" t="s">
        <v>77</v>
      </c>
      <c r="D68" s="2" t="s">
        <v>1091</v>
      </c>
      <c r="E68" s="2" t="s">
        <v>1092</v>
      </c>
      <c r="F68" s="2" t="s">
        <v>1093</v>
      </c>
      <c r="G68" s="2" t="s">
        <v>695</v>
      </c>
      <c r="H68" s="2" t="s">
        <v>1094</v>
      </c>
      <c r="I68" s="2" t="s">
        <v>79</v>
      </c>
      <c r="J68" s="2" t="s">
        <v>399</v>
      </c>
      <c r="K68" s="2" t="s">
        <v>288</v>
      </c>
      <c r="L68" s="2" t="s">
        <v>65</v>
      </c>
      <c r="M68" s="2" t="s">
        <v>697</v>
      </c>
      <c r="N68" s="2" t="s">
        <v>1095</v>
      </c>
      <c r="O68" s="2" t="s">
        <v>60</v>
      </c>
      <c r="P68" s="2">
        <v>1</v>
      </c>
      <c r="Q68" s="2" t="s">
        <v>17</v>
      </c>
      <c r="R68" s="2" t="s">
        <v>29</v>
      </c>
      <c r="S68" s="2" t="s">
        <v>65</v>
      </c>
      <c r="T68" s="2" t="s">
        <v>699</v>
      </c>
    </row>
    <row r="69" spans="1:20" ht="114">
      <c r="A69" s="2" t="s">
        <v>1096</v>
      </c>
      <c r="B69" s="2" t="s">
        <v>395</v>
      </c>
      <c r="C69" s="2" t="s">
        <v>77</v>
      </c>
      <c r="D69" s="2" t="s">
        <v>1097</v>
      </c>
      <c r="E69" s="2" t="s">
        <v>1098</v>
      </c>
      <c r="F69" s="2" t="s">
        <v>1099</v>
      </c>
      <c r="G69" s="2" t="s">
        <v>695</v>
      </c>
      <c r="H69" s="2" t="s">
        <v>1100</v>
      </c>
      <c r="I69" s="2" t="s">
        <v>79</v>
      </c>
      <c r="J69" s="2" t="s">
        <v>399</v>
      </c>
      <c r="K69" s="2" t="s">
        <v>288</v>
      </c>
      <c r="L69" s="2" t="s">
        <v>65</v>
      </c>
      <c r="M69" s="2" t="s">
        <v>697</v>
      </c>
      <c r="N69" s="2" t="s">
        <v>1101</v>
      </c>
      <c r="O69" s="2" t="s">
        <v>60</v>
      </c>
      <c r="P69" s="2">
        <v>2</v>
      </c>
      <c r="Q69" s="2" t="s">
        <v>17</v>
      </c>
      <c r="R69" s="2" t="s">
        <v>29</v>
      </c>
      <c r="S69" s="2" t="s">
        <v>65</v>
      </c>
      <c r="T69" s="2" t="s">
        <v>699</v>
      </c>
    </row>
    <row r="70" spans="1:20" ht="114">
      <c r="A70" s="2" t="s">
        <v>1102</v>
      </c>
      <c r="B70" s="2" t="s">
        <v>395</v>
      </c>
      <c r="C70" s="2" t="s">
        <v>77</v>
      </c>
      <c r="D70" s="2" t="s">
        <v>1103</v>
      </c>
      <c r="E70" s="2" t="s">
        <v>1104</v>
      </c>
      <c r="F70" s="2" t="s">
        <v>1105</v>
      </c>
      <c r="G70" s="2" t="s">
        <v>695</v>
      </c>
      <c r="H70" s="2" t="s">
        <v>1106</v>
      </c>
      <c r="I70" s="2" t="s">
        <v>79</v>
      </c>
      <c r="J70" s="2" t="s">
        <v>399</v>
      </c>
      <c r="K70" s="2" t="s">
        <v>288</v>
      </c>
      <c r="L70" s="2" t="s">
        <v>65</v>
      </c>
      <c r="M70" s="2" t="s">
        <v>697</v>
      </c>
      <c r="N70" s="2" t="s">
        <v>1107</v>
      </c>
      <c r="O70" s="2" t="s">
        <v>60</v>
      </c>
      <c r="P70" s="2">
        <v>3</v>
      </c>
      <c r="Q70" s="2" t="s">
        <v>17</v>
      </c>
      <c r="R70" s="2" t="s">
        <v>29</v>
      </c>
      <c r="S70" s="2" t="s">
        <v>65</v>
      </c>
      <c r="T70" s="2" t="s">
        <v>699</v>
      </c>
    </row>
    <row r="71" spans="1:20" ht="114">
      <c r="A71" s="2" t="s">
        <v>1108</v>
      </c>
      <c r="B71" s="2" t="s">
        <v>400</v>
      </c>
      <c r="C71" s="2" t="s">
        <v>77</v>
      </c>
      <c r="D71" s="2" t="s">
        <v>1109</v>
      </c>
      <c r="E71" s="2" t="s">
        <v>1110</v>
      </c>
      <c r="F71" s="2" t="s">
        <v>1111</v>
      </c>
      <c r="G71" s="2" t="s">
        <v>695</v>
      </c>
      <c r="H71" s="2" t="s">
        <v>1112</v>
      </c>
      <c r="I71" s="2" t="s">
        <v>79</v>
      </c>
      <c r="J71" s="2" t="s">
        <v>404</v>
      </c>
      <c r="K71" s="2" t="s">
        <v>288</v>
      </c>
      <c r="L71" s="2" t="s">
        <v>65</v>
      </c>
      <c r="M71" s="2" t="s">
        <v>697</v>
      </c>
      <c r="N71" s="2" t="s">
        <v>1113</v>
      </c>
      <c r="O71" s="2" t="s">
        <v>60</v>
      </c>
      <c r="P71" s="2">
        <v>1</v>
      </c>
      <c r="Q71" s="2" t="s">
        <v>17</v>
      </c>
      <c r="R71" s="2" t="s">
        <v>64</v>
      </c>
      <c r="S71" s="2" t="s">
        <v>65</v>
      </c>
      <c r="T71" s="2" t="s">
        <v>699</v>
      </c>
    </row>
    <row r="72" spans="1:20" ht="114">
      <c r="A72" s="2" t="s">
        <v>1114</v>
      </c>
      <c r="B72" s="2" t="s">
        <v>400</v>
      </c>
      <c r="C72" s="2" t="s">
        <v>77</v>
      </c>
      <c r="D72" s="2" t="s">
        <v>1115</v>
      </c>
      <c r="E72" s="2" t="s">
        <v>1116</v>
      </c>
      <c r="F72" s="2" t="s">
        <v>1117</v>
      </c>
      <c r="G72" s="2" t="s">
        <v>695</v>
      </c>
      <c r="H72" s="2" t="s">
        <v>1118</v>
      </c>
      <c r="I72" s="2" t="s">
        <v>79</v>
      </c>
      <c r="J72" s="2" t="s">
        <v>404</v>
      </c>
      <c r="K72" s="2" t="s">
        <v>288</v>
      </c>
      <c r="L72" s="2" t="s">
        <v>65</v>
      </c>
      <c r="M72" s="2" t="s">
        <v>697</v>
      </c>
      <c r="N72" s="2" t="s">
        <v>1119</v>
      </c>
      <c r="O72" s="2" t="s">
        <v>60</v>
      </c>
      <c r="P72" s="2">
        <v>2</v>
      </c>
      <c r="Q72" s="2" t="s">
        <v>17</v>
      </c>
      <c r="R72" s="2" t="s">
        <v>64</v>
      </c>
      <c r="S72" s="2" t="s">
        <v>65</v>
      </c>
      <c r="T72" s="2" t="s">
        <v>699</v>
      </c>
    </row>
    <row r="73" spans="1:20" ht="114">
      <c r="A73" s="2" t="s">
        <v>1120</v>
      </c>
      <c r="B73" s="2" t="s">
        <v>400</v>
      </c>
      <c r="C73" s="2" t="s">
        <v>77</v>
      </c>
      <c r="D73" s="2" t="s">
        <v>1121</v>
      </c>
      <c r="E73" s="2" t="s">
        <v>1122</v>
      </c>
      <c r="F73" s="2" t="s">
        <v>1123</v>
      </c>
      <c r="G73" s="2" t="s">
        <v>695</v>
      </c>
      <c r="H73" s="2" t="s">
        <v>1124</v>
      </c>
      <c r="I73" s="2" t="s">
        <v>79</v>
      </c>
      <c r="J73" s="2" t="s">
        <v>404</v>
      </c>
      <c r="K73" s="2" t="s">
        <v>288</v>
      </c>
      <c r="L73" s="2" t="s">
        <v>65</v>
      </c>
      <c r="M73" s="2" t="s">
        <v>697</v>
      </c>
      <c r="N73" s="2" t="s">
        <v>1125</v>
      </c>
      <c r="O73" s="2" t="s">
        <v>60</v>
      </c>
      <c r="P73" s="2">
        <v>3</v>
      </c>
      <c r="Q73" s="2" t="s">
        <v>17</v>
      </c>
      <c r="R73" s="2" t="s">
        <v>64</v>
      </c>
      <c r="S73" s="2" t="s">
        <v>65</v>
      </c>
      <c r="T73" s="2" t="s">
        <v>699</v>
      </c>
    </row>
    <row r="74" spans="1:20" ht="114">
      <c r="A74" s="2" t="s">
        <v>1126</v>
      </c>
      <c r="B74" s="2" t="s">
        <v>405</v>
      </c>
      <c r="C74" s="2" t="s">
        <v>77</v>
      </c>
      <c r="D74" s="2" t="s">
        <v>1127</v>
      </c>
      <c r="E74" s="2" t="s">
        <v>1128</v>
      </c>
      <c r="F74" s="2" t="s">
        <v>1129</v>
      </c>
      <c r="G74" s="2" t="s">
        <v>695</v>
      </c>
      <c r="H74" s="2" t="s">
        <v>1130</v>
      </c>
      <c r="I74" s="2" t="s">
        <v>79</v>
      </c>
      <c r="J74" s="2" t="s">
        <v>409</v>
      </c>
      <c r="K74" s="2" t="s">
        <v>288</v>
      </c>
      <c r="L74" s="2" t="s">
        <v>65</v>
      </c>
      <c r="M74" s="2" t="s">
        <v>697</v>
      </c>
      <c r="N74" s="2" t="s">
        <v>1131</v>
      </c>
      <c r="O74" s="2" t="s">
        <v>60</v>
      </c>
      <c r="P74" s="2">
        <v>1</v>
      </c>
      <c r="Q74" s="2" t="s">
        <v>17</v>
      </c>
      <c r="R74" s="2" t="s">
        <v>29</v>
      </c>
      <c r="S74" s="2" t="s">
        <v>65</v>
      </c>
      <c r="T74" s="2" t="s">
        <v>699</v>
      </c>
    </row>
    <row r="75" spans="1:20" ht="114">
      <c r="A75" s="2" t="s">
        <v>1132</v>
      </c>
      <c r="B75" s="2" t="s">
        <v>405</v>
      </c>
      <c r="C75" s="2" t="s">
        <v>77</v>
      </c>
      <c r="D75" s="2" t="s">
        <v>1133</v>
      </c>
      <c r="E75" s="2" t="s">
        <v>1134</v>
      </c>
      <c r="F75" s="2" t="s">
        <v>1135</v>
      </c>
      <c r="G75" s="2" t="s">
        <v>695</v>
      </c>
      <c r="H75" s="2" t="s">
        <v>1136</v>
      </c>
      <c r="I75" s="2" t="s">
        <v>79</v>
      </c>
      <c r="J75" s="2" t="s">
        <v>409</v>
      </c>
      <c r="K75" s="2" t="s">
        <v>288</v>
      </c>
      <c r="L75" s="2" t="s">
        <v>65</v>
      </c>
      <c r="M75" s="2" t="s">
        <v>697</v>
      </c>
      <c r="N75" s="2" t="s">
        <v>1137</v>
      </c>
      <c r="O75" s="2" t="s">
        <v>60</v>
      </c>
      <c r="P75" s="2">
        <v>2</v>
      </c>
      <c r="Q75" s="2" t="s">
        <v>17</v>
      </c>
      <c r="R75" s="2" t="s">
        <v>29</v>
      </c>
      <c r="S75" s="2" t="s">
        <v>65</v>
      </c>
      <c r="T75" s="2" t="s">
        <v>699</v>
      </c>
    </row>
    <row r="76" spans="1:20" ht="114">
      <c r="A76" s="2" t="s">
        <v>1138</v>
      </c>
      <c r="B76" s="2" t="s">
        <v>405</v>
      </c>
      <c r="C76" s="2" t="s">
        <v>77</v>
      </c>
      <c r="D76" s="2" t="s">
        <v>1139</v>
      </c>
      <c r="E76" s="2" t="s">
        <v>1140</v>
      </c>
      <c r="F76" s="2" t="s">
        <v>1141</v>
      </c>
      <c r="G76" s="2" t="s">
        <v>695</v>
      </c>
      <c r="H76" s="2" t="s">
        <v>1142</v>
      </c>
      <c r="I76" s="2" t="s">
        <v>79</v>
      </c>
      <c r="J76" s="2" t="s">
        <v>409</v>
      </c>
      <c r="K76" s="2" t="s">
        <v>288</v>
      </c>
      <c r="L76" s="2" t="s">
        <v>65</v>
      </c>
      <c r="M76" s="2" t="s">
        <v>697</v>
      </c>
      <c r="N76" s="2" t="s">
        <v>1143</v>
      </c>
      <c r="O76" s="2" t="s">
        <v>60</v>
      </c>
      <c r="P76" s="2">
        <v>3</v>
      </c>
      <c r="Q76" s="2" t="s">
        <v>17</v>
      </c>
      <c r="R76" s="2" t="s">
        <v>29</v>
      </c>
      <c r="S76" s="2" t="s">
        <v>65</v>
      </c>
      <c r="T76" s="2" t="s">
        <v>699</v>
      </c>
    </row>
    <row r="77" spans="1:20" ht="114">
      <c r="A77" s="2" t="s">
        <v>1144</v>
      </c>
      <c r="B77" s="2" t="s">
        <v>410</v>
      </c>
      <c r="C77" s="2" t="s">
        <v>77</v>
      </c>
      <c r="D77" s="2" t="s">
        <v>1145</v>
      </c>
      <c r="E77" s="2" t="s">
        <v>1146</v>
      </c>
      <c r="F77" s="2" t="s">
        <v>1147</v>
      </c>
      <c r="G77" s="2" t="s">
        <v>695</v>
      </c>
      <c r="H77" s="2" t="s">
        <v>1148</v>
      </c>
      <c r="I77" s="2" t="s">
        <v>79</v>
      </c>
      <c r="J77" s="2" t="s">
        <v>414</v>
      </c>
      <c r="K77" s="2" t="s">
        <v>65</v>
      </c>
      <c r="L77" s="2" t="s">
        <v>94</v>
      </c>
      <c r="M77" s="2" t="s">
        <v>697</v>
      </c>
      <c r="N77" s="2" t="s">
        <v>1149</v>
      </c>
      <c r="O77" s="2" t="s">
        <v>60</v>
      </c>
      <c r="P77" s="2">
        <v>1</v>
      </c>
      <c r="Q77" s="2" t="s">
        <v>17</v>
      </c>
      <c r="R77" s="2" t="s">
        <v>93</v>
      </c>
      <c r="S77" s="2" t="s">
        <v>65</v>
      </c>
      <c r="T77" s="2" t="s">
        <v>699</v>
      </c>
    </row>
    <row r="78" spans="1:20" ht="114">
      <c r="A78" s="2" t="s">
        <v>1150</v>
      </c>
      <c r="B78" s="2" t="s">
        <v>410</v>
      </c>
      <c r="C78" s="2" t="s">
        <v>77</v>
      </c>
      <c r="D78" s="2" t="s">
        <v>1151</v>
      </c>
      <c r="E78" s="2" t="s">
        <v>1152</v>
      </c>
      <c r="F78" s="2" t="s">
        <v>1153</v>
      </c>
      <c r="G78" s="2" t="s">
        <v>695</v>
      </c>
      <c r="H78" s="2" t="s">
        <v>1154</v>
      </c>
      <c r="I78" s="2" t="s">
        <v>79</v>
      </c>
      <c r="J78" s="2" t="s">
        <v>414</v>
      </c>
      <c r="K78" s="2" t="s">
        <v>65</v>
      </c>
      <c r="L78" s="2" t="s">
        <v>94</v>
      </c>
      <c r="M78" s="2" t="s">
        <v>697</v>
      </c>
      <c r="N78" s="2" t="s">
        <v>1155</v>
      </c>
      <c r="O78" s="2" t="s">
        <v>60</v>
      </c>
      <c r="P78" s="2">
        <v>2</v>
      </c>
      <c r="Q78" s="2" t="s">
        <v>17</v>
      </c>
      <c r="R78" s="2" t="s">
        <v>93</v>
      </c>
      <c r="S78" s="2" t="s">
        <v>65</v>
      </c>
      <c r="T78" s="2" t="s">
        <v>699</v>
      </c>
    </row>
    <row r="79" spans="1:20" ht="114">
      <c r="A79" s="2" t="s">
        <v>1156</v>
      </c>
      <c r="B79" s="2" t="s">
        <v>410</v>
      </c>
      <c r="C79" s="2" t="s">
        <v>77</v>
      </c>
      <c r="D79" s="2" t="s">
        <v>1157</v>
      </c>
      <c r="E79" s="2" t="s">
        <v>1158</v>
      </c>
      <c r="F79" s="2" t="s">
        <v>1159</v>
      </c>
      <c r="G79" s="2" t="s">
        <v>695</v>
      </c>
      <c r="H79" s="2" t="s">
        <v>1160</v>
      </c>
      <c r="I79" s="2" t="s">
        <v>79</v>
      </c>
      <c r="J79" s="2" t="s">
        <v>414</v>
      </c>
      <c r="K79" s="2" t="s">
        <v>65</v>
      </c>
      <c r="L79" s="2" t="s">
        <v>94</v>
      </c>
      <c r="M79" s="2" t="s">
        <v>697</v>
      </c>
      <c r="N79" s="2" t="s">
        <v>1161</v>
      </c>
      <c r="O79" s="2" t="s">
        <v>60</v>
      </c>
      <c r="P79" s="2">
        <v>3</v>
      </c>
      <c r="Q79" s="2" t="s">
        <v>17</v>
      </c>
      <c r="R79" s="2" t="s">
        <v>93</v>
      </c>
      <c r="S79" s="2" t="s">
        <v>65</v>
      </c>
      <c r="T79" s="2" t="s">
        <v>699</v>
      </c>
    </row>
    <row r="80" spans="1:20" ht="114">
      <c r="A80" s="2" t="s">
        <v>1162</v>
      </c>
      <c r="B80" s="2" t="s">
        <v>415</v>
      </c>
      <c r="C80" s="2" t="s">
        <v>77</v>
      </c>
      <c r="D80" s="2" t="s">
        <v>1163</v>
      </c>
      <c r="E80" s="2" t="s">
        <v>1164</v>
      </c>
      <c r="F80" s="2" t="s">
        <v>1165</v>
      </c>
      <c r="G80" s="2" t="s">
        <v>695</v>
      </c>
      <c r="H80" s="2" t="s">
        <v>1166</v>
      </c>
      <c r="I80" s="2" t="s">
        <v>79</v>
      </c>
      <c r="J80" s="2" t="s">
        <v>419</v>
      </c>
      <c r="K80" s="2" t="s">
        <v>94</v>
      </c>
      <c r="L80" s="2" t="s">
        <v>94</v>
      </c>
      <c r="M80" s="2" t="s">
        <v>697</v>
      </c>
      <c r="N80" s="2" t="s">
        <v>1167</v>
      </c>
      <c r="O80" s="2" t="s">
        <v>60</v>
      </c>
      <c r="P80" s="2">
        <v>1</v>
      </c>
      <c r="Q80" s="2" t="s">
        <v>17</v>
      </c>
      <c r="R80" s="2" t="s">
        <v>29</v>
      </c>
      <c r="S80" s="2" t="s">
        <v>65</v>
      </c>
      <c r="T80" s="2" t="s">
        <v>699</v>
      </c>
    </row>
    <row r="81" spans="1:20" ht="114">
      <c r="A81" s="2" t="s">
        <v>1168</v>
      </c>
      <c r="B81" s="2" t="s">
        <v>415</v>
      </c>
      <c r="C81" s="2" t="s">
        <v>77</v>
      </c>
      <c r="D81" s="2" t="s">
        <v>1169</v>
      </c>
      <c r="E81" s="2" t="s">
        <v>1170</v>
      </c>
      <c r="F81" s="2" t="s">
        <v>1171</v>
      </c>
      <c r="G81" s="2" t="s">
        <v>695</v>
      </c>
      <c r="H81" s="2" t="s">
        <v>1172</v>
      </c>
      <c r="I81" s="2" t="s">
        <v>79</v>
      </c>
      <c r="J81" s="2" t="s">
        <v>419</v>
      </c>
      <c r="K81" s="2" t="s">
        <v>94</v>
      </c>
      <c r="L81" s="2" t="s">
        <v>94</v>
      </c>
      <c r="M81" s="2" t="s">
        <v>697</v>
      </c>
      <c r="N81" s="2" t="s">
        <v>1173</v>
      </c>
      <c r="O81" s="2" t="s">
        <v>60</v>
      </c>
      <c r="P81" s="2">
        <v>2</v>
      </c>
      <c r="Q81" s="2" t="s">
        <v>17</v>
      </c>
      <c r="R81" s="2" t="s">
        <v>29</v>
      </c>
      <c r="S81" s="2" t="s">
        <v>65</v>
      </c>
      <c r="T81" s="2" t="s">
        <v>699</v>
      </c>
    </row>
    <row r="82" spans="1:20" ht="114">
      <c r="A82" s="2" t="s">
        <v>1174</v>
      </c>
      <c r="B82" s="2" t="s">
        <v>415</v>
      </c>
      <c r="C82" s="2" t="s">
        <v>77</v>
      </c>
      <c r="D82" s="2" t="s">
        <v>1175</v>
      </c>
      <c r="E82" s="2" t="s">
        <v>1176</v>
      </c>
      <c r="F82" s="2" t="s">
        <v>1177</v>
      </c>
      <c r="G82" s="2" t="s">
        <v>695</v>
      </c>
      <c r="H82" s="2" t="s">
        <v>1178</v>
      </c>
      <c r="I82" s="2" t="s">
        <v>79</v>
      </c>
      <c r="J82" s="2" t="s">
        <v>419</v>
      </c>
      <c r="K82" s="2" t="s">
        <v>94</v>
      </c>
      <c r="L82" s="2" t="s">
        <v>94</v>
      </c>
      <c r="M82" s="2" t="s">
        <v>697</v>
      </c>
      <c r="N82" s="2" t="s">
        <v>1179</v>
      </c>
      <c r="O82" s="2" t="s">
        <v>60</v>
      </c>
      <c r="P82" s="2">
        <v>3</v>
      </c>
      <c r="Q82" s="2" t="s">
        <v>17</v>
      </c>
      <c r="R82" s="2" t="s">
        <v>29</v>
      </c>
      <c r="S82" s="2" t="s">
        <v>65</v>
      </c>
      <c r="T82" s="2" t="s">
        <v>699</v>
      </c>
    </row>
    <row r="83" spans="1:20" ht="114">
      <c r="A83" s="2" t="s">
        <v>1180</v>
      </c>
      <c r="B83" s="2" t="s">
        <v>420</v>
      </c>
      <c r="C83" s="2" t="s">
        <v>77</v>
      </c>
      <c r="D83" s="2" t="s">
        <v>1181</v>
      </c>
      <c r="E83" s="2" t="s">
        <v>1182</v>
      </c>
      <c r="F83" s="2" t="s">
        <v>1183</v>
      </c>
      <c r="G83" s="2" t="s">
        <v>695</v>
      </c>
      <c r="H83" s="2" t="s">
        <v>1184</v>
      </c>
      <c r="I83" s="2" t="s">
        <v>122</v>
      </c>
      <c r="J83" s="2" t="s">
        <v>424</v>
      </c>
      <c r="K83" s="2" t="s">
        <v>65</v>
      </c>
      <c r="L83" s="2" t="s">
        <v>65</v>
      </c>
      <c r="M83" s="2" t="s">
        <v>697</v>
      </c>
      <c r="N83" s="2" t="s">
        <v>1185</v>
      </c>
      <c r="O83" s="2" t="s">
        <v>60</v>
      </c>
      <c r="P83" s="2">
        <v>1</v>
      </c>
      <c r="Q83" s="2" t="s">
        <v>17</v>
      </c>
      <c r="R83" s="2" t="s">
        <v>353</v>
      </c>
      <c r="S83" s="2" t="s">
        <v>65</v>
      </c>
      <c r="T83" s="2" t="s">
        <v>699</v>
      </c>
    </row>
    <row r="84" spans="1:20" ht="114">
      <c r="A84" s="2" t="s">
        <v>1186</v>
      </c>
      <c r="B84" s="2" t="s">
        <v>420</v>
      </c>
      <c r="C84" s="2" t="s">
        <v>77</v>
      </c>
      <c r="D84" s="2" t="s">
        <v>1187</v>
      </c>
      <c r="E84" s="2" t="s">
        <v>1188</v>
      </c>
      <c r="F84" s="2" t="s">
        <v>1189</v>
      </c>
      <c r="G84" s="2" t="s">
        <v>695</v>
      </c>
      <c r="H84" s="2" t="s">
        <v>1190</v>
      </c>
      <c r="I84" s="2" t="s">
        <v>122</v>
      </c>
      <c r="J84" s="2" t="s">
        <v>424</v>
      </c>
      <c r="K84" s="2" t="s">
        <v>65</v>
      </c>
      <c r="L84" s="2" t="s">
        <v>65</v>
      </c>
      <c r="M84" s="2" t="s">
        <v>697</v>
      </c>
      <c r="N84" s="2" t="s">
        <v>1191</v>
      </c>
      <c r="O84" s="2" t="s">
        <v>60</v>
      </c>
      <c r="P84" s="2">
        <v>2</v>
      </c>
      <c r="Q84" s="2" t="s">
        <v>17</v>
      </c>
      <c r="R84" s="2" t="s">
        <v>353</v>
      </c>
      <c r="S84" s="2" t="s">
        <v>65</v>
      </c>
      <c r="T84" s="2" t="s">
        <v>699</v>
      </c>
    </row>
    <row r="85" spans="1:20" ht="114">
      <c r="A85" s="2" t="s">
        <v>1192</v>
      </c>
      <c r="B85" s="2" t="s">
        <v>420</v>
      </c>
      <c r="C85" s="2" t="s">
        <v>77</v>
      </c>
      <c r="D85" s="2" t="s">
        <v>1193</v>
      </c>
      <c r="E85" s="2" t="s">
        <v>1194</v>
      </c>
      <c r="F85" s="2" t="s">
        <v>1195</v>
      </c>
      <c r="G85" s="2" t="s">
        <v>695</v>
      </c>
      <c r="H85" s="2" t="s">
        <v>1196</v>
      </c>
      <c r="I85" s="2" t="s">
        <v>122</v>
      </c>
      <c r="J85" s="2" t="s">
        <v>424</v>
      </c>
      <c r="K85" s="2" t="s">
        <v>65</v>
      </c>
      <c r="L85" s="2" t="s">
        <v>65</v>
      </c>
      <c r="M85" s="2" t="s">
        <v>697</v>
      </c>
      <c r="N85" s="2" t="s">
        <v>1197</v>
      </c>
      <c r="O85" s="2" t="s">
        <v>60</v>
      </c>
      <c r="P85" s="2">
        <v>3</v>
      </c>
      <c r="Q85" s="2" t="s">
        <v>17</v>
      </c>
      <c r="R85" s="2" t="s">
        <v>353</v>
      </c>
      <c r="S85" s="2" t="s">
        <v>65</v>
      </c>
      <c r="T85" s="2" t="s">
        <v>699</v>
      </c>
    </row>
    <row r="86" spans="1:20" ht="114">
      <c r="A86" s="2" t="s">
        <v>1198</v>
      </c>
      <c r="B86" s="2" t="s">
        <v>425</v>
      </c>
      <c r="C86" s="2" t="s">
        <v>77</v>
      </c>
      <c r="D86" s="2" t="s">
        <v>1199</v>
      </c>
      <c r="E86" s="2" t="s">
        <v>1200</v>
      </c>
      <c r="F86" s="2" t="s">
        <v>1201</v>
      </c>
      <c r="G86" s="2" t="s">
        <v>695</v>
      </c>
      <c r="H86" s="2" t="s">
        <v>1202</v>
      </c>
      <c r="I86" s="2" t="s">
        <v>79</v>
      </c>
      <c r="J86" s="2" t="s">
        <v>429</v>
      </c>
      <c r="K86" s="2" t="s">
        <v>94</v>
      </c>
      <c r="L86" s="2" t="s">
        <v>94</v>
      </c>
      <c r="M86" s="2" t="s">
        <v>697</v>
      </c>
      <c r="N86" s="2" t="s">
        <v>1203</v>
      </c>
      <c r="O86" s="2" t="s">
        <v>60</v>
      </c>
      <c r="P86" s="2">
        <v>1</v>
      </c>
      <c r="Q86" s="2" t="s">
        <v>17</v>
      </c>
      <c r="R86" s="2" t="s">
        <v>93</v>
      </c>
      <c r="S86" s="2" t="s">
        <v>65</v>
      </c>
      <c r="T86" s="2" t="s">
        <v>699</v>
      </c>
    </row>
    <row r="87" spans="1:20" ht="114">
      <c r="A87" s="2" t="s">
        <v>1204</v>
      </c>
      <c r="B87" s="2" t="s">
        <v>425</v>
      </c>
      <c r="C87" s="2" t="s">
        <v>77</v>
      </c>
      <c r="D87" s="2" t="s">
        <v>1205</v>
      </c>
      <c r="E87" s="2" t="s">
        <v>1206</v>
      </c>
      <c r="F87" s="2" t="s">
        <v>1207</v>
      </c>
      <c r="G87" s="2" t="s">
        <v>695</v>
      </c>
      <c r="H87" s="2" t="s">
        <v>1208</v>
      </c>
      <c r="I87" s="2" t="s">
        <v>79</v>
      </c>
      <c r="J87" s="2" t="s">
        <v>429</v>
      </c>
      <c r="K87" s="2" t="s">
        <v>94</v>
      </c>
      <c r="L87" s="2" t="s">
        <v>94</v>
      </c>
      <c r="M87" s="2" t="s">
        <v>697</v>
      </c>
      <c r="N87" s="2" t="s">
        <v>1209</v>
      </c>
      <c r="O87" s="2" t="s">
        <v>60</v>
      </c>
      <c r="P87" s="2">
        <v>2</v>
      </c>
      <c r="Q87" s="2" t="s">
        <v>17</v>
      </c>
      <c r="R87" s="2" t="s">
        <v>93</v>
      </c>
      <c r="S87" s="2" t="s">
        <v>65</v>
      </c>
      <c r="T87" s="2" t="s">
        <v>699</v>
      </c>
    </row>
    <row r="88" spans="1:20" ht="114">
      <c r="A88" s="2" t="s">
        <v>1210</v>
      </c>
      <c r="B88" s="2" t="s">
        <v>425</v>
      </c>
      <c r="C88" s="2" t="s">
        <v>77</v>
      </c>
      <c r="D88" s="2" t="s">
        <v>1211</v>
      </c>
      <c r="E88" s="2" t="s">
        <v>1212</v>
      </c>
      <c r="F88" s="2" t="s">
        <v>1213</v>
      </c>
      <c r="G88" s="2" t="s">
        <v>695</v>
      </c>
      <c r="H88" s="2" t="s">
        <v>1214</v>
      </c>
      <c r="I88" s="2" t="s">
        <v>79</v>
      </c>
      <c r="J88" s="2" t="s">
        <v>429</v>
      </c>
      <c r="K88" s="2" t="s">
        <v>94</v>
      </c>
      <c r="L88" s="2" t="s">
        <v>94</v>
      </c>
      <c r="M88" s="2" t="s">
        <v>697</v>
      </c>
      <c r="N88" s="2" t="s">
        <v>1215</v>
      </c>
      <c r="O88" s="2" t="s">
        <v>60</v>
      </c>
      <c r="P88" s="2">
        <v>3</v>
      </c>
      <c r="Q88" s="2" t="s">
        <v>17</v>
      </c>
      <c r="R88" s="2" t="s">
        <v>93</v>
      </c>
      <c r="S88" s="2" t="s">
        <v>65</v>
      </c>
      <c r="T88" s="2" t="s">
        <v>699</v>
      </c>
    </row>
    <row r="89" spans="1:20" ht="114">
      <c r="A89" s="2" t="s">
        <v>1216</v>
      </c>
      <c r="B89" s="2" t="s">
        <v>430</v>
      </c>
      <c r="C89" s="2" t="s">
        <v>82</v>
      </c>
      <c r="D89" s="2" t="s">
        <v>1217</v>
      </c>
      <c r="E89" s="2" t="s">
        <v>1218</v>
      </c>
      <c r="F89" s="2" t="s">
        <v>1219</v>
      </c>
      <c r="G89" s="2" t="s">
        <v>695</v>
      </c>
      <c r="H89" s="2" t="s">
        <v>1220</v>
      </c>
      <c r="I89" s="2" t="s">
        <v>84</v>
      </c>
      <c r="J89" s="2" t="s">
        <v>434</v>
      </c>
      <c r="K89" s="2" t="s">
        <v>288</v>
      </c>
      <c r="L89" s="2" t="s">
        <v>65</v>
      </c>
      <c r="M89" s="2" t="s">
        <v>697</v>
      </c>
      <c r="N89" s="2" t="s">
        <v>1221</v>
      </c>
      <c r="O89" s="2" t="s">
        <v>60</v>
      </c>
      <c r="P89" s="2">
        <v>1</v>
      </c>
      <c r="Q89" s="2" t="s">
        <v>17</v>
      </c>
      <c r="R89" s="2" t="s">
        <v>353</v>
      </c>
      <c r="S89" s="2" t="s">
        <v>65</v>
      </c>
      <c r="T89" s="2" t="s">
        <v>699</v>
      </c>
    </row>
    <row r="90" spans="1:20" ht="114">
      <c r="A90" s="2" t="s">
        <v>1222</v>
      </c>
      <c r="B90" s="2" t="s">
        <v>430</v>
      </c>
      <c r="C90" s="2" t="s">
        <v>82</v>
      </c>
      <c r="D90" s="2" t="s">
        <v>1223</v>
      </c>
      <c r="E90" s="2" t="s">
        <v>1224</v>
      </c>
      <c r="F90" s="2" t="s">
        <v>1225</v>
      </c>
      <c r="G90" s="2" t="s">
        <v>695</v>
      </c>
      <c r="H90" s="2" t="s">
        <v>1226</v>
      </c>
      <c r="I90" s="2" t="s">
        <v>84</v>
      </c>
      <c r="J90" s="2" t="s">
        <v>434</v>
      </c>
      <c r="K90" s="2" t="s">
        <v>288</v>
      </c>
      <c r="L90" s="2" t="s">
        <v>65</v>
      </c>
      <c r="M90" s="2" t="s">
        <v>697</v>
      </c>
      <c r="N90" s="2" t="s">
        <v>1227</v>
      </c>
      <c r="O90" s="2" t="s">
        <v>60</v>
      </c>
      <c r="P90" s="2">
        <v>2</v>
      </c>
      <c r="Q90" s="2" t="s">
        <v>17</v>
      </c>
      <c r="R90" s="2" t="s">
        <v>353</v>
      </c>
      <c r="S90" s="2" t="s">
        <v>65</v>
      </c>
      <c r="T90" s="2" t="s">
        <v>699</v>
      </c>
    </row>
    <row r="91" spans="1:20" ht="114">
      <c r="A91" s="2" t="s">
        <v>1228</v>
      </c>
      <c r="B91" s="2" t="s">
        <v>430</v>
      </c>
      <c r="C91" s="2" t="s">
        <v>82</v>
      </c>
      <c r="D91" s="2" t="s">
        <v>1229</v>
      </c>
      <c r="E91" s="2" t="s">
        <v>1230</v>
      </c>
      <c r="F91" s="2" t="s">
        <v>1231</v>
      </c>
      <c r="G91" s="2" t="s">
        <v>695</v>
      </c>
      <c r="H91" s="2" t="s">
        <v>1232</v>
      </c>
      <c r="I91" s="2" t="s">
        <v>84</v>
      </c>
      <c r="J91" s="2" t="s">
        <v>434</v>
      </c>
      <c r="K91" s="2" t="s">
        <v>288</v>
      </c>
      <c r="L91" s="2" t="s">
        <v>65</v>
      </c>
      <c r="M91" s="2" t="s">
        <v>697</v>
      </c>
      <c r="N91" s="2" t="s">
        <v>1233</v>
      </c>
      <c r="O91" s="2" t="s">
        <v>60</v>
      </c>
      <c r="P91" s="2">
        <v>3</v>
      </c>
      <c r="Q91" s="2" t="s">
        <v>17</v>
      </c>
      <c r="R91" s="2" t="s">
        <v>353</v>
      </c>
      <c r="S91" s="2" t="s">
        <v>65</v>
      </c>
      <c r="T91" s="2" t="s">
        <v>699</v>
      </c>
    </row>
    <row r="92" spans="1:20" ht="114">
      <c r="A92" s="2" t="s">
        <v>1234</v>
      </c>
      <c r="B92" s="2" t="s">
        <v>435</v>
      </c>
      <c r="C92" s="2" t="s">
        <v>82</v>
      </c>
      <c r="D92" s="2" t="s">
        <v>1235</v>
      </c>
      <c r="E92" s="2" t="s">
        <v>1236</v>
      </c>
      <c r="F92" s="2" t="s">
        <v>1237</v>
      </c>
      <c r="G92" s="2" t="s">
        <v>695</v>
      </c>
      <c r="H92" s="2" t="s">
        <v>1238</v>
      </c>
      <c r="I92" s="2" t="s">
        <v>84</v>
      </c>
      <c r="J92" s="2" t="s">
        <v>439</v>
      </c>
      <c r="K92" s="2" t="s">
        <v>288</v>
      </c>
      <c r="L92" s="2" t="s">
        <v>65</v>
      </c>
      <c r="M92" s="2" t="s">
        <v>697</v>
      </c>
      <c r="N92" s="2" t="s">
        <v>1239</v>
      </c>
      <c r="O92" s="2" t="s">
        <v>60</v>
      </c>
      <c r="P92" s="2">
        <v>1</v>
      </c>
      <c r="Q92" s="2" t="s">
        <v>17</v>
      </c>
      <c r="R92" s="2" t="s">
        <v>29</v>
      </c>
      <c r="S92" s="2" t="s">
        <v>65</v>
      </c>
      <c r="T92" s="2" t="s">
        <v>699</v>
      </c>
    </row>
    <row r="93" spans="1:20" ht="114">
      <c r="A93" s="2" t="s">
        <v>1240</v>
      </c>
      <c r="B93" s="2" t="s">
        <v>435</v>
      </c>
      <c r="C93" s="2" t="s">
        <v>82</v>
      </c>
      <c r="D93" s="2" t="s">
        <v>1241</v>
      </c>
      <c r="E93" s="2" t="s">
        <v>1242</v>
      </c>
      <c r="F93" s="2" t="s">
        <v>1243</v>
      </c>
      <c r="G93" s="2" t="s">
        <v>695</v>
      </c>
      <c r="H93" s="2" t="s">
        <v>1244</v>
      </c>
      <c r="I93" s="2" t="s">
        <v>84</v>
      </c>
      <c r="J93" s="2" t="s">
        <v>439</v>
      </c>
      <c r="K93" s="2" t="s">
        <v>288</v>
      </c>
      <c r="L93" s="2" t="s">
        <v>65</v>
      </c>
      <c r="M93" s="2" t="s">
        <v>697</v>
      </c>
      <c r="N93" s="2" t="s">
        <v>1245</v>
      </c>
      <c r="O93" s="2" t="s">
        <v>60</v>
      </c>
      <c r="P93" s="2">
        <v>2</v>
      </c>
      <c r="Q93" s="2" t="s">
        <v>17</v>
      </c>
      <c r="R93" s="2" t="s">
        <v>29</v>
      </c>
      <c r="S93" s="2" t="s">
        <v>65</v>
      </c>
      <c r="T93" s="2" t="s">
        <v>699</v>
      </c>
    </row>
    <row r="94" spans="1:20" ht="114">
      <c r="A94" s="2" t="s">
        <v>1246</v>
      </c>
      <c r="B94" s="2" t="s">
        <v>435</v>
      </c>
      <c r="C94" s="2" t="s">
        <v>82</v>
      </c>
      <c r="D94" s="2" t="s">
        <v>1247</v>
      </c>
      <c r="E94" s="2" t="s">
        <v>1248</v>
      </c>
      <c r="F94" s="2" t="s">
        <v>1249</v>
      </c>
      <c r="G94" s="2" t="s">
        <v>695</v>
      </c>
      <c r="H94" s="2" t="s">
        <v>1250</v>
      </c>
      <c r="I94" s="2" t="s">
        <v>84</v>
      </c>
      <c r="J94" s="2" t="s">
        <v>439</v>
      </c>
      <c r="K94" s="2" t="s">
        <v>288</v>
      </c>
      <c r="L94" s="2" t="s">
        <v>65</v>
      </c>
      <c r="M94" s="2" t="s">
        <v>697</v>
      </c>
      <c r="N94" s="2" t="s">
        <v>1251</v>
      </c>
      <c r="O94" s="2" t="s">
        <v>60</v>
      </c>
      <c r="P94" s="2">
        <v>3</v>
      </c>
      <c r="Q94" s="2" t="s">
        <v>17</v>
      </c>
      <c r="R94" s="2" t="s">
        <v>29</v>
      </c>
      <c r="S94" s="2" t="s">
        <v>65</v>
      </c>
      <c r="T94" s="2" t="s">
        <v>699</v>
      </c>
    </row>
    <row r="95" spans="1:20" ht="114">
      <c r="A95" s="2" t="s">
        <v>1252</v>
      </c>
      <c r="B95" s="2" t="s">
        <v>440</v>
      </c>
      <c r="C95" s="2" t="s">
        <v>82</v>
      </c>
      <c r="D95" s="2" t="s">
        <v>1253</v>
      </c>
      <c r="E95" s="2" t="s">
        <v>1254</v>
      </c>
      <c r="F95" s="2" t="s">
        <v>1255</v>
      </c>
      <c r="G95" s="2" t="s">
        <v>695</v>
      </c>
      <c r="H95" s="2" t="s">
        <v>1256</v>
      </c>
      <c r="I95" s="2" t="s">
        <v>84</v>
      </c>
      <c r="J95" s="2" t="s">
        <v>444</v>
      </c>
      <c r="K95" s="2" t="s">
        <v>288</v>
      </c>
      <c r="L95" s="2" t="s">
        <v>65</v>
      </c>
      <c r="M95" s="2" t="s">
        <v>697</v>
      </c>
      <c r="N95" s="2" t="s">
        <v>1257</v>
      </c>
      <c r="O95" s="2" t="s">
        <v>60</v>
      </c>
      <c r="P95" s="2">
        <v>1</v>
      </c>
      <c r="Q95" s="2" t="s">
        <v>17</v>
      </c>
      <c r="R95" s="2" t="s">
        <v>29</v>
      </c>
      <c r="S95" s="2" t="s">
        <v>65</v>
      </c>
      <c r="T95" s="2" t="s">
        <v>699</v>
      </c>
    </row>
    <row r="96" spans="1:20" ht="114">
      <c r="A96" s="2" t="s">
        <v>1258</v>
      </c>
      <c r="B96" s="2" t="s">
        <v>440</v>
      </c>
      <c r="C96" s="2" t="s">
        <v>82</v>
      </c>
      <c r="D96" s="2" t="s">
        <v>1259</v>
      </c>
      <c r="E96" s="2" t="s">
        <v>1260</v>
      </c>
      <c r="F96" s="2" t="s">
        <v>1261</v>
      </c>
      <c r="G96" s="2" t="s">
        <v>695</v>
      </c>
      <c r="H96" s="2" t="s">
        <v>1262</v>
      </c>
      <c r="I96" s="2" t="s">
        <v>84</v>
      </c>
      <c r="J96" s="2" t="s">
        <v>444</v>
      </c>
      <c r="K96" s="2" t="s">
        <v>288</v>
      </c>
      <c r="L96" s="2" t="s">
        <v>65</v>
      </c>
      <c r="M96" s="2" t="s">
        <v>697</v>
      </c>
      <c r="N96" s="2" t="s">
        <v>1263</v>
      </c>
      <c r="O96" s="2" t="s">
        <v>60</v>
      </c>
      <c r="P96" s="2">
        <v>2</v>
      </c>
      <c r="Q96" s="2" t="s">
        <v>17</v>
      </c>
      <c r="R96" s="2" t="s">
        <v>29</v>
      </c>
      <c r="S96" s="2" t="s">
        <v>65</v>
      </c>
      <c r="T96" s="2" t="s">
        <v>699</v>
      </c>
    </row>
    <row r="97" spans="1:20" ht="114">
      <c r="A97" s="2" t="s">
        <v>1264</v>
      </c>
      <c r="B97" s="2" t="s">
        <v>440</v>
      </c>
      <c r="C97" s="2" t="s">
        <v>82</v>
      </c>
      <c r="D97" s="2" t="s">
        <v>1265</v>
      </c>
      <c r="E97" s="2" t="s">
        <v>1266</v>
      </c>
      <c r="F97" s="2" t="s">
        <v>1267</v>
      </c>
      <c r="G97" s="2" t="s">
        <v>695</v>
      </c>
      <c r="H97" s="2" t="s">
        <v>1268</v>
      </c>
      <c r="I97" s="2" t="s">
        <v>84</v>
      </c>
      <c r="J97" s="2" t="s">
        <v>444</v>
      </c>
      <c r="K97" s="2" t="s">
        <v>288</v>
      </c>
      <c r="L97" s="2" t="s">
        <v>65</v>
      </c>
      <c r="M97" s="2" t="s">
        <v>697</v>
      </c>
      <c r="N97" s="2" t="s">
        <v>1269</v>
      </c>
      <c r="O97" s="2" t="s">
        <v>60</v>
      </c>
      <c r="P97" s="2">
        <v>3</v>
      </c>
      <c r="Q97" s="2" t="s">
        <v>17</v>
      </c>
      <c r="R97" s="2" t="s">
        <v>29</v>
      </c>
      <c r="S97" s="2" t="s">
        <v>65</v>
      </c>
      <c r="T97" s="2" t="s">
        <v>699</v>
      </c>
    </row>
    <row r="98" spans="1:20" ht="114">
      <c r="A98" s="2" t="s">
        <v>1270</v>
      </c>
      <c r="B98" s="2" t="s">
        <v>445</v>
      </c>
      <c r="C98" s="2" t="s">
        <v>82</v>
      </c>
      <c r="D98" s="2" t="s">
        <v>1271</v>
      </c>
      <c r="E98" s="2" t="s">
        <v>1272</v>
      </c>
      <c r="F98" s="2" t="s">
        <v>1273</v>
      </c>
      <c r="G98" s="2" t="s">
        <v>695</v>
      </c>
      <c r="H98" s="2" t="s">
        <v>1274</v>
      </c>
      <c r="I98" s="2" t="s">
        <v>84</v>
      </c>
      <c r="J98" s="2" t="s">
        <v>449</v>
      </c>
      <c r="K98" s="2" t="s">
        <v>65</v>
      </c>
      <c r="L98" s="2" t="s">
        <v>65</v>
      </c>
      <c r="M98" s="2" t="s">
        <v>697</v>
      </c>
      <c r="N98" s="2" t="s">
        <v>1275</v>
      </c>
      <c r="O98" s="2" t="s">
        <v>60</v>
      </c>
      <c r="P98" s="2">
        <v>1</v>
      </c>
      <c r="Q98" s="2" t="s">
        <v>17</v>
      </c>
      <c r="R98" s="2" t="s">
        <v>29</v>
      </c>
      <c r="S98" s="2" t="s">
        <v>65</v>
      </c>
      <c r="T98" s="2" t="s">
        <v>699</v>
      </c>
    </row>
    <row r="99" spans="1:20" ht="114">
      <c r="A99" s="2" t="s">
        <v>1276</v>
      </c>
      <c r="B99" s="2" t="s">
        <v>445</v>
      </c>
      <c r="C99" s="2" t="s">
        <v>82</v>
      </c>
      <c r="D99" s="2" t="s">
        <v>1277</v>
      </c>
      <c r="E99" s="2" t="s">
        <v>1278</v>
      </c>
      <c r="F99" s="2" t="s">
        <v>1279</v>
      </c>
      <c r="G99" s="2" t="s">
        <v>695</v>
      </c>
      <c r="H99" s="2" t="s">
        <v>1280</v>
      </c>
      <c r="I99" s="2" t="s">
        <v>84</v>
      </c>
      <c r="J99" s="2" t="s">
        <v>449</v>
      </c>
      <c r="K99" s="2" t="s">
        <v>65</v>
      </c>
      <c r="L99" s="2" t="s">
        <v>65</v>
      </c>
      <c r="M99" s="2" t="s">
        <v>697</v>
      </c>
      <c r="N99" s="2" t="s">
        <v>1281</v>
      </c>
      <c r="O99" s="2" t="s">
        <v>60</v>
      </c>
      <c r="P99" s="2">
        <v>2</v>
      </c>
      <c r="Q99" s="2" t="s">
        <v>17</v>
      </c>
      <c r="R99" s="2" t="s">
        <v>29</v>
      </c>
      <c r="S99" s="2" t="s">
        <v>65</v>
      </c>
      <c r="T99" s="2" t="s">
        <v>699</v>
      </c>
    </row>
    <row r="100" spans="1:20" ht="114">
      <c r="A100" s="2" t="s">
        <v>1282</v>
      </c>
      <c r="B100" s="2" t="s">
        <v>445</v>
      </c>
      <c r="C100" s="2" t="s">
        <v>82</v>
      </c>
      <c r="D100" s="2" t="s">
        <v>1283</v>
      </c>
      <c r="E100" s="2" t="s">
        <v>1284</v>
      </c>
      <c r="F100" s="2" t="s">
        <v>1285</v>
      </c>
      <c r="G100" s="2" t="s">
        <v>695</v>
      </c>
      <c r="H100" s="2" t="s">
        <v>1286</v>
      </c>
      <c r="I100" s="2" t="s">
        <v>84</v>
      </c>
      <c r="J100" s="2" t="s">
        <v>449</v>
      </c>
      <c r="K100" s="2" t="s">
        <v>65</v>
      </c>
      <c r="L100" s="2" t="s">
        <v>65</v>
      </c>
      <c r="M100" s="2" t="s">
        <v>697</v>
      </c>
      <c r="N100" s="2" t="s">
        <v>1287</v>
      </c>
      <c r="O100" s="2" t="s">
        <v>60</v>
      </c>
      <c r="P100" s="2">
        <v>3</v>
      </c>
      <c r="Q100" s="2" t="s">
        <v>17</v>
      </c>
      <c r="R100" s="2" t="s">
        <v>29</v>
      </c>
      <c r="S100" s="2" t="s">
        <v>65</v>
      </c>
      <c r="T100" s="2" t="s">
        <v>699</v>
      </c>
    </row>
    <row r="101" spans="1:20" ht="114">
      <c r="A101" s="2" t="s">
        <v>1288</v>
      </c>
      <c r="B101" s="2" t="s">
        <v>450</v>
      </c>
      <c r="C101" s="2" t="s">
        <v>82</v>
      </c>
      <c r="D101" s="2" t="s">
        <v>1289</v>
      </c>
      <c r="E101" s="2" t="s">
        <v>1290</v>
      </c>
      <c r="F101" s="2" t="s">
        <v>1291</v>
      </c>
      <c r="G101" s="2" t="s">
        <v>695</v>
      </c>
      <c r="H101" s="2" t="s">
        <v>1292</v>
      </c>
      <c r="I101" s="2" t="s">
        <v>84</v>
      </c>
      <c r="J101" s="2" t="s">
        <v>454</v>
      </c>
      <c r="K101" s="2" t="s">
        <v>65</v>
      </c>
      <c r="L101" s="2" t="s">
        <v>94</v>
      </c>
      <c r="M101" s="2" t="s">
        <v>697</v>
      </c>
      <c r="N101" s="2" t="s">
        <v>1293</v>
      </c>
      <c r="O101" s="2" t="s">
        <v>60</v>
      </c>
      <c r="P101" s="2">
        <v>1</v>
      </c>
      <c r="Q101" s="2" t="s">
        <v>17</v>
      </c>
      <c r="R101" s="2" t="s">
        <v>64</v>
      </c>
      <c r="S101" s="2" t="s">
        <v>65</v>
      </c>
      <c r="T101" s="2" t="s">
        <v>699</v>
      </c>
    </row>
    <row r="102" spans="1:20" ht="114">
      <c r="A102" s="2" t="s">
        <v>1294</v>
      </c>
      <c r="B102" s="2" t="s">
        <v>450</v>
      </c>
      <c r="C102" s="2" t="s">
        <v>82</v>
      </c>
      <c r="D102" s="2" t="s">
        <v>1295</v>
      </c>
      <c r="E102" s="2" t="s">
        <v>1296</v>
      </c>
      <c r="F102" s="2" t="s">
        <v>1297</v>
      </c>
      <c r="G102" s="2" t="s">
        <v>695</v>
      </c>
      <c r="H102" s="2" t="s">
        <v>1298</v>
      </c>
      <c r="I102" s="2" t="s">
        <v>84</v>
      </c>
      <c r="J102" s="2" t="s">
        <v>454</v>
      </c>
      <c r="K102" s="2" t="s">
        <v>65</v>
      </c>
      <c r="L102" s="2" t="s">
        <v>94</v>
      </c>
      <c r="M102" s="2" t="s">
        <v>697</v>
      </c>
      <c r="N102" s="2" t="s">
        <v>1299</v>
      </c>
      <c r="O102" s="2" t="s">
        <v>60</v>
      </c>
      <c r="P102" s="2">
        <v>2</v>
      </c>
      <c r="Q102" s="2" t="s">
        <v>17</v>
      </c>
      <c r="R102" s="2" t="s">
        <v>64</v>
      </c>
      <c r="S102" s="2" t="s">
        <v>65</v>
      </c>
      <c r="T102" s="2" t="s">
        <v>699</v>
      </c>
    </row>
    <row r="103" spans="1:20" ht="114">
      <c r="A103" s="2" t="s">
        <v>1300</v>
      </c>
      <c r="B103" s="2" t="s">
        <v>450</v>
      </c>
      <c r="C103" s="2" t="s">
        <v>82</v>
      </c>
      <c r="D103" s="2" t="s">
        <v>1301</v>
      </c>
      <c r="E103" s="2" t="s">
        <v>1302</v>
      </c>
      <c r="F103" s="2" t="s">
        <v>1303</v>
      </c>
      <c r="G103" s="2" t="s">
        <v>695</v>
      </c>
      <c r="H103" s="2" t="s">
        <v>1304</v>
      </c>
      <c r="I103" s="2" t="s">
        <v>84</v>
      </c>
      <c r="J103" s="2" t="s">
        <v>454</v>
      </c>
      <c r="K103" s="2" t="s">
        <v>65</v>
      </c>
      <c r="L103" s="2" t="s">
        <v>94</v>
      </c>
      <c r="M103" s="2" t="s">
        <v>697</v>
      </c>
      <c r="N103" s="2" t="s">
        <v>1305</v>
      </c>
      <c r="O103" s="2" t="s">
        <v>60</v>
      </c>
      <c r="P103" s="2">
        <v>3</v>
      </c>
      <c r="Q103" s="2" t="s">
        <v>17</v>
      </c>
      <c r="R103" s="2" t="s">
        <v>64</v>
      </c>
      <c r="S103" s="2" t="s">
        <v>65</v>
      </c>
      <c r="T103" s="2" t="s">
        <v>699</v>
      </c>
    </row>
    <row r="104" spans="1:20" ht="114">
      <c r="A104" s="2" t="s">
        <v>1306</v>
      </c>
      <c r="B104" s="2" t="s">
        <v>455</v>
      </c>
      <c r="C104" s="2" t="s">
        <v>82</v>
      </c>
      <c r="D104" s="2" t="s">
        <v>1307</v>
      </c>
      <c r="E104" s="2" t="s">
        <v>1308</v>
      </c>
      <c r="F104" s="2" t="s">
        <v>1309</v>
      </c>
      <c r="G104" s="2" t="s">
        <v>695</v>
      </c>
      <c r="H104" s="2" t="s">
        <v>1310</v>
      </c>
      <c r="I104" s="2" t="s">
        <v>84</v>
      </c>
      <c r="J104" s="2" t="s">
        <v>459</v>
      </c>
      <c r="K104" s="2" t="s">
        <v>94</v>
      </c>
      <c r="L104" s="2" t="s">
        <v>65</v>
      </c>
      <c r="M104" s="2" t="s">
        <v>697</v>
      </c>
      <c r="N104" s="2" t="s">
        <v>1311</v>
      </c>
      <c r="O104" s="2" t="s">
        <v>60</v>
      </c>
      <c r="P104" s="2">
        <v>1</v>
      </c>
      <c r="Q104" s="2" t="s">
        <v>17</v>
      </c>
      <c r="R104" s="2" t="s">
        <v>64</v>
      </c>
      <c r="S104" s="2" t="s">
        <v>65</v>
      </c>
      <c r="T104" s="2" t="s">
        <v>699</v>
      </c>
    </row>
    <row r="105" spans="1:20" ht="114">
      <c r="A105" s="2" t="s">
        <v>1312</v>
      </c>
      <c r="B105" s="2" t="s">
        <v>455</v>
      </c>
      <c r="C105" s="2" t="s">
        <v>82</v>
      </c>
      <c r="D105" s="2" t="s">
        <v>1313</v>
      </c>
      <c r="E105" s="2" t="s">
        <v>1314</v>
      </c>
      <c r="F105" s="2" t="s">
        <v>1315</v>
      </c>
      <c r="G105" s="2" t="s">
        <v>695</v>
      </c>
      <c r="H105" s="2" t="s">
        <v>1316</v>
      </c>
      <c r="I105" s="2" t="s">
        <v>84</v>
      </c>
      <c r="J105" s="2" t="s">
        <v>459</v>
      </c>
      <c r="K105" s="2" t="s">
        <v>94</v>
      </c>
      <c r="L105" s="2" t="s">
        <v>65</v>
      </c>
      <c r="M105" s="2" t="s">
        <v>697</v>
      </c>
      <c r="N105" s="2" t="s">
        <v>1317</v>
      </c>
      <c r="O105" s="2" t="s">
        <v>60</v>
      </c>
      <c r="P105" s="2">
        <v>2</v>
      </c>
      <c r="Q105" s="2" t="s">
        <v>17</v>
      </c>
      <c r="R105" s="2" t="s">
        <v>64</v>
      </c>
      <c r="S105" s="2" t="s">
        <v>65</v>
      </c>
      <c r="T105" s="2" t="s">
        <v>699</v>
      </c>
    </row>
    <row r="106" spans="1:20" ht="114">
      <c r="A106" s="2" t="s">
        <v>1318</v>
      </c>
      <c r="B106" s="2" t="s">
        <v>455</v>
      </c>
      <c r="C106" s="2" t="s">
        <v>82</v>
      </c>
      <c r="D106" s="2" t="s">
        <v>1319</v>
      </c>
      <c r="E106" s="2" t="s">
        <v>1320</v>
      </c>
      <c r="F106" s="2" t="s">
        <v>1321</v>
      </c>
      <c r="G106" s="2" t="s">
        <v>695</v>
      </c>
      <c r="H106" s="2" t="s">
        <v>1322</v>
      </c>
      <c r="I106" s="2" t="s">
        <v>84</v>
      </c>
      <c r="J106" s="2" t="s">
        <v>459</v>
      </c>
      <c r="K106" s="2" t="s">
        <v>94</v>
      </c>
      <c r="L106" s="2" t="s">
        <v>65</v>
      </c>
      <c r="M106" s="2" t="s">
        <v>697</v>
      </c>
      <c r="N106" s="2" t="s">
        <v>1323</v>
      </c>
      <c r="O106" s="2" t="s">
        <v>60</v>
      </c>
      <c r="P106" s="2">
        <v>3</v>
      </c>
      <c r="Q106" s="2" t="s">
        <v>17</v>
      </c>
      <c r="R106" s="2" t="s">
        <v>64</v>
      </c>
      <c r="S106" s="2" t="s">
        <v>65</v>
      </c>
      <c r="T106" s="2" t="s">
        <v>699</v>
      </c>
    </row>
    <row r="107" spans="1:20" ht="114">
      <c r="A107" s="2" t="s">
        <v>1324</v>
      </c>
      <c r="B107" s="2" t="s">
        <v>460</v>
      </c>
      <c r="C107" s="2" t="s">
        <v>82</v>
      </c>
      <c r="D107" s="2" t="s">
        <v>1325</v>
      </c>
      <c r="E107" s="2" t="s">
        <v>1326</v>
      </c>
      <c r="F107" s="2" t="s">
        <v>1327</v>
      </c>
      <c r="G107" s="2" t="s">
        <v>695</v>
      </c>
      <c r="H107" s="2" t="s">
        <v>1328</v>
      </c>
      <c r="I107" s="2" t="s">
        <v>84</v>
      </c>
      <c r="J107" s="2" t="s">
        <v>464</v>
      </c>
      <c r="K107" s="2" t="s">
        <v>65</v>
      </c>
      <c r="L107" s="2" t="s">
        <v>65</v>
      </c>
      <c r="M107" s="2" t="s">
        <v>697</v>
      </c>
      <c r="N107" s="2" t="s">
        <v>1329</v>
      </c>
      <c r="O107" s="2" t="s">
        <v>60</v>
      </c>
      <c r="P107" s="2">
        <v>1</v>
      </c>
      <c r="Q107" s="2" t="s">
        <v>17</v>
      </c>
      <c r="R107" s="2" t="s">
        <v>64</v>
      </c>
      <c r="S107" s="2" t="s">
        <v>65</v>
      </c>
      <c r="T107" s="2" t="s">
        <v>699</v>
      </c>
    </row>
    <row r="108" spans="1:20" ht="114">
      <c r="A108" s="2" t="s">
        <v>1330</v>
      </c>
      <c r="B108" s="2" t="s">
        <v>460</v>
      </c>
      <c r="C108" s="2" t="s">
        <v>82</v>
      </c>
      <c r="D108" s="2" t="s">
        <v>1331</v>
      </c>
      <c r="E108" s="2" t="s">
        <v>1332</v>
      </c>
      <c r="F108" s="2" t="s">
        <v>1333</v>
      </c>
      <c r="G108" s="2" t="s">
        <v>695</v>
      </c>
      <c r="H108" s="2" t="s">
        <v>1334</v>
      </c>
      <c r="I108" s="2" t="s">
        <v>84</v>
      </c>
      <c r="J108" s="2" t="s">
        <v>464</v>
      </c>
      <c r="K108" s="2" t="s">
        <v>65</v>
      </c>
      <c r="L108" s="2" t="s">
        <v>65</v>
      </c>
      <c r="M108" s="2" t="s">
        <v>697</v>
      </c>
      <c r="N108" s="2" t="s">
        <v>1335</v>
      </c>
      <c r="O108" s="2" t="s">
        <v>60</v>
      </c>
      <c r="P108" s="2">
        <v>2</v>
      </c>
      <c r="Q108" s="2" t="s">
        <v>17</v>
      </c>
      <c r="R108" s="2" t="s">
        <v>64</v>
      </c>
      <c r="S108" s="2" t="s">
        <v>65</v>
      </c>
      <c r="T108" s="2" t="s">
        <v>699</v>
      </c>
    </row>
    <row r="109" spans="1:20" ht="114">
      <c r="A109" s="2" t="s">
        <v>1336</v>
      </c>
      <c r="B109" s="2" t="s">
        <v>460</v>
      </c>
      <c r="C109" s="2" t="s">
        <v>82</v>
      </c>
      <c r="D109" s="2" t="s">
        <v>1337</v>
      </c>
      <c r="E109" s="2" t="s">
        <v>1338</v>
      </c>
      <c r="F109" s="2" t="s">
        <v>1339</v>
      </c>
      <c r="G109" s="2" t="s">
        <v>695</v>
      </c>
      <c r="H109" s="2" t="s">
        <v>1340</v>
      </c>
      <c r="I109" s="2" t="s">
        <v>84</v>
      </c>
      <c r="J109" s="2" t="s">
        <v>464</v>
      </c>
      <c r="K109" s="2" t="s">
        <v>65</v>
      </c>
      <c r="L109" s="2" t="s">
        <v>65</v>
      </c>
      <c r="M109" s="2" t="s">
        <v>697</v>
      </c>
      <c r="N109" s="2" t="s">
        <v>1341</v>
      </c>
      <c r="O109" s="2" t="s">
        <v>60</v>
      </c>
      <c r="P109" s="2">
        <v>3</v>
      </c>
      <c r="Q109" s="2" t="s">
        <v>17</v>
      </c>
      <c r="R109" s="2" t="s">
        <v>64</v>
      </c>
      <c r="S109" s="2" t="s">
        <v>65</v>
      </c>
      <c r="T109" s="2" t="s">
        <v>699</v>
      </c>
    </row>
    <row r="110" spans="1:20" ht="114">
      <c r="A110" s="2" t="s">
        <v>1342</v>
      </c>
      <c r="B110" s="2" t="s">
        <v>465</v>
      </c>
      <c r="C110" s="2" t="s">
        <v>82</v>
      </c>
      <c r="D110" s="2" t="s">
        <v>1343</v>
      </c>
      <c r="E110" s="2" t="s">
        <v>1344</v>
      </c>
      <c r="F110" s="2" t="s">
        <v>1345</v>
      </c>
      <c r="G110" s="2" t="s">
        <v>695</v>
      </c>
      <c r="H110" s="2" t="s">
        <v>1346</v>
      </c>
      <c r="I110" s="2" t="s">
        <v>84</v>
      </c>
      <c r="J110" s="2" t="s">
        <v>470</v>
      </c>
      <c r="K110" s="2" t="s">
        <v>65</v>
      </c>
      <c r="L110" s="2" t="s">
        <v>94</v>
      </c>
      <c r="M110" s="2" t="s">
        <v>697</v>
      </c>
      <c r="N110" s="2" t="s">
        <v>1347</v>
      </c>
      <c r="O110" s="2" t="s">
        <v>60</v>
      </c>
      <c r="P110" s="2">
        <v>1</v>
      </c>
      <c r="Q110" s="2" t="s">
        <v>17</v>
      </c>
      <c r="R110" s="2" t="s">
        <v>157</v>
      </c>
      <c r="S110" s="2" t="s">
        <v>65</v>
      </c>
      <c r="T110" s="2" t="s">
        <v>699</v>
      </c>
    </row>
    <row r="111" spans="1:20" ht="114">
      <c r="A111" s="2" t="s">
        <v>1348</v>
      </c>
      <c r="B111" s="2" t="s">
        <v>465</v>
      </c>
      <c r="C111" s="2" t="s">
        <v>82</v>
      </c>
      <c r="D111" s="2" t="s">
        <v>1349</v>
      </c>
      <c r="E111" s="2" t="s">
        <v>1350</v>
      </c>
      <c r="F111" s="2" t="s">
        <v>1351</v>
      </c>
      <c r="G111" s="2" t="s">
        <v>695</v>
      </c>
      <c r="H111" s="2" t="s">
        <v>1352</v>
      </c>
      <c r="I111" s="2" t="s">
        <v>84</v>
      </c>
      <c r="J111" s="2" t="s">
        <v>470</v>
      </c>
      <c r="K111" s="2" t="s">
        <v>65</v>
      </c>
      <c r="L111" s="2" t="s">
        <v>94</v>
      </c>
      <c r="M111" s="2" t="s">
        <v>697</v>
      </c>
      <c r="N111" s="2" t="s">
        <v>1353</v>
      </c>
      <c r="O111" s="2" t="s">
        <v>60</v>
      </c>
      <c r="P111" s="2">
        <v>2</v>
      </c>
      <c r="Q111" s="2" t="s">
        <v>17</v>
      </c>
      <c r="R111" s="2" t="s">
        <v>157</v>
      </c>
      <c r="S111" s="2" t="s">
        <v>65</v>
      </c>
      <c r="T111" s="2" t="s">
        <v>699</v>
      </c>
    </row>
    <row r="112" spans="1:20" ht="114">
      <c r="A112" s="2" t="s">
        <v>1354</v>
      </c>
      <c r="B112" s="2" t="s">
        <v>465</v>
      </c>
      <c r="C112" s="2" t="s">
        <v>82</v>
      </c>
      <c r="D112" s="2" t="s">
        <v>1355</v>
      </c>
      <c r="E112" s="2" t="s">
        <v>1356</v>
      </c>
      <c r="F112" s="2" t="s">
        <v>1357</v>
      </c>
      <c r="G112" s="2" t="s">
        <v>695</v>
      </c>
      <c r="H112" s="2" t="s">
        <v>1358</v>
      </c>
      <c r="I112" s="2" t="s">
        <v>84</v>
      </c>
      <c r="J112" s="2" t="s">
        <v>470</v>
      </c>
      <c r="K112" s="2" t="s">
        <v>65</v>
      </c>
      <c r="L112" s="2" t="s">
        <v>94</v>
      </c>
      <c r="M112" s="2" t="s">
        <v>697</v>
      </c>
      <c r="N112" s="2" t="s">
        <v>1359</v>
      </c>
      <c r="O112" s="2" t="s">
        <v>60</v>
      </c>
      <c r="P112" s="2">
        <v>3</v>
      </c>
      <c r="Q112" s="2" t="s">
        <v>17</v>
      </c>
      <c r="R112" s="2" t="s">
        <v>157</v>
      </c>
      <c r="S112" s="2" t="s">
        <v>65</v>
      </c>
      <c r="T112" s="2" t="s">
        <v>699</v>
      </c>
    </row>
    <row r="113" spans="1:20" ht="114">
      <c r="A113" s="2" t="s">
        <v>1360</v>
      </c>
      <c r="B113" s="2" t="s">
        <v>471</v>
      </c>
      <c r="C113" s="2" t="s">
        <v>87</v>
      </c>
      <c r="D113" s="2" t="s">
        <v>1361</v>
      </c>
      <c r="E113" s="2" t="s">
        <v>1362</v>
      </c>
      <c r="F113" s="2" t="s">
        <v>1363</v>
      </c>
      <c r="G113" s="2" t="s">
        <v>695</v>
      </c>
      <c r="H113" s="2" t="s">
        <v>1364</v>
      </c>
      <c r="I113" s="2" t="s">
        <v>89</v>
      </c>
      <c r="J113" s="2" t="s">
        <v>475</v>
      </c>
      <c r="K113" s="2" t="s">
        <v>288</v>
      </c>
      <c r="L113" s="2" t="s">
        <v>65</v>
      </c>
      <c r="M113" s="2" t="s">
        <v>697</v>
      </c>
      <c r="N113" s="2" t="s">
        <v>1365</v>
      </c>
      <c r="O113" s="2" t="s">
        <v>60</v>
      </c>
      <c r="P113" s="2">
        <v>1</v>
      </c>
      <c r="Q113" s="2" t="s">
        <v>17</v>
      </c>
      <c r="R113" s="2" t="s">
        <v>29</v>
      </c>
      <c r="S113" s="2" t="s">
        <v>65</v>
      </c>
      <c r="T113" s="2" t="s">
        <v>699</v>
      </c>
    </row>
    <row r="114" spans="1:20" ht="114">
      <c r="A114" s="2" t="s">
        <v>1366</v>
      </c>
      <c r="B114" s="2" t="s">
        <v>471</v>
      </c>
      <c r="C114" s="2" t="s">
        <v>87</v>
      </c>
      <c r="D114" s="2" t="s">
        <v>1367</v>
      </c>
      <c r="E114" s="2" t="s">
        <v>1368</v>
      </c>
      <c r="F114" s="2" t="s">
        <v>1369</v>
      </c>
      <c r="G114" s="2" t="s">
        <v>695</v>
      </c>
      <c r="H114" s="2" t="s">
        <v>1370</v>
      </c>
      <c r="I114" s="2" t="s">
        <v>89</v>
      </c>
      <c r="J114" s="2" t="s">
        <v>475</v>
      </c>
      <c r="K114" s="2" t="s">
        <v>288</v>
      </c>
      <c r="L114" s="2" t="s">
        <v>65</v>
      </c>
      <c r="M114" s="2" t="s">
        <v>697</v>
      </c>
      <c r="N114" s="2" t="s">
        <v>1371</v>
      </c>
      <c r="O114" s="2" t="s">
        <v>60</v>
      </c>
      <c r="P114" s="2">
        <v>2</v>
      </c>
      <c r="Q114" s="2" t="s">
        <v>17</v>
      </c>
      <c r="R114" s="2" t="s">
        <v>29</v>
      </c>
      <c r="S114" s="2" t="s">
        <v>65</v>
      </c>
      <c r="T114" s="2" t="s">
        <v>699</v>
      </c>
    </row>
    <row r="115" spans="1:20" ht="114">
      <c r="A115" s="2" t="s">
        <v>1372</v>
      </c>
      <c r="B115" s="2" t="s">
        <v>471</v>
      </c>
      <c r="C115" s="2" t="s">
        <v>87</v>
      </c>
      <c r="D115" s="2" t="s">
        <v>1373</v>
      </c>
      <c r="E115" s="2" t="s">
        <v>1374</v>
      </c>
      <c r="F115" s="2" t="s">
        <v>1375</v>
      </c>
      <c r="G115" s="2" t="s">
        <v>695</v>
      </c>
      <c r="H115" s="2" t="s">
        <v>1376</v>
      </c>
      <c r="I115" s="2" t="s">
        <v>89</v>
      </c>
      <c r="J115" s="2" t="s">
        <v>475</v>
      </c>
      <c r="K115" s="2" t="s">
        <v>288</v>
      </c>
      <c r="L115" s="2" t="s">
        <v>65</v>
      </c>
      <c r="M115" s="2" t="s">
        <v>697</v>
      </c>
      <c r="N115" s="2" t="s">
        <v>1377</v>
      </c>
      <c r="O115" s="2" t="s">
        <v>60</v>
      </c>
      <c r="P115" s="2">
        <v>3</v>
      </c>
      <c r="Q115" s="2" t="s">
        <v>17</v>
      </c>
      <c r="R115" s="2" t="s">
        <v>29</v>
      </c>
      <c r="S115" s="2" t="s">
        <v>65</v>
      </c>
      <c r="T115" s="2" t="s">
        <v>699</v>
      </c>
    </row>
    <row r="116" spans="1:20" ht="114">
      <c r="A116" s="2" t="s">
        <v>1378</v>
      </c>
      <c r="B116" s="2" t="s">
        <v>476</v>
      </c>
      <c r="C116" s="2" t="s">
        <v>87</v>
      </c>
      <c r="D116" s="2" t="s">
        <v>1379</v>
      </c>
      <c r="E116" s="2" t="s">
        <v>1380</v>
      </c>
      <c r="F116" s="2" t="s">
        <v>1381</v>
      </c>
      <c r="G116" s="2" t="s">
        <v>695</v>
      </c>
      <c r="H116" s="2" t="s">
        <v>1382</v>
      </c>
      <c r="I116" s="2" t="s">
        <v>89</v>
      </c>
      <c r="J116" s="2" t="s">
        <v>480</v>
      </c>
      <c r="K116" s="2" t="s">
        <v>65</v>
      </c>
      <c r="L116" s="2" t="s">
        <v>65</v>
      </c>
      <c r="M116" s="2" t="s">
        <v>697</v>
      </c>
      <c r="N116" s="2" t="s">
        <v>1383</v>
      </c>
      <c r="O116" s="2" t="s">
        <v>60</v>
      </c>
      <c r="P116" s="2">
        <v>1</v>
      </c>
      <c r="Q116" s="2" t="s">
        <v>17</v>
      </c>
      <c r="R116" s="2" t="s">
        <v>29</v>
      </c>
      <c r="S116" s="2" t="s">
        <v>65</v>
      </c>
      <c r="T116" s="2" t="s">
        <v>699</v>
      </c>
    </row>
    <row r="117" spans="1:20" ht="114">
      <c r="A117" s="2" t="s">
        <v>1384</v>
      </c>
      <c r="B117" s="2" t="s">
        <v>476</v>
      </c>
      <c r="C117" s="2" t="s">
        <v>87</v>
      </c>
      <c r="D117" s="2" t="s">
        <v>1385</v>
      </c>
      <c r="E117" s="2" t="s">
        <v>1386</v>
      </c>
      <c r="F117" s="2" t="s">
        <v>1387</v>
      </c>
      <c r="G117" s="2" t="s">
        <v>695</v>
      </c>
      <c r="H117" s="2" t="s">
        <v>1388</v>
      </c>
      <c r="I117" s="2" t="s">
        <v>89</v>
      </c>
      <c r="J117" s="2" t="s">
        <v>480</v>
      </c>
      <c r="K117" s="2" t="s">
        <v>65</v>
      </c>
      <c r="L117" s="2" t="s">
        <v>65</v>
      </c>
      <c r="M117" s="2" t="s">
        <v>697</v>
      </c>
      <c r="N117" s="2" t="s">
        <v>1389</v>
      </c>
      <c r="O117" s="2" t="s">
        <v>60</v>
      </c>
      <c r="P117" s="2">
        <v>2</v>
      </c>
      <c r="Q117" s="2" t="s">
        <v>17</v>
      </c>
      <c r="R117" s="2" t="s">
        <v>29</v>
      </c>
      <c r="S117" s="2" t="s">
        <v>65</v>
      </c>
      <c r="T117" s="2" t="s">
        <v>699</v>
      </c>
    </row>
    <row r="118" spans="1:20" ht="114">
      <c r="A118" s="2" t="s">
        <v>1390</v>
      </c>
      <c r="B118" s="2" t="s">
        <v>476</v>
      </c>
      <c r="C118" s="2" t="s">
        <v>87</v>
      </c>
      <c r="D118" s="2" t="s">
        <v>1391</v>
      </c>
      <c r="E118" s="2" t="s">
        <v>1392</v>
      </c>
      <c r="F118" s="2" t="s">
        <v>1393</v>
      </c>
      <c r="G118" s="2" t="s">
        <v>695</v>
      </c>
      <c r="H118" s="2" t="s">
        <v>1394</v>
      </c>
      <c r="I118" s="2" t="s">
        <v>89</v>
      </c>
      <c r="J118" s="2" t="s">
        <v>480</v>
      </c>
      <c r="K118" s="2" t="s">
        <v>65</v>
      </c>
      <c r="L118" s="2" t="s">
        <v>65</v>
      </c>
      <c r="M118" s="2" t="s">
        <v>697</v>
      </c>
      <c r="N118" s="2" t="s">
        <v>1395</v>
      </c>
      <c r="O118" s="2" t="s">
        <v>60</v>
      </c>
      <c r="P118" s="2">
        <v>3</v>
      </c>
      <c r="Q118" s="2" t="s">
        <v>17</v>
      </c>
      <c r="R118" s="2" t="s">
        <v>29</v>
      </c>
      <c r="S118" s="2" t="s">
        <v>65</v>
      </c>
      <c r="T118" s="2" t="s">
        <v>699</v>
      </c>
    </row>
    <row r="119" spans="1:20" ht="114">
      <c r="A119" s="2" t="s">
        <v>1396</v>
      </c>
      <c r="B119" s="2" t="s">
        <v>481</v>
      </c>
      <c r="C119" s="2" t="s">
        <v>87</v>
      </c>
      <c r="D119" s="2" t="s">
        <v>1397</v>
      </c>
      <c r="E119" s="2" t="s">
        <v>1398</v>
      </c>
      <c r="F119" s="2" t="s">
        <v>1399</v>
      </c>
      <c r="G119" s="2" t="s">
        <v>695</v>
      </c>
      <c r="H119" s="2" t="s">
        <v>1400</v>
      </c>
      <c r="I119" s="2" t="s">
        <v>89</v>
      </c>
      <c r="J119" s="2" t="s">
        <v>485</v>
      </c>
      <c r="K119" s="2" t="s">
        <v>65</v>
      </c>
      <c r="L119" s="2" t="s">
        <v>65</v>
      </c>
      <c r="M119" s="2" t="s">
        <v>697</v>
      </c>
      <c r="N119" s="2" t="s">
        <v>1401</v>
      </c>
      <c r="O119" s="2" t="s">
        <v>60</v>
      </c>
      <c r="P119" s="2">
        <v>1</v>
      </c>
      <c r="Q119" s="2" t="s">
        <v>17</v>
      </c>
      <c r="R119" s="2" t="s">
        <v>353</v>
      </c>
      <c r="S119" s="2" t="s">
        <v>65</v>
      </c>
      <c r="T119" s="2" t="s">
        <v>699</v>
      </c>
    </row>
    <row r="120" spans="1:20" ht="114">
      <c r="A120" s="2" t="s">
        <v>1402</v>
      </c>
      <c r="B120" s="2" t="s">
        <v>481</v>
      </c>
      <c r="C120" s="2" t="s">
        <v>87</v>
      </c>
      <c r="D120" s="2" t="s">
        <v>1403</v>
      </c>
      <c r="E120" s="2" t="s">
        <v>1404</v>
      </c>
      <c r="F120" s="2" t="s">
        <v>1405</v>
      </c>
      <c r="G120" s="2" t="s">
        <v>695</v>
      </c>
      <c r="H120" s="2" t="s">
        <v>1406</v>
      </c>
      <c r="I120" s="2" t="s">
        <v>89</v>
      </c>
      <c r="J120" s="2" t="s">
        <v>485</v>
      </c>
      <c r="K120" s="2" t="s">
        <v>65</v>
      </c>
      <c r="L120" s="2" t="s">
        <v>65</v>
      </c>
      <c r="M120" s="2" t="s">
        <v>697</v>
      </c>
      <c r="N120" s="2" t="s">
        <v>1407</v>
      </c>
      <c r="O120" s="2" t="s">
        <v>60</v>
      </c>
      <c r="P120" s="2">
        <v>2</v>
      </c>
      <c r="Q120" s="2" t="s">
        <v>17</v>
      </c>
      <c r="R120" s="2" t="s">
        <v>353</v>
      </c>
      <c r="S120" s="2" t="s">
        <v>65</v>
      </c>
      <c r="T120" s="2" t="s">
        <v>699</v>
      </c>
    </row>
    <row r="121" spans="1:20" ht="114">
      <c r="A121" s="2" t="s">
        <v>1408</v>
      </c>
      <c r="B121" s="2" t="s">
        <v>481</v>
      </c>
      <c r="C121" s="2" t="s">
        <v>87</v>
      </c>
      <c r="D121" s="2" t="s">
        <v>1409</v>
      </c>
      <c r="E121" s="2" t="s">
        <v>1410</v>
      </c>
      <c r="F121" s="2" t="s">
        <v>1411</v>
      </c>
      <c r="G121" s="2" t="s">
        <v>695</v>
      </c>
      <c r="H121" s="2" t="s">
        <v>1412</v>
      </c>
      <c r="I121" s="2" t="s">
        <v>89</v>
      </c>
      <c r="J121" s="2" t="s">
        <v>485</v>
      </c>
      <c r="K121" s="2" t="s">
        <v>65</v>
      </c>
      <c r="L121" s="2" t="s">
        <v>65</v>
      </c>
      <c r="M121" s="2" t="s">
        <v>697</v>
      </c>
      <c r="N121" s="2" t="s">
        <v>1413</v>
      </c>
      <c r="O121" s="2" t="s">
        <v>60</v>
      </c>
      <c r="P121" s="2">
        <v>3</v>
      </c>
      <c r="Q121" s="2" t="s">
        <v>17</v>
      </c>
      <c r="R121" s="2" t="s">
        <v>353</v>
      </c>
      <c r="S121" s="2" t="s">
        <v>65</v>
      </c>
      <c r="T121" s="2" t="s">
        <v>699</v>
      </c>
    </row>
    <row r="122" spans="1:20" ht="114">
      <c r="A122" s="2" t="s">
        <v>1414</v>
      </c>
      <c r="B122" s="2" t="s">
        <v>486</v>
      </c>
      <c r="C122" s="2" t="s">
        <v>87</v>
      </c>
      <c r="D122" s="2" t="s">
        <v>1415</v>
      </c>
      <c r="E122" s="2" t="s">
        <v>1416</v>
      </c>
      <c r="F122" s="2" t="s">
        <v>1417</v>
      </c>
      <c r="G122" s="2" t="s">
        <v>695</v>
      </c>
      <c r="H122" s="2" t="s">
        <v>1418</v>
      </c>
      <c r="I122" s="2" t="s">
        <v>89</v>
      </c>
      <c r="J122" s="2" t="s">
        <v>490</v>
      </c>
      <c r="K122" s="2" t="s">
        <v>65</v>
      </c>
      <c r="L122" s="2" t="s">
        <v>65</v>
      </c>
      <c r="M122" s="2" t="s">
        <v>697</v>
      </c>
      <c r="N122" s="2" t="s">
        <v>1419</v>
      </c>
      <c r="O122" s="2" t="s">
        <v>60</v>
      </c>
      <c r="P122" s="2">
        <v>1</v>
      </c>
      <c r="Q122" s="2" t="s">
        <v>17</v>
      </c>
      <c r="R122" s="2" t="s">
        <v>93</v>
      </c>
      <c r="S122" s="2" t="s">
        <v>65</v>
      </c>
      <c r="T122" s="2" t="s">
        <v>699</v>
      </c>
    </row>
    <row r="123" spans="1:20" ht="114">
      <c r="A123" s="2" t="s">
        <v>1420</v>
      </c>
      <c r="B123" s="2" t="s">
        <v>486</v>
      </c>
      <c r="C123" s="2" t="s">
        <v>87</v>
      </c>
      <c r="D123" s="2" t="s">
        <v>1421</v>
      </c>
      <c r="E123" s="2" t="s">
        <v>1422</v>
      </c>
      <c r="F123" s="2" t="s">
        <v>1423</v>
      </c>
      <c r="G123" s="2" t="s">
        <v>695</v>
      </c>
      <c r="H123" s="2" t="s">
        <v>1424</v>
      </c>
      <c r="I123" s="2" t="s">
        <v>89</v>
      </c>
      <c r="J123" s="2" t="s">
        <v>490</v>
      </c>
      <c r="K123" s="2" t="s">
        <v>65</v>
      </c>
      <c r="L123" s="2" t="s">
        <v>65</v>
      </c>
      <c r="M123" s="2" t="s">
        <v>697</v>
      </c>
      <c r="N123" s="2" t="s">
        <v>1425</v>
      </c>
      <c r="O123" s="2" t="s">
        <v>60</v>
      </c>
      <c r="P123" s="2">
        <v>2</v>
      </c>
      <c r="Q123" s="2" t="s">
        <v>17</v>
      </c>
      <c r="R123" s="2" t="s">
        <v>93</v>
      </c>
      <c r="S123" s="2" t="s">
        <v>65</v>
      </c>
      <c r="T123" s="2" t="s">
        <v>699</v>
      </c>
    </row>
    <row r="124" spans="1:20" ht="114">
      <c r="A124" s="2" t="s">
        <v>1426</v>
      </c>
      <c r="B124" s="2" t="s">
        <v>486</v>
      </c>
      <c r="C124" s="2" t="s">
        <v>87</v>
      </c>
      <c r="D124" s="2" t="s">
        <v>1427</v>
      </c>
      <c r="E124" s="2" t="s">
        <v>1428</v>
      </c>
      <c r="F124" s="2" t="s">
        <v>1429</v>
      </c>
      <c r="G124" s="2" t="s">
        <v>695</v>
      </c>
      <c r="H124" s="2" t="s">
        <v>1430</v>
      </c>
      <c r="I124" s="2" t="s">
        <v>89</v>
      </c>
      <c r="J124" s="2" t="s">
        <v>490</v>
      </c>
      <c r="K124" s="2" t="s">
        <v>65</v>
      </c>
      <c r="L124" s="2" t="s">
        <v>65</v>
      </c>
      <c r="M124" s="2" t="s">
        <v>697</v>
      </c>
      <c r="N124" s="2" t="s">
        <v>1431</v>
      </c>
      <c r="O124" s="2" t="s">
        <v>60</v>
      </c>
      <c r="P124" s="2">
        <v>3</v>
      </c>
      <c r="Q124" s="2" t="s">
        <v>17</v>
      </c>
      <c r="R124" s="2" t="s">
        <v>93</v>
      </c>
      <c r="S124" s="2" t="s">
        <v>65</v>
      </c>
      <c r="T124" s="2" t="s">
        <v>699</v>
      </c>
    </row>
    <row r="125" spans="1:20" ht="114">
      <c r="A125" s="2" t="s">
        <v>1432</v>
      </c>
      <c r="B125" s="2" t="s">
        <v>491</v>
      </c>
      <c r="C125" s="2" t="s">
        <v>87</v>
      </c>
      <c r="D125" s="2" t="s">
        <v>1433</v>
      </c>
      <c r="E125" s="2" t="s">
        <v>1434</v>
      </c>
      <c r="F125" s="2" t="s">
        <v>1435</v>
      </c>
      <c r="G125" s="2" t="s">
        <v>695</v>
      </c>
      <c r="H125" s="2" t="s">
        <v>1436</v>
      </c>
      <c r="I125" s="2" t="s">
        <v>89</v>
      </c>
      <c r="J125" s="2" t="s">
        <v>495</v>
      </c>
      <c r="K125" s="2" t="s">
        <v>65</v>
      </c>
      <c r="L125" s="2" t="s">
        <v>65</v>
      </c>
      <c r="M125" s="2" t="s">
        <v>697</v>
      </c>
      <c r="N125" s="2" t="s">
        <v>1437</v>
      </c>
      <c r="O125" s="2" t="s">
        <v>60</v>
      </c>
      <c r="P125" s="2">
        <v>1</v>
      </c>
      <c r="Q125" s="2" t="s">
        <v>17</v>
      </c>
      <c r="R125" s="2" t="s">
        <v>101</v>
      </c>
      <c r="S125" s="2" t="s">
        <v>65</v>
      </c>
      <c r="T125" s="2" t="s">
        <v>699</v>
      </c>
    </row>
    <row r="126" spans="1:20" ht="114">
      <c r="A126" s="2" t="s">
        <v>1438</v>
      </c>
      <c r="B126" s="2" t="s">
        <v>491</v>
      </c>
      <c r="C126" s="2" t="s">
        <v>87</v>
      </c>
      <c r="D126" s="2" t="s">
        <v>1439</v>
      </c>
      <c r="E126" s="2" t="s">
        <v>1440</v>
      </c>
      <c r="F126" s="2" t="s">
        <v>1441</v>
      </c>
      <c r="G126" s="2" t="s">
        <v>695</v>
      </c>
      <c r="H126" s="2" t="s">
        <v>1442</v>
      </c>
      <c r="I126" s="2" t="s">
        <v>89</v>
      </c>
      <c r="J126" s="2" t="s">
        <v>495</v>
      </c>
      <c r="K126" s="2" t="s">
        <v>65</v>
      </c>
      <c r="L126" s="2" t="s">
        <v>65</v>
      </c>
      <c r="M126" s="2" t="s">
        <v>697</v>
      </c>
      <c r="N126" s="2" t="s">
        <v>1443</v>
      </c>
      <c r="O126" s="2" t="s">
        <v>60</v>
      </c>
      <c r="P126" s="2">
        <v>2</v>
      </c>
      <c r="Q126" s="2" t="s">
        <v>17</v>
      </c>
      <c r="R126" s="2" t="s">
        <v>101</v>
      </c>
      <c r="S126" s="2" t="s">
        <v>65</v>
      </c>
      <c r="T126" s="2" t="s">
        <v>699</v>
      </c>
    </row>
    <row r="127" spans="1:20" ht="114">
      <c r="A127" s="2" t="s">
        <v>1444</v>
      </c>
      <c r="B127" s="2" t="s">
        <v>491</v>
      </c>
      <c r="C127" s="2" t="s">
        <v>87</v>
      </c>
      <c r="D127" s="2" t="s">
        <v>1445</v>
      </c>
      <c r="E127" s="2" t="s">
        <v>1446</v>
      </c>
      <c r="F127" s="2" t="s">
        <v>1447</v>
      </c>
      <c r="G127" s="2" t="s">
        <v>695</v>
      </c>
      <c r="H127" s="2" t="s">
        <v>1448</v>
      </c>
      <c r="I127" s="2" t="s">
        <v>89</v>
      </c>
      <c r="J127" s="2" t="s">
        <v>495</v>
      </c>
      <c r="K127" s="2" t="s">
        <v>65</v>
      </c>
      <c r="L127" s="2" t="s">
        <v>65</v>
      </c>
      <c r="M127" s="2" t="s">
        <v>697</v>
      </c>
      <c r="N127" s="2" t="s">
        <v>1449</v>
      </c>
      <c r="O127" s="2" t="s">
        <v>60</v>
      </c>
      <c r="P127" s="2">
        <v>3</v>
      </c>
      <c r="Q127" s="2" t="s">
        <v>17</v>
      </c>
      <c r="R127" s="2" t="s">
        <v>101</v>
      </c>
      <c r="S127" s="2" t="s">
        <v>65</v>
      </c>
      <c r="T127" s="2" t="s">
        <v>699</v>
      </c>
    </row>
    <row r="128" spans="1:20" ht="114">
      <c r="A128" s="2" t="s">
        <v>1450</v>
      </c>
      <c r="B128" s="2" t="s">
        <v>496</v>
      </c>
      <c r="C128" s="2" t="s">
        <v>87</v>
      </c>
      <c r="D128" s="2" t="s">
        <v>1451</v>
      </c>
      <c r="E128" s="2" t="s">
        <v>1452</v>
      </c>
      <c r="F128" s="2" t="s">
        <v>1453</v>
      </c>
      <c r="G128" s="2" t="s">
        <v>695</v>
      </c>
      <c r="H128" s="2" t="s">
        <v>1454</v>
      </c>
      <c r="I128" s="2" t="s">
        <v>89</v>
      </c>
      <c r="J128" s="2" t="s">
        <v>500</v>
      </c>
      <c r="K128" s="2" t="s">
        <v>94</v>
      </c>
      <c r="L128" s="2" t="s">
        <v>65</v>
      </c>
      <c r="M128" s="2" t="s">
        <v>697</v>
      </c>
      <c r="N128" s="2" t="s">
        <v>1455</v>
      </c>
      <c r="O128" s="2" t="s">
        <v>60</v>
      </c>
      <c r="P128" s="2">
        <v>1</v>
      </c>
      <c r="Q128" s="2" t="s">
        <v>17</v>
      </c>
      <c r="R128" s="2" t="s">
        <v>93</v>
      </c>
      <c r="S128" s="2" t="s">
        <v>65</v>
      </c>
      <c r="T128" s="2" t="s">
        <v>699</v>
      </c>
    </row>
    <row r="129" spans="1:20" ht="114">
      <c r="A129" s="2" t="s">
        <v>1456</v>
      </c>
      <c r="B129" s="2" t="s">
        <v>496</v>
      </c>
      <c r="C129" s="2" t="s">
        <v>87</v>
      </c>
      <c r="D129" s="2" t="s">
        <v>1457</v>
      </c>
      <c r="E129" s="2" t="s">
        <v>1458</v>
      </c>
      <c r="F129" s="2" t="s">
        <v>1459</v>
      </c>
      <c r="G129" s="2" t="s">
        <v>695</v>
      </c>
      <c r="H129" s="2" t="s">
        <v>1460</v>
      </c>
      <c r="I129" s="2" t="s">
        <v>89</v>
      </c>
      <c r="J129" s="2" t="s">
        <v>500</v>
      </c>
      <c r="K129" s="2" t="s">
        <v>94</v>
      </c>
      <c r="L129" s="2" t="s">
        <v>65</v>
      </c>
      <c r="M129" s="2" t="s">
        <v>697</v>
      </c>
      <c r="N129" s="2" t="s">
        <v>1461</v>
      </c>
      <c r="O129" s="2" t="s">
        <v>60</v>
      </c>
      <c r="P129" s="2">
        <v>2</v>
      </c>
      <c r="Q129" s="2" t="s">
        <v>17</v>
      </c>
      <c r="R129" s="2" t="s">
        <v>93</v>
      </c>
      <c r="S129" s="2" t="s">
        <v>65</v>
      </c>
      <c r="T129" s="2" t="s">
        <v>699</v>
      </c>
    </row>
    <row r="130" spans="1:20" ht="114">
      <c r="A130" s="2" t="s">
        <v>1462</v>
      </c>
      <c r="B130" s="2" t="s">
        <v>496</v>
      </c>
      <c r="C130" s="2" t="s">
        <v>87</v>
      </c>
      <c r="D130" s="2" t="s">
        <v>1463</v>
      </c>
      <c r="E130" s="2" t="s">
        <v>1464</v>
      </c>
      <c r="F130" s="2" t="s">
        <v>1465</v>
      </c>
      <c r="G130" s="2" t="s">
        <v>695</v>
      </c>
      <c r="H130" s="2" t="s">
        <v>1466</v>
      </c>
      <c r="I130" s="2" t="s">
        <v>89</v>
      </c>
      <c r="J130" s="2" t="s">
        <v>500</v>
      </c>
      <c r="K130" s="2" t="s">
        <v>94</v>
      </c>
      <c r="L130" s="2" t="s">
        <v>65</v>
      </c>
      <c r="M130" s="2" t="s">
        <v>697</v>
      </c>
      <c r="N130" s="2" t="s">
        <v>1467</v>
      </c>
      <c r="O130" s="2" t="s">
        <v>60</v>
      </c>
      <c r="P130" s="2">
        <v>3</v>
      </c>
      <c r="Q130" s="2" t="s">
        <v>17</v>
      </c>
      <c r="R130" s="2" t="s">
        <v>93</v>
      </c>
      <c r="S130" s="2" t="s">
        <v>65</v>
      </c>
      <c r="T130" s="2" t="s">
        <v>699</v>
      </c>
    </row>
    <row r="131" spans="1:20" ht="114">
      <c r="A131" s="2" t="s">
        <v>1468</v>
      </c>
      <c r="B131" s="2" t="s">
        <v>501</v>
      </c>
      <c r="C131" s="2" t="s">
        <v>96</v>
      </c>
      <c r="D131" s="2" t="s">
        <v>1469</v>
      </c>
      <c r="E131" s="2" t="s">
        <v>1470</v>
      </c>
      <c r="F131" s="2" t="s">
        <v>1471</v>
      </c>
      <c r="G131" s="2" t="s">
        <v>695</v>
      </c>
      <c r="H131" s="2" t="s">
        <v>1472</v>
      </c>
      <c r="I131" s="2" t="s">
        <v>98</v>
      </c>
      <c r="J131" s="2" t="s">
        <v>505</v>
      </c>
      <c r="K131" s="2" t="s">
        <v>288</v>
      </c>
      <c r="L131" s="2" t="s">
        <v>94</v>
      </c>
      <c r="M131" s="2" t="s">
        <v>697</v>
      </c>
      <c r="N131" s="2" t="s">
        <v>1473</v>
      </c>
      <c r="O131" s="2" t="s">
        <v>60</v>
      </c>
      <c r="P131" s="2">
        <v>1</v>
      </c>
      <c r="Q131" s="2" t="s">
        <v>17</v>
      </c>
      <c r="R131" s="2" t="s">
        <v>101</v>
      </c>
      <c r="S131" s="2" t="s">
        <v>65</v>
      </c>
      <c r="T131" s="2" t="s">
        <v>699</v>
      </c>
    </row>
    <row r="132" spans="1:20" ht="114">
      <c r="A132" s="2" t="s">
        <v>1474</v>
      </c>
      <c r="B132" s="2" t="s">
        <v>501</v>
      </c>
      <c r="C132" s="2" t="s">
        <v>96</v>
      </c>
      <c r="D132" s="2" t="s">
        <v>1475</v>
      </c>
      <c r="E132" s="2" t="s">
        <v>1476</v>
      </c>
      <c r="F132" s="2" t="s">
        <v>1477</v>
      </c>
      <c r="G132" s="2" t="s">
        <v>695</v>
      </c>
      <c r="H132" s="2" t="s">
        <v>1478</v>
      </c>
      <c r="I132" s="2" t="s">
        <v>98</v>
      </c>
      <c r="J132" s="2" t="s">
        <v>505</v>
      </c>
      <c r="K132" s="2" t="s">
        <v>288</v>
      </c>
      <c r="L132" s="2" t="s">
        <v>94</v>
      </c>
      <c r="M132" s="2" t="s">
        <v>697</v>
      </c>
      <c r="N132" s="2" t="s">
        <v>1479</v>
      </c>
      <c r="O132" s="2" t="s">
        <v>60</v>
      </c>
      <c r="P132" s="2">
        <v>2</v>
      </c>
      <c r="Q132" s="2" t="s">
        <v>17</v>
      </c>
      <c r="R132" s="2" t="s">
        <v>101</v>
      </c>
      <c r="S132" s="2" t="s">
        <v>65</v>
      </c>
      <c r="T132" s="2" t="s">
        <v>699</v>
      </c>
    </row>
    <row r="133" spans="1:20" ht="114">
      <c r="A133" s="2" t="s">
        <v>1480</v>
      </c>
      <c r="B133" s="2" t="s">
        <v>501</v>
      </c>
      <c r="C133" s="2" t="s">
        <v>96</v>
      </c>
      <c r="D133" s="2" t="s">
        <v>1481</v>
      </c>
      <c r="E133" s="2" t="s">
        <v>1482</v>
      </c>
      <c r="F133" s="2" t="s">
        <v>1483</v>
      </c>
      <c r="G133" s="2" t="s">
        <v>695</v>
      </c>
      <c r="H133" s="2" t="s">
        <v>1484</v>
      </c>
      <c r="I133" s="2" t="s">
        <v>98</v>
      </c>
      <c r="J133" s="2" t="s">
        <v>505</v>
      </c>
      <c r="K133" s="2" t="s">
        <v>288</v>
      </c>
      <c r="L133" s="2" t="s">
        <v>94</v>
      </c>
      <c r="M133" s="2" t="s">
        <v>697</v>
      </c>
      <c r="N133" s="2" t="s">
        <v>1485</v>
      </c>
      <c r="O133" s="2" t="s">
        <v>60</v>
      </c>
      <c r="P133" s="2">
        <v>3</v>
      </c>
      <c r="Q133" s="2" t="s">
        <v>17</v>
      </c>
      <c r="R133" s="2" t="s">
        <v>101</v>
      </c>
      <c r="S133" s="2" t="s">
        <v>65</v>
      </c>
      <c r="T133" s="2" t="s">
        <v>699</v>
      </c>
    </row>
    <row r="134" spans="1:20" ht="114">
      <c r="A134" s="2" t="s">
        <v>1486</v>
      </c>
      <c r="B134" s="2" t="s">
        <v>506</v>
      </c>
      <c r="C134" s="2" t="s">
        <v>96</v>
      </c>
      <c r="D134" s="2" t="s">
        <v>1487</v>
      </c>
      <c r="E134" s="2" t="s">
        <v>1488</v>
      </c>
      <c r="F134" s="2" t="s">
        <v>1489</v>
      </c>
      <c r="G134" s="2" t="s">
        <v>695</v>
      </c>
      <c r="H134" s="2" t="s">
        <v>1490</v>
      </c>
      <c r="I134" s="2" t="s">
        <v>98</v>
      </c>
      <c r="J134" s="2" t="s">
        <v>414</v>
      </c>
      <c r="K134" s="2" t="s">
        <v>65</v>
      </c>
      <c r="L134" s="2" t="s">
        <v>94</v>
      </c>
      <c r="M134" s="2" t="s">
        <v>697</v>
      </c>
      <c r="N134" s="2" t="s">
        <v>1491</v>
      </c>
      <c r="O134" s="2" t="s">
        <v>60</v>
      </c>
      <c r="P134" s="2">
        <v>1</v>
      </c>
      <c r="Q134" s="2" t="s">
        <v>17</v>
      </c>
      <c r="R134" s="2" t="s">
        <v>93</v>
      </c>
      <c r="S134" s="2" t="s">
        <v>65</v>
      </c>
      <c r="T134" s="2" t="s">
        <v>699</v>
      </c>
    </row>
    <row r="135" spans="1:20" ht="114">
      <c r="A135" s="2" t="s">
        <v>1492</v>
      </c>
      <c r="B135" s="2" t="s">
        <v>506</v>
      </c>
      <c r="C135" s="2" t="s">
        <v>96</v>
      </c>
      <c r="D135" s="2" t="s">
        <v>1493</v>
      </c>
      <c r="E135" s="2" t="s">
        <v>1494</v>
      </c>
      <c r="F135" s="2" t="s">
        <v>1495</v>
      </c>
      <c r="G135" s="2" t="s">
        <v>695</v>
      </c>
      <c r="H135" s="2" t="s">
        <v>1496</v>
      </c>
      <c r="I135" s="2" t="s">
        <v>98</v>
      </c>
      <c r="J135" s="2" t="s">
        <v>414</v>
      </c>
      <c r="K135" s="2" t="s">
        <v>65</v>
      </c>
      <c r="L135" s="2" t="s">
        <v>94</v>
      </c>
      <c r="M135" s="2" t="s">
        <v>697</v>
      </c>
      <c r="N135" s="2" t="s">
        <v>1497</v>
      </c>
      <c r="O135" s="2" t="s">
        <v>60</v>
      </c>
      <c r="P135" s="2">
        <v>2</v>
      </c>
      <c r="Q135" s="2" t="s">
        <v>17</v>
      </c>
      <c r="R135" s="2" t="s">
        <v>93</v>
      </c>
      <c r="S135" s="2" t="s">
        <v>65</v>
      </c>
      <c r="T135" s="2" t="s">
        <v>699</v>
      </c>
    </row>
    <row r="136" spans="1:20" ht="114">
      <c r="A136" s="2" t="s">
        <v>1498</v>
      </c>
      <c r="B136" s="2" t="s">
        <v>506</v>
      </c>
      <c r="C136" s="2" t="s">
        <v>96</v>
      </c>
      <c r="D136" s="2" t="s">
        <v>1499</v>
      </c>
      <c r="E136" s="2" t="s">
        <v>1500</v>
      </c>
      <c r="F136" s="2" t="s">
        <v>1501</v>
      </c>
      <c r="G136" s="2" t="s">
        <v>695</v>
      </c>
      <c r="H136" s="2" t="s">
        <v>1502</v>
      </c>
      <c r="I136" s="2" t="s">
        <v>98</v>
      </c>
      <c r="J136" s="2" t="s">
        <v>414</v>
      </c>
      <c r="K136" s="2" t="s">
        <v>65</v>
      </c>
      <c r="L136" s="2" t="s">
        <v>94</v>
      </c>
      <c r="M136" s="2" t="s">
        <v>697</v>
      </c>
      <c r="N136" s="2" t="s">
        <v>1503</v>
      </c>
      <c r="O136" s="2" t="s">
        <v>60</v>
      </c>
      <c r="P136" s="2">
        <v>3</v>
      </c>
      <c r="Q136" s="2" t="s">
        <v>17</v>
      </c>
      <c r="R136" s="2" t="s">
        <v>93</v>
      </c>
      <c r="S136" s="2" t="s">
        <v>65</v>
      </c>
      <c r="T136" s="2" t="s">
        <v>699</v>
      </c>
    </row>
    <row r="137" spans="1:20" ht="114">
      <c r="A137" s="2" t="s">
        <v>1504</v>
      </c>
      <c r="B137" s="2" t="s">
        <v>510</v>
      </c>
      <c r="C137" s="2" t="s">
        <v>96</v>
      </c>
      <c r="D137" s="2" t="s">
        <v>1505</v>
      </c>
      <c r="E137" s="2" t="s">
        <v>1506</v>
      </c>
      <c r="F137" s="2" t="s">
        <v>1507</v>
      </c>
      <c r="G137" s="2" t="s">
        <v>695</v>
      </c>
      <c r="H137" s="2" t="s">
        <v>1508</v>
      </c>
      <c r="I137" s="2" t="s">
        <v>98</v>
      </c>
      <c r="J137" s="2" t="s">
        <v>514</v>
      </c>
      <c r="K137" s="2" t="s">
        <v>65</v>
      </c>
      <c r="L137" s="2" t="s">
        <v>65</v>
      </c>
      <c r="M137" s="2" t="s">
        <v>697</v>
      </c>
      <c r="N137" s="2" t="s">
        <v>1509</v>
      </c>
      <c r="O137" s="2" t="s">
        <v>60</v>
      </c>
      <c r="P137" s="2">
        <v>1</v>
      </c>
      <c r="Q137" s="2" t="s">
        <v>17</v>
      </c>
      <c r="R137" s="2" t="s">
        <v>29</v>
      </c>
      <c r="S137" s="2" t="s">
        <v>65</v>
      </c>
      <c r="T137" s="2" t="s">
        <v>699</v>
      </c>
    </row>
    <row r="138" spans="1:20" ht="114">
      <c r="A138" s="2" t="s">
        <v>1510</v>
      </c>
      <c r="B138" s="2" t="s">
        <v>510</v>
      </c>
      <c r="C138" s="2" t="s">
        <v>96</v>
      </c>
      <c r="D138" s="2" t="s">
        <v>1511</v>
      </c>
      <c r="E138" s="2" t="s">
        <v>1512</v>
      </c>
      <c r="F138" s="2" t="s">
        <v>1513</v>
      </c>
      <c r="G138" s="2" t="s">
        <v>695</v>
      </c>
      <c r="H138" s="2" t="s">
        <v>1514</v>
      </c>
      <c r="I138" s="2" t="s">
        <v>98</v>
      </c>
      <c r="J138" s="2" t="s">
        <v>514</v>
      </c>
      <c r="K138" s="2" t="s">
        <v>65</v>
      </c>
      <c r="L138" s="2" t="s">
        <v>65</v>
      </c>
      <c r="M138" s="2" t="s">
        <v>697</v>
      </c>
      <c r="N138" s="2" t="s">
        <v>1515</v>
      </c>
      <c r="O138" s="2" t="s">
        <v>60</v>
      </c>
      <c r="P138" s="2">
        <v>2</v>
      </c>
      <c r="Q138" s="2" t="s">
        <v>17</v>
      </c>
      <c r="R138" s="2" t="s">
        <v>29</v>
      </c>
      <c r="S138" s="2" t="s">
        <v>65</v>
      </c>
      <c r="T138" s="2" t="s">
        <v>699</v>
      </c>
    </row>
    <row r="139" spans="1:20" ht="114">
      <c r="A139" s="2" t="s">
        <v>1516</v>
      </c>
      <c r="B139" s="2" t="s">
        <v>510</v>
      </c>
      <c r="C139" s="2" t="s">
        <v>96</v>
      </c>
      <c r="D139" s="2" t="s">
        <v>1517</v>
      </c>
      <c r="E139" s="2" t="s">
        <v>1518</v>
      </c>
      <c r="F139" s="2" t="s">
        <v>1519</v>
      </c>
      <c r="G139" s="2" t="s">
        <v>695</v>
      </c>
      <c r="H139" s="2" t="s">
        <v>1520</v>
      </c>
      <c r="I139" s="2" t="s">
        <v>98</v>
      </c>
      <c r="J139" s="2" t="s">
        <v>514</v>
      </c>
      <c r="K139" s="2" t="s">
        <v>65</v>
      </c>
      <c r="L139" s="2" t="s">
        <v>65</v>
      </c>
      <c r="M139" s="2" t="s">
        <v>697</v>
      </c>
      <c r="N139" s="2" t="s">
        <v>1521</v>
      </c>
      <c r="O139" s="2" t="s">
        <v>60</v>
      </c>
      <c r="P139" s="2">
        <v>3</v>
      </c>
      <c r="Q139" s="2" t="s">
        <v>17</v>
      </c>
      <c r="R139" s="2" t="s">
        <v>29</v>
      </c>
      <c r="S139" s="2" t="s">
        <v>65</v>
      </c>
      <c r="T139" s="2" t="s">
        <v>699</v>
      </c>
    </row>
    <row r="140" spans="1:20" ht="114">
      <c r="A140" s="2" t="s">
        <v>1522</v>
      </c>
      <c r="B140" s="2" t="s">
        <v>515</v>
      </c>
      <c r="C140" s="2" t="s">
        <v>96</v>
      </c>
      <c r="D140" s="2" t="s">
        <v>1523</v>
      </c>
      <c r="E140" s="2" t="s">
        <v>1524</v>
      </c>
      <c r="F140" s="2" t="s">
        <v>1525</v>
      </c>
      <c r="G140" s="2" t="s">
        <v>695</v>
      </c>
      <c r="H140" s="2" t="s">
        <v>1526</v>
      </c>
      <c r="I140" s="2" t="s">
        <v>98</v>
      </c>
      <c r="J140" s="2" t="s">
        <v>519</v>
      </c>
      <c r="K140" s="2" t="s">
        <v>65</v>
      </c>
      <c r="L140" s="2" t="s">
        <v>65</v>
      </c>
      <c r="M140" s="2" t="s">
        <v>697</v>
      </c>
      <c r="N140" s="2" t="s">
        <v>1527</v>
      </c>
      <c r="O140" s="2" t="s">
        <v>60</v>
      </c>
      <c r="P140" s="2">
        <v>1</v>
      </c>
      <c r="Q140" s="2" t="s">
        <v>17</v>
      </c>
      <c r="R140" s="2" t="s">
        <v>29</v>
      </c>
      <c r="S140" s="2" t="s">
        <v>65</v>
      </c>
      <c r="T140" s="2" t="s">
        <v>699</v>
      </c>
    </row>
    <row r="141" spans="1:20" ht="114">
      <c r="A141" s="2" t="s">
        <v>1528</v>
      </c>
      <c r="B141" s="2" t="s">
        <v>515</v>
      </c>
      <c r="C141" s="2" t="s">
        <v>96</v>
      </c>
      <c r="D141" s="2" t="s">
        <v>1529</v>
      </c>
      <c r="E141" s="2" t="s">
        <v>1530</v>
      </c>
      <c r="F141" s="2" t="s">
        <v>1531</v>
      </c>
      <c r="G141" s="2" t="s">
        <v>695</v>
      </c>
      <c r="H141" s="2" t="s">
        <v>1532</v>
      </c>
      <c r="I141" s="2" t="s">
        <v>98</v>
      </c>
      <c r="J141" s="2" t="s">
        <v>519</v>
      </c>
      <c r="K141" s="2" t="s">
        <v>65</v>
      </c>
      <c r="L141" s="2" t="s">
        <v>65</v>
      </c>
      <c r="M141" s="2" t="s">
        <v>697</v>
      </c>
      <c r="N141" s="2" t="s">
        <v>1533</v>
      </c>
      <c r="O141" s="2" t="s">
        <v>60</v>
      </c>
      <c r="P141" s="2">
        <v>2</v>
      </c>
      <c r="Q141" s="2" t="s">
        <v>17</v>
      </c>
      <c r="R141" s="2" t="s">
        <v>29</v>
      </c>
      <c r="S141" s="2" t="s">
        <v>65</v>
      </c>
      <c r="T141" s="2" t="s">
        <v>699</v>
      </c>
    </row>
    <row r="142" spans="1:20" ht="114">
      <c r="A142" s="2" t="s">
        <v>1534</v>
      </c>
      <c r="B142" s="2" t="s">
        <v>515</v>
      </c>
      <c r="C142" s="2" t="s">
        <v>96</v>
      </c>
      <c r="D142" s="2" t="s">
        <v>1535</v>
      </c>
      <c r="E142" s="2" t="s">
        <v>1536</v>
      </c>
      <c r="F142" s="2" t="s">
        <v>1537</v>
      </c>
      <c r="G142" s="2" t="s">
        <v>695</v>
      </c>
      <c r="H142" s="2" t="s">
        <v>1538</v>
      </c>
      <c r="I142" s="2" t="s">
        <v>98</v>
      </c>
      <c r="J142" s="2" t="s">
        <v>519</v>
      </c>
      <c r="K142" s="2" t="s">
        <v>65</v>
      </c>
      <c r="L142" s="2" t="s">
        <v>65</v>
      </c>
      <c r="M142" s="2" t="s">
        <v>697</v>
      </c>
      <c r="N142" s="2" t="s">
        <v>1539</v>
      </c>
      <c r="O142" s="2" t="s">
        <v>60</v>
      </c>
      <c r="P142" s="2">
        <v>3</v>
      </c>
      <c r="Q142" s="2" t="s">
        <v>17</v>
      </c>
      <c r="R142" s="2" t="s">
        <v>29</v>
      </c>
      <c r="S142" s="2" t="s">
        <v>65</v>
      </c>
      <c r="T142" s="2" t="s">
        <v>699</v>
      </c>
    </row>
    <row r="143" spans="1:20" ht="114">
      <c r="A143" s="2" t="s">
        <v>1540</v>
      </c>
      <c r="B143" s="2" t="s">
        <v>520</v>
      </c>
      <c r="C143" s="2" t="s">
        <v>96</v>
      </c>
      <c r="D143" s="2" t="s">
        <v>1541</v>
      </c>
      <c r="E143" s="2" t="s">
        <v>1542</v>
      </c>
      <c r="F143" s="2" t="s">
        <v>1543</v>
      </c>
      <c r="G143" s="2" t="s">
        <v>695</v>
      </c>
      <c r="H143" s="2" t="s">
        <v>1544</v>
      </c>
      <c r="I143" s="2" t="s">
        <v>98</v>
      </c>
      <c r="J143" s="2" t="s">
        <v>524</v>
      </c>
      <c r="K143" s="2" t="s">
        <v>94</v>
      </c>
      <c r="L143" s="2" t="s">
        <v>94</v>
      </c>
      <c r="M143" s="2" t="s">
        <v>697</v>
      </c>
      <c r="N143" s="2" t="s">
        <v>1545</v>
      </c>
      <c r="O143" s="2" t="s">
        <v>60</v>
      </c>
      <c r="P143" s="2">
        <v>1</v>
      </c>
      <c r="Q143" s="2" t="s">
        <v>17</v>
      </c>
      <c r="R143" s="2" t="s">
        <v>29</v>
      </c>
      <c r="S143" s="2" t="s">
        <v>65</v>
      </c>
      <c r="T143" s="2" t="s">
        <v>699</v>
      </c>
    </row>
    <row r="144" spans="1:20" ht="114">
      <c r="A144" s="2" t="s">
        <v>1546</v>
      </c>
      <c r="B144" s="2" t="s">
        <v>520</v>
      </c>
      <c r="C144" s="2" t="s">
        <v>96</v>
      </c>
      <c r="D144" s="2" t="s">
        <v>1547</v>
      </c>
      <c r="E144" s="2" t="s">
        <v>1548</v>
      </c>
      <c r="F144" s="2" t="s">
        <v>1549</v>
      </c>
      <c r="G144" s="2" t="s">
        <v>695</v>
      </c>
      <c r="H144" s="2" t="s">
        <v>1550</v>
      </c>
      <c r="I144" s="2" t="s">
        <v>98</v>
      </c>
      <c r="J144" s="2" t="s">
        <v>524</v>
      </c>
      <c r="K144" s="2" t="s">
        <v>94</v>
      </c>
      <c r="L144" s="2" t="s">
        <v>94</v>
      </c>
      <c r="M144" s="2" t="s">
        <v>697</v>
      </c>
      <c r="N144" s="2" t="s">
        <v>1551</v>
      </c>
      <c r="O144" s="2" t="s">
        <v>60</v>
      </c>
      <c r="P144" s="2">
        <v>2</v>
      </c>
      <c r="Q144" s="2" t="s">
        <v>17</v>
      </c>
      <c r="R144" s="2" t="s">
        <v>29</v>
      </c>
      <c r="S144" s="2" t="s">
        <v>65</v>
      </c>
      <c r="T144" s="2" t="s">
        <v>699</v>
      </c>
    </row>
    <row r="145" spans="1:20" ht="114">
      <c r="A145" s="2" t="s">
        <v>1552</v>
      </c>
      <c r="B145" s="2" t="s">
        <v>520</v>
      </c>
      <c r="C145" s="2" t="s">
        <v>96</v>
      </c>
      <c r="D145" s="2" t="s">
        <v>1553</v>
      </c>
      <c r="E145" s="2" t="s">
        <v>1554</v>
      </c>
      <c r="F145" s="2" t="s">
        <v>1555</v>
      </c>
      <c r="G145" s="2" t="s">
        <v>695</v>
      </c>
      <c r="H145" s="2" t="s">
        <v>1556</v>
      </c>
      <c r="I145" s="2" t="s">
        <v>98</v>
      </c>
      <c r="J145" s="2" t="s">
        <v>524</v>
      </c>
      <c r="K145" s="2" t="s">
        <v>94</v>
      </c>
      <c r="L145" s="2" t="s">
        <v>94</v>
      </c>
      <c r="M145" s="2" t="s">
        <v>697</v>
      </c>
      <c r="N145" s="2" t="s">
        <v>1557</v>
      </c>
      <c r="O145" s="2" t="s">
        <v>60</v>
      </c>
      <c r="P145" s="2">
        <v>3</v>
      </c>
      <c r="Q145" s="2" t="s">
        <v>17</v>
      </c>
      <c r="R145" s="2" t="s">
        <v>29</v>
      </c>
      <c r="S145" s="2" t="s">
        <v>65</v>
      </c>
      <c r="T145" s="2" t="s">
        <v>699</v>
      </c>
    </row>
    <row r="146" spans="1:20" ht="114">
      <c r="A146" s="2" t="s">
        <v>1558</v>
      </c>
      <c r="B146" s="2" t="s">
        <v>525</v>
      </c>
      <c r="C146" s="2" t="s">
        <v>96</v>
      </c>
      <c r="D146" s="2" t="s">
        <v>1559</v>
      </c>
      <c r="E146" s="2" t="s">
        <v>1560</v>
      </c>
      <c r="F146" s="2" t="s">
        <v>1561</v>
      </c>
      <c r="G146" s="2" t="s">
        <v>695</v>
      </c>
      <c r="H146" s="2" t="s">
        <v>1562</v>
      </c>
      <c r="I146" s="2" t="s">
        <v>89</v>
      </c>
      <c r="J146" s="2" t="s">
        <v>529</v>
      </c>
      <c r="K146" s="2" t="s">
        <v>65</v>
      </c>
      <c r="L146" s="2" t="s">
        <v>65</v>
      </c>
      <c r="M146" s="2" t="s">
        <v>697</v>
      </c>
      <c r="N146" s="2" t="s">
        <v>1563</v>
      </c>
      <c r="O146" s="2" t="s">
        <v>60</v>
      </c>
      <c r="P146" s="2">
        <v>1</v>
      </c>
      <c r="Q146" s="2" t="s">
        <v>17</v>
      </c>
      <c r="R146" s="2" t="s">
        <v>131</v>
      </c>
      <c r="S146" s="2" t="s">
        <v>65</v>
      </c>
      <c r="T146" s="2" t="s">
        <v>699</v>
      </c>
    </row>
    <row r="147" spans="1:20" ht="114">
      <c r="A147" s="2" t="s">
        <v>1564</v>
      </c>
      <c r="B147" s="2" t="s">
        <v>525</v>
      </c>
      <c r="C147" s="2" t="s">
        <v>96</v>
      </c>
      <c r="D147" s="2" t="s">
        <v>1565</v>
      </c>
      <c r="E147" s="2" t="s">
        <v>1566</v>
      </c>
      <c r="F147" s="2" t="s">
        <v>1567</v>
      </c>
      <c r="G147" s="2" t="s">
        <v>695</v>
      </c>
      <c r="H147" s="2" t="s">
        <v>1568</v>
      </c>
      <c r="I147" s="2" t="s">
        <v>89</v>
      </c>
      <c r="J147" s="2" t="s">
        <v>529</v>
      </c>
      <c r="K147" s="2" t="s">
        <v>65</v>
      </c>
      <c r="L147" s="2" t="s">
        <v>65</v>
      </c>
      <c r="M147" s="2" t="s">
        <v>697</v>
      </c>
      <c r="N147" s="2" t="s">
        <v>1569</v>
      </c>
      <c r="O147" s="2" t="s">
        <v>60</v>
      </c>
      <c r="P147" s="2">
        <v>2</v>
      </c>
      <c r="Q147" s="2" t="s">
        <v>17</v>
      </c>
      <c r="R147" s="2" t="s">
        <v>131</v>
      </c>
      <c r="S147" s="2" t="s">
        <v>65</v>
      </c>
      <c r="T147" s="2" t="s">
        <v>699</v>
      </c>
    </row>
    <row r="148" spans="1:20" ht="114">
      <c r="A148" s="2" t="s">
        <v>1570</v>
      </c>
      <c r="B148" s="2" t="s">
        <v>525</v>
      </c>
      <c r="C148" s="2" t="s">
        <v>96</v>
      </c>
      <c r="D148" s="2" t="s">
        <v>1571</v>
      </c>
      <c r="E148" s="2" t="s">
        <v>1572</v>
      </c>
      <c r="F148" s="2" t="s">
        <v>1573</v>
      </c>
      <c r="G148" s="2" t="s">
        <v>695</v>
      </c>
      <c r="H148" s="2" t="s">
        <v>1574</v>
      </c>
      <c r="I148" s="2" t="s">
        <v>89</v>
      </c>
      <c r="J148" s="2" t="s">
        <v>529</v>
      </c>
      <c r="K148" s="2" t="s">
        <v>65</v>
      </c>
      <c r="L148" s="2" t="s">
        <v>65</v>
      </c>
      <c r="M148" s="2" t="s">
        <v>697</v>
      </c>
      <c r="N148" s="2" t="s">
        <v>1575</v>
      </c>
      <c r="O148" s="2" t="s">
        <v>60</v>
      </c>
      <c r="P148" s="2">
        <v>3</v>
      </c>
      <c r="Q148" s="2" t="s">
        <v>17</v>
      </c>
      <c r="R148" s="2" t="s">
        <v>131</v>
      </c>
      <c r="S148" s="2" t="s">
        <v>65</v>
      </c>
      <c r="T148" s="2" t="s">
        <v>699</v>
      </c>
    </row>
    <row r="149" spans="1:20" ht="114">
      <c r="A149" s="2" t="s">
        <v>1576</v>
      </c>
      <c r="B149" s="2" t="s">
        <v>530</v>
      </c>
      <c r="C149" s="2" t="s">
        <v>96</v>
      </c>
      <c r="D149" s="2" t="s">
        <v>1577</v>
      </c>
      <c r="E149" s="2" t="s">
        <v>1578</v>
      </c>
      <c r="F149" s="2" t="s">
        <v>1579</v>
      </c>
      <c r="G149" s="2" t="s">
        <v>695</v>
      </c>
      <c r="H149" s="2" t="s">
        <v>1580</v>
      </c>
      <c r="I149" s="2" t="s">
        <v>98</v>
      </c>
      <c r="J149" s="2" t="s">
        <v>534</v>
      </c>
      <c r="K149" s="2" t="s">
        <v>94</v>
      </c>
      <c r="L149" s="2" t="s">
        <v>94</v>
      </c>
      <c r="M149" s="2" t="s">
        <v>697</v>
      </c>
      <c r="N149" s="2" t="s">
        <v>1581</v>
      </c>
      <c r="O149" s="2" t="s">
        <v>60</v>
      </c>
      <c r="P149" s="2">
        <v>1</v>
      </c>
      <c r="Q149" s="2" t="s">
        <v>17</v>
      </c>
      <c r="R149" s="2" t="s">
        <v>101</v>
      </c>
      <c r="S149" s="2" t="s">
        <v>65</v>
      </c>
      <c r="T149" s="2" t="s">
        <v>699</v>
      </c>
    </row>
    <row r="150" spans="1:20" ht="114">
      <c r="A150" s="2" t="s">
        <v>1582</v>
      </c>
      <c r="B150" s="2" t="s">
        <v>530</v>
      </c>
      <c r="C150" s="2" t="s">
        <v>96</v>
      </c>
      <c r="D150" s="2" t="s">
        <v>1583</v>
      </c>
      <c r="E150" s="2" t="s">
        <v>1584</v>
      </c>
      <c r="F150" s="2" t="s">
        <v>1585</v>
      </c>
      <c r="G150" s="2" t="s">
        <v>695</v>
      </c>
      <c r="H150" s="2" t="s">
        <v>1586</v>
      </c>
      <c r="I150" s="2" t="s">
        <v>98</v>
      </c>
      <c r="J150" s="2" t="s">
        <v>534</v>
      </c>
      <c r="K150" s="2" t="s">
        <v>94</v>
      </c>
      <c r="L150" s="2" t="s">
        <v>94</v>
      </c>
      <c r="M150" s="2" t="s">
        <v>697</v>
      </c>
      <c r="N150" s="2" t="s">
        <v>1587</v>
      </c>
      <c r="O150" s="2" t="s">
        <v>60</v>
      </c>
      <c r="P150" s="2">
        <v>2</v>
      </c>
      <c r="Q150" s="2" t="s">
        <v>17</v>
      </c>
      <c r="R150" s="2" t="s">
        <v>101</v>
      </c>
      <c r="S150" s="2" t="s">
        <v>65</v>
      </c>
      <c r="T150" s="2" t="s">
        <v>699</v>
      </c>
    </row>
    <row r="151" spans="1:20" ht="114">
      <c r="A151" s="2" t="s">
        <v>1588</v>
      </c>
      <c r="B151" s="2" t="s">
        <v>530</v>
      </c>
      <c r="C151" s="2" t="s">
        <v>96</v>
      </c>
      <c r="D151" s="2" t="s">
        <v>1589</v>
      </c>
      <c r="E151" s="2" t="s">
        <v>1590</v>
      </c>
      <c r="F151" s="2" t="s">
        <v>1591</v>
      </c>
      <c r="G151" s="2" t="s">
        <v>695</v>
      </c>
      <c r="H151" s="2" t="s">
        <v>1592</v>
      </c>
      <c r="I151" s="2" t="s">
        <v>98</v>
      </c>
      <c r="J151" s="2" t="s">
        <v>534</v>
      </c>
      <c r="K151" s="2" t="s">
        <v>94</v>
      </c>
      <c r="L151" s="2" t="s">
        <v>94</v>
      </c>
      <c r="M151" s="2" t="s">
        <v>697</v>
      </c>
      <c r="N151" s="2" t="s">
        <v>1593</v>
      </c>
      <c r="O151" s="2" t="s">
        <v>60</v>
      </c>
      <c r="P151" s="2">
        <v>3</v>
      </c>
      <c r="Q151" s="2" t="s">
        <v>17</v>
      </c>
      <c r="R151" s="2" t="s">
        <v>101</v>
      </c>
      <c r="S151" s="2" t="s">
        <v>65</v>
      </c>
      <c r="T151" s="2" t="s">
        <v>699</v>
      </c>
    </row>
    <row r="152" spans="1:20" ht="114">
      <c r="A152" s="2" t="s">
        <v>1594</v>
      </c>
      <c r="B152" s="2" t="s">
        <v>535</v>
      </c>
      <c r="C152" s="2" t="s">
        <v>96</v>
      </c>
      <c r="D152" s="2" t="s">
        <v>1595</v>
      </c>
      <c r="E152" s="2" t="s">
        <v>1596</v>
      </c>
      <c r="F152" s="2" t="s">
        <v>1597</v>
      </c>
      <c r="G152" s="2" t="s">
        <v>695</v>
      </c>
      <c r="H152" s="2" t="s">
        <v>1598</v>
      </c>
      <c r="I152" s="2" t="s">
        <v>98</v>
      </c>
      <c r="J152" s="2" t="s">
        <v>539</v>
      </c>
      <c r="K152" s="2" t="s">
        <v>94</v>
      </c>
      <c r="L152" s="2" t="s">
        <v>94</v>
      </c>
      <c r="M152" s="2" t="s">
        <v>697</v>
      </c>
      <c r="N152" s="2" t="s">
        <v>1599</v>
      </c>
      <c r="O152" s="2" t="s">
        <v>60</v>
      </c>
      <c r="P152" s="2">
        <v>1</v>
      </c>
      <c r="Q152" s="2" t="s">
        <v>17</v>
      </c>
      <c r="R152" s="2" t="s">
        <v>29</v>
      </c>
      <c r="S152" s="2" t="s">
        <v>65</v>
      </c>
      <c r="T152" s="2" t="s">
        <v>699</v>
      </c>
    </row>
    <row r="153" spans="1:20" ht="114">
      <c r="A153" s="2" t="s">
        <v>1600</v>
      </c>
      <c r="B153" s="2" t="s">
        <v>535</v>
      </c>
      <c r="C153" s="2" t="s">
        <v>96</v>
      </c>
      <c r="D153" s="2" t="s">
        <v>1601</v>
      </c>
      <c r="E153" s="2" t="s">
        <v>1602</v>
      </c>
      <c r="F153" s="2" t="s">
        <v>1603</v>
      </c>
      <c r="G153" s="2" t="s">
        <v>695</v>
      </c>
      <c r="H153" s="2" t="s">
        <v>1604</v>
      </c>
      <c r="I153" s="2" t="s">
        <v>98</v>
      </c>
      <c r="J153" s="2" t="s">
        <v>539</v>
      </c>
      <c r="K153" s="2" t="s">
        <v>94</v>
      </c>
      <c r="L153" s="2" t="s">
        <v>94</v>
      </c>
      <c r="M153" s="2" t="s">
        <v>697</v>
      </c>
      <c r="N153" s="2" t="s">
        <v>1605</v>
      </c>
      <c r="O153" s="2" t="s">
        <v>60</v>
      </c>
      <c r="P153" s="2">
        <v>2</v>
      </c>
      <c r="Q153" s="2" t="s">
        <v>17</v>
      </c>
      <c r="R153" s="2" t="s">
        <v>29</v>
      </c>
      <c r="S153" s="2" t="s">
        <v>65</v>
      </c>
      <c r="T153" s="2" t="s">
        <v>699</v>
      </c>
    </row>
    <row r="154" spans="1:20" ht="114">
      <c r="A154" s="2" t="s">
        <v>1606</v>
      </c>
      <c r="B154" s="2" t="s">
        <v>535</v>
      </c>
      <c r="C154" s="2" t="s">
        <v>96</v>
      </c>
      <c r="D154" s="2" t="s">
        <v>1607</v>
      </c>
      <c r="E154" s="2" t="s">
        <v>1608</v>
      </c>
      <c r="F154" s="2" t="s">
        <v>1609</v>
      </c>
      <c r="G154" s="2" t="s">
        <v>695</v>
      </c>
      <c r="H154" s="2" t="s">
        <v>1610</v>
      </c>
      <c r="I154" s="2" t="s">
        <v>98</v>
      </c>
      <c r="J154" s="2" t="s">
        <v>539</v>
      </c>
      <c r="K154" s="2" t="s">
        <v>94</v>
      </c>
      <c r="L154" s="2" t="s">
        <v>94</v>
      </c>
      <c r="M154" s="2" t="s">
        <v>697</v>
      </c>
      <c r="N154" s="2" t="s">
        <v>1611</v>
      </c>
      <c r="O154" s="2" t="s">
        <v>60</v>
      </c>
      <c r="P154" s="2">
        <v>3</v>
      </c>
      <c r="Q154" s="2" t="s">
        <v>17</v>
      </c>
      <c r="R154" s="2" t="s">
        <v>29</v>
      </c>
      <c r="S154" s="2" t="s">
        <v>65</v>
      </c>
      <c r="T154" s="2" t="s">
        <v>699</v>
      </c>
    </row>
    <row r="155" spans="1:20" ht="114">
      <c r="A155" s="2" t="s">
        <v>1612</v>
      </c>
      <c r="B155" s="2" t="s">
        <v>540</v>
      </c>
      <c r="C155" s="2" t="s">
        <v>96</v>
      </c>
      <c r="D155" s="2" t="s">
        <v>1613</v>
      </c>
      <c r="E155" s="2" t="s">
        <v>1614</v>
      </c>
      <c r="F155" s="2" t="s">
        <v>1615</v>
      </c>
      <c r="G155" s="2" t="s">
        <v>695</v>
      </c>
      <c r="H155" s="2" t="s">
        <v>1616</v>
      </c>
      <c r="I155" s="2" t="s">
        <v>98</v>
      </c>
      <c r="J155" s="2" t="s">
        <v>251</v>
      </c>
      <c r="K155" s="2" t="s">
        <v>94</v>
      </c>
      <c r="L155" s="2" t="s">
        <v>373</v>
      </c>
      <c r="M155" s="2" t="s">
        <v>697</v>
      </c>
      <c r="N155" s="2" t="s">
        <v>1617</v>
      </c>
      <c r="O155" s="2" t="s">
        <v>60</v>
      </c>
      <c r="P155" s="2">
        <v>1</v>
      </c>
      <c r="Q155" s="2" t="s">
        <v>17</v>
      </c>
      <c r="R155" s="2" t="s">
        <v>93</v>
      </c>
      <c r="S155" s="2" t="s">
        <v>65</v>
      </c>
      <c r="T155" s="2" t="s">
        <v>699</v>
      </c>
    </row>
    <row r="156" spans="1:20" ht="114">
      <c r="A156" s="2" t="s">
        <v>1618</v>
      </c>
      <c r="B156" s="2" t="s">
        <v>540</v>
      </c>
      <c r="C156" s="2" t="s">
        <v>96</v>
      </c>
      <c r="D156" s="2" t="s">
        <v>1619</v>
      </c>
      <c r="E156" s="2" t="s">
        <v>1620</v>
      </c>
      <c r="F156" s="2" t="s">
        <v>1621</v>
      </c>
      <c r="G156" s="2" t="s">
        <v>695</v>
      </c>
      <c r="H156" s="2" t="s">
        <v>1622</v>
      </c>
      <c r="I156" s="2" t="s">
        <v>98</v>
      </c>
      <c r="J156" s="2" t="s">
        <v>251</v>
      </c>
      <c r="K156" s="2" t="s">
        <v>94</v>
      </c>
      <c r="L156" s="2" t="s">
        <v>373</v>
      </c>
      <c r="M156" s="2" t="s">
        <v>697</v>
      </c>
      <c r="N156" s="2" t="s">
        <v>1623</v>
      </c>
      <c r="O156" s="2" t="s">
        <v>60</v>
      </c>
      <c r="P156" s="2">
        <v>2</v>
      </c>
      <c r="Q156" s="2" t="s">
        <v>17</v>
      </c>
      <c r="R156" s="2" t="s">
        <v>93</v>
      </c>
      <c r="S156" s="2" t="s">
        <v>65</v>
      </c>
      <c r="T156" s="2" t="s">
        <v>699</v>
      </c>
    </row>
    <row r="157" spans="1:20" ht="114">
      <c r="A157" s="2" t="s">
        <v>1624</v>
      </c>
      <c r="B157" s="2" t="s">
        <v>540</v>
      </c>
      <c r="C157" s="2" t="s">
        <v>96</v>
      </c>
      <c r="D157" s="2" t="s">
        <v>1625</v>
      </c>
      <c r="E157" s="2" t="s">
        <v>1626</v>
      </c>
      <c r="F157" s="2" t="s">
        <v>1627</v>
      </c>
      <c r="G157" s="2" t="s">
        <v>695</v>
      </c>
      <c r="H157" s="2" t="s">
        <v>1628</v>
      </c>
      <c r="I157" s="2" t="s">
        <v>98</v>
      </c>
      <c r="J157" s="2" t="s">
        <v>251</v>
      </c>
      <c r="K157" s="2" t="s">
        <v>94</v>
      </c>
      <c r="L157" s="2" t="s">
        <v>373</v>
      </c>
      <c r="M157" s="2" t="s">
        <v>697</v>
      </c>
      <c r="N157" s="2" t="s">
        <v>1629</v>
      </c>
      <c r="O157" s="2" t="s">
        <v>60</v>
      </c>
      <c r="P157" s="2">
        <v>3</v>
      </c>
      <c r="Q157" s="2" t="s">
        <v>17</v>
      </c>
      <c r="R157" s="2" t="s">
        <v>93</v>
      </c>
      <c r="S157" s="2" t="s">
        <v>65</v>
      </c>
      <c r="T157" s="2" t="s">
        <v>699</v>
      </c>
    </row>
    <row r="158" spans="1:20" ht="114">
      <c r="A158" s="2" t="s">
        <v>1630</v>
      </c>
      <c r="B158" s="2" t="s">
        <v>544</v>
      </c>
      <c r="C158" s="2" t="s">
        <v>103</v>
      </c>
      <c r="D158" s="2" t="s">
        <v>1631</v>
      </c>
      <c r="E158" s="2" t="s">
        <v>1632</v>
      </c>
      <c r="F158" s="2" t="s">
        <v>1633</v>
      </c>
      <c r="G158" s="2" t="s">
        <v>695</v>
      </c>
      <c r="H158" s="2" t="s">
        <v>1634</v>
      </c>
      <c r="I158" s="2" t="s">
        <v>105</v>
      </c>
      <c r="J158" s="2" t="s">
        <v>548</v>
      </c>
      <c r="K158" s="2" t="s">
        <v>65</v>
      </c>
      <c r="L158" s="2" t="s">
        <v>65</v>
      </c>
      <c r="M158" s="2" t="s">
        <v>697</v>
      </c>
      <c r="N158" s="2" t="s">
        <v>1635</v>
      </c>
      <c r="O158" s="2" t="s">
        <v>60</v>
      </c>
      <c r="P158" s="2">
        <v>1</v>
      </c>
      <c r="Q158" s="2" t="s">
        <v>17</v>
      </c>
      <c r="R158" s="2" t="s">
        <v>107</v>
      </c>
      <c r="S158" s="2" t="s">
        <v>65</v>
      </c>
      <c r="T158" s="2" t="s">
        <v>699</v>
      </c>
    </row>
    <row r="159" spans="1:20" ht="114">
      <c r="A159" s="2" t="s">
        <v>1636</v>
      </c>
      <c r="B159" s="2" t="s">
        <v>544</v>
      </c>
      <c r="C159" s="2" t="s">
        <v>103</v>
      </c>
      <c r="D159" s="2" t="s">
        <v>1637</v>
      </c>
      <c r="E159" s="2" t="s">
        <v>1638</v>
      </c>
      <c r="F159" s="2" t="s">
        <v>1639</v>
      </c>
      <c r="G159" s="2" t="s">
        <v>695</v>
      </c>
      <c r="H159" s="2" t="s">
        <v>1640</v>
      </c>
      <c r="I159" s="2" t="s">
        <v>105</v>
      </c>
      <c r="J159" s="2" t="s">
        <v>548</v>
      </c>
      <c r="K159" s="2" t="s">
        <v>65</v>
      </c>
      <c r="L159" s="2" t="s">
        <v>65</v>
      </c>
      <c r="M159" s="2" t="s">
        <v>697</v>
      </c>
      <c r="N159" s="2" t="s">
        <v>1641</v>
      </c>
      <c r="O159" s="2" t="s">
        <v>60</v>
      </c>
      <c r="P159" s="2">
        <v>2</v>
      </c>
      <c r="Q159" s="2" t="s">
        <v>17</v>
      </c>
      <c r="R159" s="2" t="s">
        <v>107</v>
      </c>
      <c r="S159" s="2" t="s">
        <v>65</v>
      </c>
      <c r="T159" s="2" t="s">
        <v>699</v>
      </c>
    </row>
    <row r="160" spans="1:20" ht="114">
      <c r="A160" s="2" t="s">
        <v>1642</v>
      </c>
      <c r="B160" s="2" t="s">
        <v>544</v>
      </c>
      <c r="C160" s="2" t="s">
        <v>103</v>
      </c>
      <c r="D160" s="2" t="s">
        <v>1643</v>
      </c>
      <c r="E160" s="2" t="s">
        <v>1644</v>
      </c>
      <c r="F160" s="2" t="s">
        <v>1645</v>
      </c>
      <c r="G160" s="2" t="s">
        <v>695</v>
      </c>
      <c r="H160" s="2" t="s">
        <v>1646</v>
      </c>
      <c r="I160" s="2" t="s">
        <v>105</v>
      </c>
      <c r="J160" s="2" t="s">
        <v>548</v>
      </c>
      <c r="K160" s="2" t="s">
        <v>65</v>
      </c>
      <c r="L160" s="2" t="s">
        <v>65</v>
      </c>
      <c r="M160" s="2" t="s">
        <v>697</v>
      </c>
      <c r="N160" s="2" t="s">
        <v>1647</v>
      </c>
      <c r="O160" s="2" t="s">
        <v>60</v>
      </c>
      <c r="P160" s="2">
        <v>3</v>
      </c>
      <c r="Q160" s="2" t="s">
        <v>17</v>
      </c>
      <c r="R160" s="2" t="s">
        <v>107</v>
      </c>
      <c r="S160" s="2" t="s">
        <v>65</v>
      </c>
      <c r="T160" s="2" t="s">
        <v>699</v>
      </c>
    </row>
    <row r="161" spans="1:20" ht="114">
      <c r="A161" s="2" t="s">
        <v>1648</v>
      </c>
      <c r="B161" s="2" t="s">
        <v>549</v>
      </c>
      <c r="C161" s="2" t="s">
        <v>103</v>
      </c>
      <c r="D161" s="2" t="s">
        <v>1649</v>
      </c>
      <c r="E161" s="2" t="s">
        <v>1650</v>
      </c>
      <c r="F161" s="2" t="s">
        <v>1651</v>
      </c>
      <c r="G161" s="2" t="s">
        <v>695</v>
      </c>
      <c r="H161" s="2" t="s">
        <v>1652</v>
      </c>
      <c r="I161" s="2" t="s">
        <v>105</v>
      </c>
      <c r="J161" s="2" t="s">
        <v>553</v>
      </c>
      <c r="K161" s="2" t="s">
        <v>65</v>
      </c>
      <c r="L161" s="2" t="s">
        <v>94</v>
      </c>
      <c r="M161" s="2" t="s">
        <v>697</v>
      </c>
      <c r="N161" s="2" t="s">
        <v>1653</v>
      </c>
      <c r="O161" s="2" t="s">
        <v>60</v>
      </c>
      <c r="P161" s="2">
        <v>1</v>
      </c>
      <c r="Q161" s="2" t="s">
        <v>17</v>
      </c>
      <c r="R161" s="2" t="s">
        <v>107</v>
      </c>
      <c r="S161" s="2" t="s">
        <v>65</v>
      </c>
      <c r="T161" s="2" t="s">
        <v>699</v>
      </c>
    </row>
    <row r="162" spans="1:20" ht="114">
      <c r="A162" s="2" t="s">
        <v>1654</v>
      </c>
      <c r="B162" s="2" t="s">
        <v>549</v>
      </c>
      <c r="C162" s="2" t="s">
        <v>103</v>
      </c>
      <c r="D162" s="2" t="s">
        <v>1655</v>
      </c>
      <c r="E162" s="2" t="s">
        <v>1656</v>
      </c>
      <c r="F162" s="2" t="s">
        <v>1657</v>
      </c>
      <c r="G162" s="2" t="s">
        <v>695</v>
      </c>
      <c r="H162" s="2" t="s">
        <v>1658</v>
      </c>
      <c r="I162" s="2" t="s">
        <v>105</v>
      </c>
      <c r="J162" s="2" t="s">
        <v>553</v>
      </c>
      <c r="K162" s="2" t="s">
        <v>65</v>
      </c>
      <c r="L162" s="2" t="s">
        <v>94</v>
      </c>
      <c r="M162" s="2" t="s">
        <v>697</v>
      </c>
      <c r="N162" s="2" t="s">
        <v>1659</v>
      </c>
      <c r="O162" s="2" t="s">
        <v>60</v>
      </c>
      <c r="P162" s="2">
        <v>2</v>
      </c>
      <c r="Q162" s="2" t="s">
        <v>17</v>
      </c>
      <c r="R162" s="2" t="s">
        <v>107</v>
      </c>
      <c r="S162" s="2" t="s">
        <v>65</v>
      </c>
      <c r="T162" s="2" t="s">
        <v>699</v>
      </c>
    </row>
    <row r="163" spans="1:20" ht="114">
      <c r="A163" s="2" t="s">
        <v>1660</v>
      </c>
      <c r="B163" s="2" t="s">
        <v>549</v>
      </c>
      <c r="C163" s="2" t="s">
        <v>103</v>
      </c>
      <c r="D163" s="2" t="s">
        <v>1661</v>
      </c>
      <c r="E163" s="2" t="s">
        <v>1662</v>
      </c>
      <c r="F163" s="2" t="s">
        <v>1663</v>
      </c>
      <c r="G163" s="2" t="s">
        <v>695</v>
      </c>
      <c r="H163" s="2" t="s">
        <v>1664</v>
      </c>
      <c r="I163" s="2" t="s">
        <v>105</v>
      </c>
      <c r="J163" s="2" t="s">
        <v>553</v>
      </c>
      <c r="K163" s="2" t="s">
        <v>65</v>
      </c>
      <c r="L163" s="2" t="s">
        <v>94</v>
      </c>
      <c r="M163" s="2" t="s">
        <v>697</v>
      </c>
      <c r="N163" s="2" t="s">
        <v>1665</v>
      </c>
      <c r="O163" s="2" t="s">
        <v>60</v>
      </c>
      <c r="P163" s="2">
        <v>3</v>
      </c>
      <c r="Q163" s="2" t="s">
        <v>17</v>
      </c>
      <c r="R163" s="2" t="s">
        <v>107</v>
      </c>
      <c r="S163" s="2" t="s">
        <v>65</v>
      </c>
      <c r="T163" s="2" t="s">
        <v>699</v>
      </c>
    </row>
    <row r="164" spans="1:20" ht="114">
      <c r="A164" s="2" t="s">
        <v>1666</v>
      </c>
      <c r="B164" s="2" t="s">
        <v>554</v>
      </c>
      <c r="C164" s="2" t="s">
        <v>103</v>
      </c>
      <c r="D164" s="2" t="s">
        <v>1667</v>
      </c>
      <c r="E164" s="2" t="s">
        <v>1668</v>
      </c>
      <c r="F164" s="2" t="s">
        <v>1669</v>
      </c>
      <c r="G164" s="2" t="s">
        <v>695</v>
      </c>
      <c r="H164" s="2" t="s">
        <v>1670</v>
      </c>
      <c r="I164" s="2" t="s">
        <v>105</v>
      </c>
      <c r="J164" s="2" t="s">
        <v>558</v>
      </c>
      <c r="K164" s="2" t="s">
        <v>65</v>
      </c>
      <c r="L164" s="2" t="s">
        <v>65</v>
      </c>
      <c r="M164" s="2" t="s">
        <v>697</v>
      </c>
      <c r="N164" s="2" t="s">
        <v>1671</v>
      </c>
      <c r="O164" s="2" t="s">
        <v>60</v>
      </c>
      <c r="P164" s="2">
        <v>1</v>
      </c>
      <c r="Q164" s="2" t="s">
        <v>17</v>
      </c>
      <c r="R164" s="2" t="s">
        <v>353</v>
      </c>
      <c r="S164" s="2" t="s">
        <v>65</v>
      </c>
      <c r="T164" s="2" t="s">
        <v>699</v>
      </c>
    </row>
    <row r="165" spans="1:20" ht="114">
      <c r="A165" s="2" t="s">
        <v>1672</v>
      </c>
      <c r="B165" s="2" t="s">
        <v>554</v>
      </c>
      <c r="C165" s="2" t="s">
        <v>103</v>
      </c>
      <c r="D165" s="2" t="s">
        <v>1673</v>
      </c>
      <c r="E165" s="2" t="s">
        <v>1674</v>
      </c>
      <c r="F165" s="2" t="s">
        <v>1675</v>
      </c>
      <c r="G165" s="2" t="s">
        <v>695</v>
      </c>
      <c r="H165" s="2" t="s">
        <v>1676</v>
      </c>
      <c r="I165" s="2" t="s">
        <v>105</v>
      </c>
      <c r="J165" s="2" t="s">
        <v>558</v>
      </c>
      <c r="K165" s="2" t="s">
        <v>65</v>
      </c>
      <c r="L165" s="2" t="s">
        <v>65</v>
      </c>
      <c r="M165" s="2" t="s">
        <v>697</v>
      </c>
      <c r="N165" s="2" t="s">
        <v>1677</v>
      </c>
      <c r="O165" s="2" t="s">
        <v>60</v>
      </c>
      <c r="P165" s="2">
        <v>2</v>
      </c>
      <c r="Q165" s="2" t="s">
        <v>17</v>
      </c>
      <c r="R165" s="2" t="s">
        <v>353</v>
      </c>
      <c r="S165" s="2" t="s">
        <v>65</v>
      </c>
      <c r="T165" s="2" t="s">
        <v>699</v>
      </c>
    </row>
    <row r="166" spans="1:20" ht="114">
      <c r="A166" s="2" t="s">
        <v>1678</v>
      </c>
      <c r="B166" s="2" t="s">
        <v>554</v>
      </c>
      <c r="C166" s="2" t="s">
        <v>103</v>
      </c>
      <c r="D166" s="2" t="s">
        <v>1679</v>
      </c>
      <c r="E166" s="2" t="s">
        <v>1680</v>
      </c>
      <c r="F166" s="2" t="s">
        <v>1681</v>
      </c>
      <c r="G166" s="2" t="s">
        <v>695</v>
      </c>
      <c r="H166" s="2" t="s">
        <v>1682</v>
      </c>
      <c r="I166" s="2" t="s">
        <v>105</v>
      </c>
      <c r="J166" s="2" t="s">
        <v>558</v>
      </c>
      <c r="K166" s="2" t="s">
        <v>65</v>
      </c>
      <c r="L166" s="2" t="s">
        <v>65</v>
      </c>
      <c r="M166" s="2" t="s">
        <v>697</v>
      </c>
      <c r="N166" s="2" t="s">
        <v>1683</v>
      </c>
      <c r="O166" s="2" t="s">
        <v>60</v>
      </c>
      <c r="P166" s="2">
        <v>3</v>
      </c>
      <c r="Q166" s="2" t="s">
        <v>17</v>
      </c>
      <c r="R166" s="2" t="s">
        <v>353</v>
      </c>
      <c r="S166" s="2" t="s">
        <v>65</v>
      </c>
      <c r="T166" s="2" t="s">
        <v>699</v>
      </c>
    </row>
    <row r="167" spans="1:20" ht="114">
      <c r="A167" s="2" t="s">
        <v>1684</v>
      </c>
      <c r="B167" s="2" t="s">
        <v>559</v>
      </c>
      <c r="C167" s="2" t="s">
        <v>103</v>
      </c>
      <c r="D167" s="2" t="s">
        <v>1685</v>
      </c>
      <c r="E167" s="2" t="s">
        <v>1686</v>
      </c>
      <c r="F167" s="2" t="s">
        <v>1687</v>
      </c>
      <c r="G167" s="2" t="s">
        <v>695</v>
      </c>
      <c r="H167" s="2" t="s">
        <v>1688</v>
      </c>
      <c r="I167" s="2" t="s">
        <v>105</v>
      </c>
      <c r="J167" s="2" t="s">
        <v>563</v>
      </c>
      <c r="K167" s="2" t="s">
        <v>65</v>
      </c>
      <c r="L167" s="2" t="s">
        <v>94</v>
      </c>
      <c r="M167" s="2" t="s">
        <v>697</v>
      </c>
      <c r="N167" s="2" t="s">
        <v>1689</v>
      </c>
      <c r="O167" s="2" t="s">
        <v>60</v>
      </c>
      <c r="P167" s="2">
        <v>1</v>
      </c>
      <c r="Q167" s="2" t="s">
        <v>17</v>
      </c>
      <c r="R167" s="2" t="s">
        <v>107</v>
      </c>
      <c r="S167" s="2" t="s">
        <v>65</v>
      </c>
      <c r="T167" s="2" t="s">
        <v>699</v>
      </c>
    </row>
    <row r="168" spans="1:20" ht="114">
      <c r="A168" s="2" t="s">
        <v>1690</v>
      </c>
      <c r="B168" s="2" t="s">
        <v>559</v>
      </c>
      <c r="C168" s="2" t="s">
        <v>103</v>
      </c>
      <c r="D168" s="2" t="s">
        <v>1691</v>
      </c>
      <c r="E168" s="2" t="s">
        <v>1692</v>
      </c>
      <c r="F168" s="2" t="s">
        <v>1693</v>
      </c>
      <c r="G168" s="2" t="s">
        <v>695</v>
      </c>
      <c r="H168" s="2" t="s">
        <v>1694</v>
      </c>
      <c r="I168" s="2" t="s">
        <v>105</v>
      </c>
      <c r="J168" s="2" t="s">
        <v>563</v>
      </c>
      <c r="K168" s="2" t="s">
        <v>65</v>
      </c>
      <c r="L168" s="2" t="s">
        <v>94</v>
      </c>
      <c r="M168" s="2" t="s">
        <v>697</v>
      </c>
      <c r="N168" s="2" t="s">
        <v>1695</v>
      </c>
      <c r="O168" s="2" t="s">
        <v>60</v>
      </c>
      <c r="P168" s="2">
        <v>2</v>
      </c>
      <c r="Q168" s="2" t="s">
        <v>17</v>
      </c>
      <c r="R168" s="2" t="s">
        <v>107</v>
      </c>
      <c r="S168" s="2" t="s">
        <v>65</v>
      </c>
      <c r="T168" s="2" t="s">
        <v>699</v>
      </c>
    </row>
    <row r="169" spans="1:20" ht="114">
      <c r="A169" s="2" t="s">
        <v>1696</v>
      </c>
      <c r="B169" s="2" t="s">
        <v>559</v>
      </c>
      <c r="C169" s="2" t="s">
        <v>103</v>
      </c>
      <c r="D169" s="2" t="s">
        <v>1697</v>
      </c>
      <c r="E169" s="2" t="s">
        <v>1698</v>
      </c>
      <c r="F169" s="2" t="s">
        <v>1699</v>
      </c>
      <c r="G169" s="2" t="s">
        <v>695</v>
      </c>
      <c r="H169" s="2" t="s">
        <v>1700</v>
      </c>
      <c r="I169" s="2" t="s">
        <v>105</v>
      </c>
      <c r="J169" s="2" t="s">
        <v>563</v>
      </c>
      <c r="K169" s="2" t="s">
        <v>65</v>
      </c>
      <c r="L169" s="2" t="s">
        <v>94</v>
      </c>
      <c r="M169" s="2" t="s">
        <v>697</v>
      </c>
      <c r="N169" s="2" t="s">
        <v>1701</v>
      </c>
      <c r="O169" s="2" t="s">
        <v>60</v>
      </c>
      <c r="P169" s="2">
        <v>3</v>
      </c>
      <c r="Q169" s="2" t="s">
        <v>17</v>
      </c>
      <c r="R169" s="2" t="s">
        <v>107</v>
      </c>
      <c r="S169" s="2" t="s">
        <v>65</v>
      </c>
      <c r="T169" s="2" t="s">
        <v>699</v>
      </c>
    </row>
    <row r="170" spans="1:20" ht="114">
      <c r="A170" s="2" t="s">
        <v>1702</v>
      </c>
      <c r="B170" s="2" t="s">
        <v>564</v>
      </c>
      <c r="C170" s="2" t="s">
        <v>103</v>
      </c>
      <c r="D170" s="2" t="s">
        <v>1703</v>
      </c>
      <c r="E170" s="2" t="s">
        <v>1704</v>
      </c>
      <c r="F170" s="2" t="s">
        <v>1705</v>
      </c>
      <c r="G170" s="2" t="s">
        <v>695</v>
      </c>
      <c r="H170" s="2" t="s">
        <v>1706</v>
      </c>
      <c r="I170" s="2" t="s">
        <v>105</v>
      </c>
      <c r="J170" s="2" t="s">
        <v>568</v>
      </c>
      <c r="K170" s="2" t="s">
        <v>65</v>
      </c>
      <c r="L170" s="2" t="s">
        <v>65</v>
      </c>
      <c r="M170" s="2" t="s">
        <v>697</v>
      </c>
      <c r="N170" s="2" t="s">
        <v>1707</v>
      </c>
      <c r="O170" s="2" t="s">
        <v>60</v>
      </c>
      <c r="P170" s="2">
        <v>1</v>
      </c>
      <c r="Q170" s="2" t="s">
        <v>17</v>
      </c>
      <c r="R170" s="2" t="s">
        <v>107</v>
      </c>
      <c r="S170" s="2" t="s">
        <v>65</v>
      </c>
      <c r="T170" s="2" t="s">
        <v>699</v>
      </c>
    </row>
    <row r="171" spans="1:20" ht="114">
      <c r="A171" s="2" t="s">
        <v>1708</v>
      </c>
      <c r="B171" s="2" t="s">
        <v>564</v>
      </c>
      <c r="C171" s="2" t="s">
        <v>103</v>
      </c>
      <c r="D171" s="2" t="s">
        <v>1709</v>
      </c>
      <c r="E171" s="2" t="s">
        <v>1710</v>
      </c>
      <c r="F171" s="2" t="s">
        <v>1711</v>
      </c>
      <c r="G171" s="2" t="s">
        <v>695</v>
      </c>
      <c r="H171" s="2" t="s">
        <v>1712</v>
      </c>
      <c r="I171" s="2" t="s">
        <v>105</v>
      </c>
      <c r="J171" s="2" t="s">
        <v>568</v>
      </c>
      <c r="K171" s="2" t="s">
        <v>65</v>
      </c>
      <c r="L171" s="2" t="s">
        <v>65</v>
      </c>
      <c r="M171" s="2" t="s">
        <v>697</v>
      </c>
      <c r="N171" s="2" t="s">
        <v>1713</v>
      </c>
      <c r="O171" s="2" t="s">
        <v>60</v>
      </c>
      <c r="P171" s="2">
        <v>2</v>
      </c>
      <c r="Q171" s="2" t="s">
        <v>17</v>
      </c>
      <c r="R171" s="2" t="s">
        <v>107</v>
      </c>
      <c r="S171" s="2" t="s">
        <v>65</v>
      </c>
      <c r="T171" s="2" t="s">
        <v>699</v>
      </c>
    </row>
    <row r="172" spans="1:20" ht="114">
      <c r="A172" s="2" t="s">
        <v>1714</v>
      </c>
      <c r="B172" s="2" t="s">
        <v>564</v>
      </c>
      <c r="C172" s="2" t="s">
        <v>103</v>
      </c>
      <c r="D172" s="2" t="s">
        <v>1715</v>
      </c>
      <c r="E172" s="2" t="s">
        <v>1716</v>
      </c>
      <c r="F172" s="2" t="s">
        <v>1717</v>
      </c>
      <c r="G172" s="2" t="s">
        <v>695</v>
      </c>
      <c r="H172" s="2" t="s">
        <v>1718</v>
      </c>
      <c r="I172" s="2" t="s">
        <v>105</v>
      </c>
      <c r="J172" s="2" t="s">
        <v>568</v>
      </c>
      <c r="K172" s="2" t="s">
        <v>65</v>
      </c>
      <c r="L172" s="2" t="s">
        <v>65</v>
      </c>
      <c r="M172" s="2" t="s">
        <v>697</v>
      </c>
      <c r="N172" s="2" t="s">
        <v>1719</v>
      </c>
      <c r="O172" s="2" t="s">
        <v>60</v>
      </c>
      <c r="P172" s="2">
        <v>3</v>
      </c>
      <c r="Q172" s="2" t="s">
        <v>17</v>
      </c>
      <c r="R172" s="2" t="s">
        <v>107</v>
      </c>
      <c r="S172" s="2" t="s">
        <v>65</v>
      </c>
      <c r="T172" s="2" t="s">
        <v>699</v>
      </c>
    </row>
    <row r="173" spans="1:20" ht="114">
      <c r="A173" s="2" t="s">
        <v>1720</v>
      </c>
      <c r="B173" s="2" t="s">
        <v>569</v>
      </c>
      <c r="C173" s="2" t="s">
        <v>103</v>
      </c>
      <c r="D173" s="2" t="s">
        <v>1721</v>
      </c>
      <c r="E173" s="2" t="s">
        <v>1722</v>
      </c>
      <c r="F173" s="2" t="s">
        <v>1723</v>
      </c>
      <c r="G173" s="2" t="s">
        <v>695</v>
      </c>
      <c r="H173" s="2" t="s">
        <v>1724</v>
      </c>
      <c r="I173" s="2" t="s">
        <v>105</v>
      </c>
      <c r="J173" s="2" t="s">
        <v>573</v>
      </c>
      <c r="K173" s="2" t="s">
        <v>94</v>
      </c>
      <c r="L173" s="2" t="s">
        <v>94</v>
      </c>
      <c r="M173" s="2" t="s">
        <v>697</v>
      </c>
      <c r="N173" s="2" t="s">
        <v>1725</v>
      </c>
      <c r="O173" s="2" t="s">
        <v>60</v>
      </c>
      <c r="P173" s="2">
        <v>1</v>
      </c>
      <c r="Q173" s="2" t="s">
        <v>17</v>
      </c>
      <c r="R173" s="2" t="s">
        <v>353</v>
      </c>
      <c r="S173" s="2" t="s">
        <v>65</v>
      </c>
      <c r="T173" s="2" t="s">
        <v>699</v>
      </c>
    </row>
    <row r="174" spans="1:20" ht="114">
      <c r="A174" s="2" t="s">
        <v>1726</v>
      </c>
      <c r="B174" s="2" t="s">
        <v>569</v>
      </c>
      <c r="C174" s="2" t="s">
        <v>103</v>
      </c>
      <c r="D174" s="2" t="s">
        <v>1727</v>
      </c>
      <c r="E174" s="2" t="s">
        <v>1728</v>
      </c>
      <c r="F174" s="2" t="s">
        <v>1729</v>
      </c>
      <c r="G174" s="2" t="s">
        <v>695</v>
      </c>
      <c r="H174" s="2" t="s">
        <v>1730</v>
      </c>
      <c r="I174" s="2" t="s">
        <v>105</v>
      </c>
      <c r="J174" s="2" t="s">
        <v>573</v>
      </c>
      <c r="K174" s="2" t="s">
        <v>94</v>
      </c>
      <c r="L174" s="2" t="s">
        <v>94</v>
      </c>
      <c r="M174" s="2" t="s">
        <v>697</v>
      </c>
      <c r="N174" s="2" t="s">
        <v>1731</v>
      </c>
      <c r="O174" s="2" t="s">
        <v>60</v>
      </c>
      <c r="P174" s="2">
        <v>2</v>
      </c>
      <c r="Q174" s="2" t="s">
        <v>17</v>
      </c>
      <c r="R174" s="2" t="s">
        <v>353</v>
      </c>
      <c r="S174" s="2" t="s">
        <v>65</v>
      </c>
      <c r="T174" s="2" t="s">
        <v>699</v>
      </c>
    </row>
    <row r="175" spans="1:20" ht="114">
      <c r="A175" s="2" t="s">
        <v>1732</v>
      </c>
      <c r="B175" s="2" t="s">
        <v>569</v>
      </c>
      <c r="C175" s="2" t="s">
        <v>103</v>
      </c>
      <c r="D175" s="2" t="s">
        <v>1733</v>
      </c>
      <c r="E175" s="2" t="s">
        <v>1734</v>
      </c>
      <c r="F175" s="2" t="s">
        <v>1735</v>
      </c>
      <c r="G175" s="2" t="s">
        <v>695</v>
      </c>
      <c r="H175" s="2" t="s">
        <v>1736</v>
      </c>
      <c r="I175" s="2" t="s">
        <v>105</v>
      </c>
      <c r="J175" s="2" t="s">
        <v>573</v>
      </c>
      <c r="K175" s="2" t="s">
        <v>94</v>
      </c>
      <c r="L175" s="2" t="s">
        <v>94</v>
      </c>
      <c r="M175" s="2" t="s">
        <v>697</v>
      </c>
      <c r="N175" s="2" t="s">
        <v>1737</v>
      </c>
      <c r="O175" s="2" t="s">
        <v>60</v>
      </c>
      <c r="P175" s="2">
        <v>3</v>
      </c>
      <c r="Q175" s="2" t="s">
        <v>17</v>
      </c>
      <c r="R175" s="2" t="s">
        <v>353</v>
      </c>
      <c r="S175" s="2" t="s">
        <v>65</v>
      </c>
      <c r="T175" s="2" t="s">
        <v>699</v>
      </c>
    </row>
    <row r="176" spans="1:20" ht="114">
      <c r="A176" s="2" t="s">
        <v>1738</v>
      </c>
      <c r="B176" s="2" t="s">
        <v>574</v>
      </c>
      <c r="C176" s="2" t="s">
        <v>103</v>
      </c>
      <c r="D176" s="2" t="s">
        <v>1739</v>
      </c>
      <c r="E176" s="2" t="s">
        <v>1740</v>
      </c>
      <c r="F176" s="2" t="s">
        <v>1741</v>
      </c>
      <c r="G176" s="2" t="s">
        <v>695</v>
      </c>
      <c r="H176" s="2" t="s">
        <v>1742</v>
      </c>
      <c r="I176" s="2" t="s">
        <v>105</v>
      </c>
      <c r="J176" s="2" t="s">
        <v>260</v>
      </c>
      <c r="K176" s="2" t="s">
        <v>94</v>
      </c>
      <c r="L176" s="2" t="s">
        <v>94</v>
      </c>
      <c r="M176" s="2" t="s">
        <v>697</v>
      </c>
      <c r="N176" s="2" t="s">
        <v>1743</v>
      </c>
      <c r="O176" s="2" t="s">
        <v>60</v>
      </c>
      <c r="P176" s="2">
        <v>1</v>
      </c>
      <c r="Q176" s="2" t="s">
        <v>17</v>
      </c>
      <c r="R176" s="2" t="s">
        <v>93</v>
      </c>
      <c r="S176" s="2" t="s">
        <v>65</v>
      </c>
      <c r="T176" s="2" t="s">
        <v>699</v>
      </c>
    </row>
    <row r="177" spans="1:20" ht="114">
      <c r="A177" s="2" t="s">
        <v>1744</v>
      </c>
      <c r="B177" s="2" t="s">
        <v>574</v>
      </c>
      <c r="C177" s="2" t="s">
        <v>103</v>
      </c>
      <c r="D177" s="2" t="s">
        <v>1745</v>
      </c>
      <c r="E177" s="2" t="s">
        <v>1746</v>
      </c>
      <c r="F177" s="2" t="s">
        <v>1747</v>
      </c>
      <c r="G177" s="2" t="s">
        <v>695</v>
      </c>
      <c r="H177" s="2" t="s">
        <v>1748</v>
      </c>
      <c r="I177" s="2" t="s">
        <v>105</v>
      </c>
      <c r="J177" s="2" t="s">
        <v>260</v>
      </c>
      <c r="K177" s="2" t="s">
        <v>94</v>
      </c>
      <c r="L177" s="2" t="s">
        <v>94</v>
      </c>
      <c r="M177" s="2" t="s">
        <v>697</v>
      </c>
      <c r="N177" s="2" t="s">
        <v>1749</v>
      </c>
      <c r="O177" s="2" t="s">
        <v>60</v>
      </c>
      <c r="P177" s="2">
        <v>2</v>
      </c>
      <c r="Q177" s="2" t="s">
        <v>17</v>
      </c>
      <c r="R177" s="2" t="s">
        <v>93</v>
      </c>
      <c r="S177" s="2" t="s">
        <v>65</v>
      </c>
      <c r="T177" s="2" t="s">
        <v>699</v>
      </c>
    </row>
    <row r="178" spans="1:20" ht="114">
      <c r="A178" s="2" t="s">
        <v>1750</v>
      </c>
      <c r="B178" s="2" t="s">
        <v>574</v>
      </c>
      <c r="C178" s="2" t="s">
        <v>103</v>
      </c>
      <c r="D178" s="2" t="s">
        <v>1751</v>
      </c>
      <c r="E178" s="2" t="s">
        <v>1752</v>
      </c>
      <c r="F178" s="2" t="s">
        <v>1753</v>
      </c>
      <c r="G178" s="2" t="s">
        <v>695</v>
      </c>
      <c r="H178" s="2" t="s">
        <v>1754</v>
      </c>
      <c r="I178" s="2" t="s">
        <v>105</v>
      </c>
      <c r="J178" s="2" t="s">
        <v>260</v>
      </c>
      <c r="K178" s="2" t="s">
        <v>94</v>
      </c>
      <c r="L178" s="2" t="s">
        <v>94</v>
      </c>
      <c r="M178" s="2" t="s">
        <v>697</v>
      </c>
      <c r="N178" s="2" t="s">
        <v>1755</v>
      </c>
      <c r="O178" s="2" t="s">
        <v>60</v>
      </c>
      <c r="P178" s="2">
        <v>3</v>
      </c>
      <c r="Q178" s="2" t="s">
        <v>17</v>
      </c>
      <c r="R178" s="2" t="s">
        <v>93</v>
      </c>
      <c r="S178" s="2" t="s">
        <v>65</v>
      </c>
      <c r="T178" s="2" t="s">
        <v>699</v>
      </c>
    </row>
    <row r="179" spans="1:20" ht="114">
      <c r="A179" s="2" t="s">
        <v>1756</v>
      </c>
      <c r="B179" s="2" t="s">
        <v>578</v>
      </c>
      <c r="C179" s="2" t="s">
        <v>109</v>
      </c>
      <c r="D179" s="2" t="s">
        <v>1757</v>
      </c>
      <c r="E179" s="2" t="s">
        <v>1758</v>
      </c>
      <c r="F179" s="2" t="s">
        <v>1759</v>
      </c>
      <c r="G179" s="2" t="s">
        <v>695</v>
      </c>
      <c r="H179" s="2" t="s">
        <v>1760</v>
      </c>
      <c r="I179" s="2" t="s">
        <v>111</v>
      </c>
      <c r="J179" s="2" t="s">
        <v>582</v>
      </c>
      <c r="K179" s="2" t="s">
        <v>65</v>
      </c>
      <c r="L179" s="2" t="s">
        <v>65</v>
      </c>
      <c r="M179" s="2" t="s">
        <v>697</v>
      </c>
      <c r="N179" s="2" t="s">
        <v>1761</v>
      </c>
      <c r="O179" s="2" t="s">
        <v>60</v>
      </c>
      <c r="P179" s="2">
        <v>1</v>
      </c>
      <c r="Q179" s="2" t="s">
        <v>17</v>
      </c>
      <c r="R179" s="2" t="s">
        <v>29</v>
      </c>
      <c r="S179" s="2" t="s">
        <v>65</v>
      </c>
      <c r="T179" s="2" t="s">
        <v>699</v>
      </c>
    </row>
    <row r="180" spans="1:20" ht="114">
      <c r="A180" s="2" t="s">
        <v>1762</v>
      </c>
      <c r="B180" s="2" t="s">
        <v>578</v>
      </c>
      <c r="C180" s="2" t="s">
        <v>109</v>
      </c>
      <c r="D180" s="2" t="s">
        <v>1763</v>
      </c>
      <c r="E180" s="2" t="s">
        <v>1764</v>
      </c>
      <c r="F180" s="2" t="s">
        <v>1765</v>
      </c>
      <c r="G180" s="2" t="s">
        <v>695</v>
      </c>
      <c r="H180" s="2" t="s">
        <v>1766</v>
      </c>
      <c r="I180" s="2" t="s">
        <v>111</v>
      </c>
      <c r="J180" s="2" t="s">
        <v>582</v>
      </c>
      <c r="K180" s="2" t="s">
        <v>65</v>
      </c>
      <c r="L180" s="2" t="s">
        <v>65</v>
      </c>
      <c r="M180" s="2" t="s">
        <v>697</v>
      </c>
      <c r="N180" s="2" t="s">
        <v>1767</v>
      </c>
      <c r="O180" s="2" t="s">
        <v>60</v>
      </c>
      <c r="P180" s="2">
        <v>2</v>
      </c>
      <c r="Q180" s="2" t="s">
        <v>17</v>
      </c>
      <c r="R180" s="2" t="s">
        <v>29</v>
      </c>
      <c r="S180" s="2" t="s">
        <v>65</v>
      </c>
      <c r="T180" s="2" t="s">
        <v>699</v>
      </c>
    </row>
    <row r="181" spans="1:20" ht="114">
      <c r="A181" s="2" t="s">
        <v>1768</v>
      </c>
      <c r="B181" s="2" t="s">
        <v>578</v>
      </c>
      <c r="C181" s="2" t="s">
        <v>109</v>
      </c>
      <c r="D181" s="2" t="s">
        <v>1769</v>
      </c>
      <c r="E181" s="2" t="s">
        <v>1770</v>
      </c>
      <c r="F181" s="2" t="s">
        <v>1771</v>
      </c>
      <c r="G181" s="2" t="s">
        <v>695</v>
      </c>
      <c r="H181" s="2" t="s">
        <v>1772</v>
      </c>
      <c r="I181" s="2" t="s">
        <v>111</v>
      </c>
      <c r="J181" s="2" t="s">
        <v>582</v>
      </c>
      <c r="K181" s="2" t="s">
        <v>65</v>
      </c>
      <c r="L181" s="2" t="s">
        <v>65</v>
      </c>
      <c r="M181" s="2" t="s">
        <v>697</v>
      </c>
      <c r="N181" s="2" t="s">
        <v>1773</v>
      </c>
      <c r="O181" s="2" t="s">
        <v>60</v>
      </c>
      <c r="P181" s="2">
        <v>3</v>
      </c>
      <c r="Q181" s="2" t="s">
        <v>17</v>
      </c>
      <c r="R181" s="2" t="s">
        <v>29</v>
      </c>
      <c r="S181" s="2" t="s">
        <v>65</v>
      </c>
      <c r="T181" s="2" t="s">
        <v>699</v>
      </c>
    </row>
    <row r="182" spans="1:20" ht="114">
      <c r="A182" s="2" t="s">
        <v>1774</v>
      </c>
      <c r="B182" s="2" t="s">
        <v>583</v>
      </c>
      <c r="C182" s="2" t="s">
        <v>109</v>
      </c>
      <c r="D182" s="2" t="s">
        <v>1775</v>
      </c>
      <c r="E182" s="2" t="s">
        <v>1776</v>
      </c>
      <c r="F182" s="2" t="s">
        <v>1777</v>
      </c>
      <c r="G182" s="2" t="s">
        <v>695</v>
      </c>
      <c r="H182" s="2" t="s">
        <v>1778</v>
      </c>
      <c r="I182" s="2" t="s">
        <v>111</v>
      </c>
      <c r="J182" s="2" t="s">
        <v>587</v>
      </c>
      <c r="K182" s="2" t="s">
        <v>288</v>
      </c>
      <c r="L182" s="2" t="s">
        <v>65</v>
      </c>
      <c r="M182" s="2" t="s">
        <v>697</v>
      </c>
      <c r="N182" s="2" t="s">
        <v>1779</v>
      </c>
      <c r="O182" s="2" t="s">
        <v>60</v>
      </c>
      <c r="P182" s="2">
        <v>1</v>
      </c>
      <c r="Q182" s="2" t="s">
        <v>17</v>
      </c>
      <c r="R182" s="2" t="s">
        <v>29</v>
      </c>
      <c r="S182" s="2" t="s">
        <v>65</v>
      </c>
      <c r="T182" s="2" t="s">
        <v>699</v>
      </c>
    </row>
    <row r="183" spans="1:20" ht="114">
      <c r="A183" s="2" t="s">
        <v>1780</v>
      </c>
      <c r="B183" s="2" t="s">
        <v>583</v>
      </c>
      <c r="C183" s="2" t="s">
        <v>109</v>
      </c>
      <c r="D183" s="2" t="s">
        <v>1781</v>
      </c>
      <c r="E183" s="2" t="s">
        <v>1782</v>
      </c>
      <c r="F183" s="2" t="s">
        <v>1783</v>
      </c>
      <c r="G183" s="2" t="s">
        <v>695</v>
      </c>
      <c r="H183" s="2" t="s">
        <v>1784</v>
      </c>
      <c r="I183" s="2" t="s">
        <v>111</v>
      </c>
      <c r="J183" s="2" t="s">
        <v>587</v>
      </c>
      <c r="K183" s="2" t="s">
        <v>288</v>
      </c>
      <c r="L183" s="2" t="s">
        <v>65</v>
      </c>
      <c r="M183" s="2" t="s">
        <v>697</v>
      </c>
      <c r="N183" s="2" t="s">
        <v>1785</v>
      </c>
      <c r="O183" s="2" t="s">
        <v>60</v>
      </c>
      <c r="P183" s="2">
        <v>2</v>
      </c>
      <c r="Q183" s="2" t="s">
        <v>17</v>
      </c>
      <c r="R183" s="2" t="s">
        <v>29</v>
      </c>
      <c r="S183" s="2" t="s">
        <v>65</v>
      </c>
      <c r="T183" s="2" t="s">
        <v>699</v>
      </c>
    </row>
    <row r="184" spans="1:20" ht="114">
      <c r="A184" s="2" t="s">
        <v>1786</v>
      </c>
      <c r="B184" s="2" t="s">
        <v>583</v>
      </c>
      <c r="C184" s="2" t="s">
        <v>109</v>
      </c>
      <c r="D184" s="2" t="s">
        <v>1787</v>
      </c>
      <c r="E184" s="2" t="s">
        <v>1788</v>
      </c>
      <c r="F184" s="2" t="s">
        <v>1789</v>
      </c>
      <c r="G184" s="2" t="s">
        <v>695</v>
      </c>
      <c r="H184" s="2" t="s">
        <v>1790</v>
      </c>
      <c r="I184" s="2" t="s">
        <v>111</v>
      </c>
      <c r="J184" s="2" t="s">
        <v>587</v>
      </c>
      <c r="K184" s="2" t="s">
        <v>288</v>
      </c>
      <c r="L184" s="2" t="s">
        <v>65</v>
      </c>
      <c r="M184" s="2" t="s">
        <v>697</v>
      </c>
      <c r="N184" s="2" t="s">
        <v>1791</v>
      </c>
      <c r="O184" s="2" t="s">
        <v>60</v>
      </c>
      <c r="P184" s="2">
        <v>3</v>
      </c>
      <c r="Q184" s="2" t="s">
        <v>17</v>
      </c>
      <c r="R184" s="2" t="s">
        <v>29</v>
      </c>
      <c r="S184" s="2" t="s">
        <v>65</v>
      </c>
      <c r="T184" s="2" t="s">
        <v>699</v>
      </c>
    </row>
    <row r="185" spans="1:20" ht="114">
      <c r="A185" s="2" t="s">
        <v>1792</v>
      </c>
      <c r="B185" s="2" t="s">
        <v>588</v>
      </c>
      <c r="C185" s="2" t="s">
        <v>109</v>
      </c>
      <c r="D185" s="2" t="s">
        <v>1793</v>
      </c>
      <c r="E185" s="2" t="s">
        <v>1794</v>
      </c>
      <c r="F185" s="2" t="s">
        <v>1795</v>
      </c>
      <c r="G185" s="2" t="s">
        <v>695</v>
      </c>
      <c r="H185" s="2" t="s">
        <v>1796</v>
      </c>
      <c r="I185" s="2" t="s">
        <v>111</v>
      </c>
      <c r="J185" s="2" t="s">
        <v>592</v>
      </c>
      <c r="K185" s="2" t="s">
        <v>94</v>
      </c>
      <c r="L185" s="2" t="s">
        <v>94</v>
      </c>
      <c r="M185" s="2" t="s">
        <v>697</v>
      </c>
      <c r="N185" s="2" t="s">
        <v>1797</v>
      </c>
      <c r="O185" s="2" t="s">
        <v>60</v>
      </c>
      <c r="P185" s="2">
        <v>1</v>
      </c>
      <c r="Q185" s="2" t="s">
        <v>17</v>
      </c>
      <c r="R185" s="2" t="s">
        <v>64</v>
      </c>
      <c r="S185" s="2" t="s">
        <v>65</v>
      </c>
      <c r="T185" s="2" t="s">
        <v>699</v>
      </c>
    </row>
    <row r="186" spans="1:20" ht="114">
      <c r="A186" s="2" t="s">
        <v>1798</v>
      </c>
      <c r="B186" s="2" t="s">
        <v>588</v>
      </c>
      <c r="C186" s="2" t="s">
        <v>109</v>
      </c>
      <c r="D186" s="2" t="s">
        <v>1799</v>
      </c>
      <c r="E186" s="2" t="s">
        <v>1800</v>
      </c>
      <c r="F186" s="2" t="s">
        <v>1801</v>
      </c>
      <c r="G186" s="2" t="s">
        <v>695</v>
      </c>
      <c r="H186" s="2" t="s">
        <v>1802</v>
      </c>
      <c r="I186" s="2" t="s">
        <v>111</v>
      </c>
      <c r="J186" s="2" t="s">
        <v>592</v>
      </c>
      <c r="K186" s="2" t="s">
        <v>94</v>
      </c>
      <c r="L186" s="2" t="s">
        <v>94</v>
      </c>
      <c r="M186" s="2" t="s">
        <v>697</v>
      </c>
      <c r="N186" s="2" t="s">
        <v>1803</v>
      </c>
      <c r="O186" s="2" t="s">
        <v>60</v>
      </c>
      <c r="P186" s="2">
        <v>2</v>
      </c>
      <c r="Q186" s="2" t="s">
        <v>17</v>
      </c>
      <c r="R186" s="2" t="s">
        <v>64</v>
      </c>
      <c r="S186" s="2" t="s">
        <v>65</v>
      </c>
      <c r="T186" s="2" t="s">
        <v>699</v>
      </c>
    </row>
    <row r="187" spans="1:20" ht="114">
      <c r="A187" s="2" t="s">
        <v>1804</v>
      </c>
      <c r="B187" s="2" t="s">
        <v>588</v>
      </c>
      <c r="C187" s="2" t="s">
        <v>109</v>
      </c>
      <c r="D187" s="2" t="s">
        <v>1805</v>
      </c>
      <c r="E187" s="2" t="s">
        <v>1806</v>
      </c>
      <c r="F187" s="2" t="s">
        <v>1807</v>
      </c>
      <c r="G187" s="2" t="s">
        <v>695</v>
      </c>
      <c r="H187" s="2" t="s">
        <v>1808</v>
      </c>
      <c r="I187" s="2" t="s">
        <v>111</v>
      </c>
      <c r="J187" s="2" t="s">
        <v>592</v>
      </c>
      <c r="K187" s="2" t="s">
        <v>94</v>
      </c>
      <c r="L187" s="2" t="s">
        <v>94</v>
      </c>
      <c r="M187" s="2" t="s">
        <v>697</v>
      </c>
      <c r="N187" s="2" t="s">
        <v>1809</v>
      </c>
      <c r="O187" s="2" t="s">
        <v>60</v>
      </c>
      <c r="P187" s="2">
        <v>3</v>
      </c>
      <c r="Q187" s="2" t="s">
        <v>17</v>
      </c>
      <c r="R187" s="2" t="s">
        <v>64</v>
      </c>
      <c r="S187" s="2" t="s">
        <v>65</v>
      </c>
      <c r="T187" s="2" t="s">
        <v>699</v>
      </c>
    </row>
    <row r="188" spans="1:20" ht="114">
      <c r="A188" s="2" t="s">
        <v>1810</v>
      </c>
      <c r="B188" s="2" t="s">
        <v>593</v>
      </c>
      <c r="C188" s="2" t="s">
        <v>109</v>
      </c>
      <c r="D188" s="2" t="s">
        <v>1811</v>
      </c>
      <c r="E188" s="2" t="s">
        <v>1812</v>
      </c>
      <c r="F188" s="2" t="s">
        <v>1813</v>
      </c>
      <c r="G188" s="2" t="s">
        <v>695</v>
      </c>
      <c r="H188" s="2" t="s">
        <v>1814</v>
      </c>
      <c r="I188" s="2" t="s">
        <v>111</v>
      </c>
      <c r="J188" s="2" t="s">
        <v>597</v>
      </c>
      <c r="K188" s="2" t="s">
        <v>65</v>
      </c>
      <c r="L188" s="2" t="s">
        <v>94</v>
      </c>
      <c r="M188" s="2" t="s">
        <v>697</v>
      </c>
      <c r="N188" s="2" t="s">
        <v>1815</v>
      </c>
      <c r="O188" s="2" t="s">
        <v>60</v>
      </c>
      <c r="P188" s="2">
        <v>1</v>
      </c>
      <c r="Q188" s="2" t="s">
        <v>17</v>
      </c>
      <c r="R188" s="2" t="s">
        <v>29</v>
      </c>
      <c r="S188" s="2" t="s">
        <v>65</v>
      </c>
      <c r="T188" s="2" t="s">
        <v>699</v>
      </c>
    </row>
    <row r="189" spans="1:20" ht="114">
      <c r="A189" s="2" t="s">
        <v>1816</v>
      </c>
      <c r="B189" s="2" t="s">
        <v>593</v>
      </c>
      <c r="C189" s="2" t="s">
        <v>109</v>
      </c>
      <c r="D189" s="2" t="s">
        <v>1817</v>
      </c>
      <c r="E189" s="2" t="s">
        <v>1818</v>
      </c>
      <c r="F189" s="2" t="s">
        <v>1819</v>
      </c>
      <c r="G189" s="2" t="s">
        <v>695</v>
      </c>
      <c r="H189" s="2" t="s">
        <v>1820</v>
      </c>
      <c r="I189" s="2" t="s">
        <v>111</v>
      </c>
      <c r="J189" s="2" t="s">
        <v>597</v>
      </c>
      <c r="K189" s="2" t="s">
        <v>65</v>
      </c>
      <c r="L189" s="2" t="s">
        <v>94</v>
      </c>
      <c r="M189" s="2" t="s">
        <v>697</v>
      </c>
      <c r="N189" s="2" t="s">
        <v>1821</v>
      </c>
      <c r="O189" s="2" t="s">
        <v>60</v>
      </c>
      <c r="P189" s="2">
        <v>2</v>
      </c>
      <c r="Q189" s="2" t="s">
        <v>17</v>
      </c>
      <c r="R189" s="2" t="s">
        <v>29</v>
      </c>
      <c r="S189" s="2" t="s">
        <v>65</v>
      </c>
      <c r="T189" s="2" t="s">
        <v>699</v>
      </c>
    </row>
    <row r="190" spans="1:20" ht="114">
      <c r="A190" s="2" t="s">
        <v>1822</v>
      </c>
      <c r="B190" s="2" t="s">
        <v>593</v>
      </c>
      <c r="C190" s="2" t="s">
        <v>109</v>
      </c>
      <c r="D190" s="2" t="s">
        <v>1823</v>
      </c>
      <c r="E190" s="2" t="s">
        <v>1824</v>
      </c>
      <c r="F190" s="2" t="s">
        <v>1825</v>
      </c>
      <c r="G190" s="2" t="s">
        <v>695</v>
      </c>
      <c r="H190" s="2" t="s">
        <v>1826</v>
      </c>
      <c r="I190" s="2" t="s">
        <v>111</v>
      </c>
      <c r="J190" s="2" t="s">
        <v>597</v>
      </c>
      <c r="K190" s="2" t="s">
        <v>65</v>
      </c>
      <c r="L190" s="2" t="s">
        <v>94</v>
      </c>
      <c r="M190" s="2" t="s">
        <v>697</v>
      </c>
      <c r="N190" s="2" t="s">
        <v>1827</v>
      </c>
      <c r="O190" s="2" t="s">
        <v>60</v>
      </c>
      <c r="P190" s="2">
        <v>3</v>
      </c>
      <c r="Q190" s="2" t="s">
        <v>17</v>
      </c>
      <c r="R190" s="2" t="s">
        <v>29</v>
      </c>
      <c r="S190" s="2" t="s">
        <v>65</v>
      </c>
      <c r="T190" s="2" t="s">
        <v>699</v>
      </c>
    </row>
    <row r="191" spans="1:20" ht="114">
      <c r="A191" s="2" t="s">
        <v>1828</v>
      </c>
      <c r="B191" s="2" t="s">
        <v>598</v>
      </c>
      <c r="C191" s="2" t="s">
        <v>109</v>
      </c>
      <c r="D191" s="2" t="s">
        <v>1829</v>
      </c>
      <c r="E191" s="2" t="s">
        <v>1830</v>
      </c>
      <c r="F191" s="2" t="s">
        <v>1831</v>
      </c>
      <c r="G191" s="2" t="s">
        <v>695</v>
      </c>
      <c r="H191" s="2" t="s">
        <v>1832</v>
      </c>
      <c r="I191" s="2" t="s">
        <v>111</v>
      </c>
      <c r="J191" s="2" t="s">
        <v>602</v>
      </c>
      <c r="K191" s="2" t="s">
        <v>94</v>
      </c>
      <c r="L191" s="2" t="s">
        <v>65</v>
      </c>
      <c r="M191" s="2" t="s">
        <v>697</v>
      </c>
      <c r="N191" s="2" t="s">
        <v>1833</v>
      </c>
      <c r="O191" s="2" t="s">
        <v>60</v>
      </c>
      <c r="P191" s="2">
        <v>1</v>
      </c>
      <c r="Q191" s="2" t="s">
        <v>17</v>
      </c>
      <c r="R191" s="2" t="s">
        <v>29</v>
      </c>
      <c r="S191" s="2" t="s">
        <v>65</v>
      </c>
      <c r="T191" s="2" t="s">
        <v>699</v>
      </c>
    </row>
    <row r="192" spans="1:20" ht="114">
      <c r="A192" s="2" t="s">
        <v>1834</v>
      </c>
      <c r="B192" s="2" t="s">
        <v>598</v>
      </c>
      <c r="C192" s="2" t="s">
        <v>109</v>
      </c>
      <c r="D192" s="2" t="s">
        <v>1835</v>
      </c>
      <c r="E192" s="2" t="s">
        <v>1836</v>
      </c>
      <c r="F192" s="2" t="s">
        <v>1837</v>
      </c>
      <c r="G192" s="2" t="s">
        <v>695</v>
      </c>
      <c r="H192" s="2" t="s">
        <v>1838</v>
      </c>
      <c r="I192" s="2" t="s">
        <v>111</v>
      </c>
      <c r="J192" s="2" t="s">
        <v>602</v>
      </c>
      <c r="K192" s="2" t="s">
        <v>94</v>
      </c>
      <c r="L192" s="2" t="s">
        <v>65</v>
      </c>
      <c r="M192" s="2" t="s">
        <v>697</v>
      </c>
      <c r="N192" s="2" t="s">
        <v>1839</v>
      </c>
      <c r="O192" s="2" t="s">
        <v>60</v>
      </c>
      <c r="P192" s="2">
        <v>2</v>
      </c>
      <c r="Q192" s="2" t="s">
        <v>17</v>
      </c>
      <c r="R192" s="2" t="s">
        <v>29</v>
      </c>
      <c r="S192" s="2" t="s">
        <v>65</v>
      </c>
      <c r="T192" s="2" t="s">
        <v>699</v>
      </c>
    </row>
    <row r="193" spans="1:20" ht="114">
      <c r="A193" s="2" t="s">
        <v>1840</v>
      </c>
      <c r="B193" s="2" t="s">
        <v>598</v>
      </c>
      <c r="C193" s="2" t="s">
        <v>109</v>
      </c>
      <c r="D193" s="2" t="s">
        <v>1841</v>
      </c>
      <c r="E193" s="2" t="s">
        <v>1842</v>
      </c>
      <c r="F193" s="2" t="s">
        <v>1843</v>
      </c>
      <c r="G193" s="2" t="s">
        <v>695</v>
      </c>
      <c r="H193" s="2" t="s">
        <v>1844</v>
      </c>
      <c r="I193" s="2" t="s">
        <v>111</v>
      </c>
      <c r="J193" s="2" t="s">
        <v>602</v>
      </c>
      <c r="K193" s="2" t="s">
        <v>94</v>
      </c>
      <c r="L193" s="2" t="s">
        <v>65</v>
      </c>
      <c r="M193" s="2" t="s">
        <v>697</v>
      </c>
      <c r="N193" s="2" t="s">
        <v>1845</v>
      </c>
      <c r="O193" s="2" t="s">
        <v>60</v>
      </c>
      <c r="P193" s="2">
        <v>3</v>
      </c>
      <c r="Q193" s="2" t="s">
        <v>17</v>
      </c>
      <c r="R193" s="2" t="s">
        <v>29</v>
      </c>
      <c r="S193" s="2" t="s">
        <v>65</v>
      </c>
      <c r="T193" s="2" t="s">
        <v>699</v>
      </c>
    </row>
    <row r="194" spans="1:20" ht="114">
      <c r="A194" s="2" t="s">
        <v>1846</v>
      </c>
      <c r="B194" s="2" t="s">
        <v>603</v>
      </c>
      <c r="C194" s="2" t="s">
        <v>109</v>
      </c>
      <c r="D194" s="2" t="s">
        <v>1847</v>
      </c>
      <c r="E194" s="2" t="s">
        <v>1848</v>
      </c>
      <c r="F194" s="2" t="s">
        <v>1849</v>
      </c>
      <c r="G194" s="2" t="s">
        <v>695</v>
      </c>
      <c r="H194" s="2" t="s">
        <v>1850</v>
      </c>
      <c r="I194" s="2" t="s">
        <v>111</v>
      </c>
      <c r="J194" s="2" t="s">
        <v>607</v>
      </c>
      <c r="K194" s="2" t="s">
        <v>65</v>
      </c>
      <c r="L194" s="2" t="s">
        <v>65</v>
      </c>
      <c r="M194" s="2" t="s">
        <v>697</v>
      </c>
      <c r="N194" s="2" t="s">
        <v>1851</v>
      </c>
      <c r="O194" s="2" t="s">
        <v>60</v>
      </c>
      <c r="P194" s="2">
        <v>1</v>
      </c>
      <c r="Q194" s="2" t="s">
        <v>17</v>
      </c>
      <c r="R194" s="2" t="s">
        <v>150</v>
      </c>
      <c r="S194" s="2" t="s">
        <v>65</v>
      </c>
      <c r="T194" s="2" t="s">
        <v>699</v>
      </c>
    </row>
    <row r="195" spans="1:20" ht="114">
      <c r="A195" s="2" t="s">
        <v>1852</v>
      </c>
      <c r="B195" s="2" t="s">
        <v>603</v>
      </c>
      <c r="C195" s="2" t="s">
        <v>109</v>
      </c>
      <c r="D195" s="2" t="s">
        <v>1853</v>
      </c>
      <c r="E195" s="2" t="s">
        <v>1854</v>
      </c>
      <c r="F195" s="2" t="s">
        <v>1855</v>
      </c>
      <c r="G195" s="2" t="s">
        <v>695</v>
      </c>
      <c r="H195" s="2" t="s">
        <v>1856</v>
      </c>
      <c r="I195" s="2" t="s">
        <v>111</v>
      </c>
      <c r="J195" s="2" t="s">
        <v>607</v>
      </c>
      <c r="K195" s="2" t="s">
        <v>65</v>
      </c>
      <c r="L195" s="2" t="s">
        <v>65</v>
      </c>
      <c r="M195" s="2" t="s">
        <v>697</v>
      </c>
      <c r="N195" s="2" t="s">
        <v>1857</v>
      </c>
      <c r="O195" s="2" t="s">
        <v>60</v>
      </c>
      <c r="P195" s="2">
        <v>2</v>
      </c>
      <c r="Q195" s="2" t="s">
        <v>17</v>
      </c>
      <c r="R195" s="2" t="s">
        <v>150</v>
      </c>
      <c r="S195" s="2" t="s">
        <v>65</v>
      </c>
      <c r="T195" s="2" t="s">
        <v>699</v>
      </c>
    </row>
    <row r="196" spans="1:20" ht="114">
      <c r="A196" s="2" t="s">
        <v>1858</v>
      </c>
      <c r="B196" s="2" t="s">
        <v>603</v>
      </c>
      <c r="C196" s="2" t="s">
        <v>109</v>
      </c>
      <c r="D196" s="2" t="s">
        <v>1859</v>
      </c>
      <c r="E196" s="2" t="s">
        <v>1860</v>
      </c>
      <c r="F196" s="2" t="s">
        <v>1861</v>
      </c>
      <c r="G196" s="2" t="s">
        <v>695</v>
      </c>
      <c r="H196" s="2" t="s">
        <v>1862</v>
      </c>
      <c r="I196" s="2" t="s">
        <v>111</v>
      </c>
      <c r="J196" s="2" t="s">
        <v>607</v>
      </c>
      <c r="K196" s="2" t="s">
        <v>65</v>
      </c>
      <c r="L196" s="2" t="s">
        <v>65</v>
      </c>
      <c r="M196" s="2" t="s">
        <v>697</v>
      </c>
      <c r="N196" s="2" t="s">
        <v>1863</v>
      </c>
      <c r="O196" s="2" t="s">
        <v>60</v>
      </c>
      <c r="P196" s="2">
        <v>3</v>
      </c>
      <c r="Q196" s="2" t="s">
        <v>17</v>
      </c>
      <c r="R196" s="2" t="s">
        <v>150</v>
      </c>
      <c r="S196" s="2" t="s">
        <v>65</v>
      </c>
      <c r="T196" s="2" t="s">
        <v>699</v>
      </c>
    </row>
    <row r="197" spans="1:20" ht="114">
      <c r="A197" s="2" t="s">
        <v>1864</v>
      </c>
      <c r="B197" s="2" t="s">
        <v>608</v>
      </c>
      <c r="C197" s="2" t="s">
        <v>109</v>
      </c>
      <c r="D197" s="2" t="s">
        <v>1865</v>
      </c>
      <c r="E197" s="2" t="s">
        <v>1866</v>
      </c>
      <c r="F197" s="2" t="s">
        <v>1867</v>
      </c>
      <c r="G197" s="2" t="s">
        <v>695</v>
      </c>
      <c r="H197" s="2" t="s">
        <v>1868</v>
      </c>
      <c r="I197" s="2" t="s">
        <v>111</v>
      </c>
      <c r="J197" s="2" t="s">
        <v>612</v>
      </c>
      <c r="K197" s="2" t="s">
        <v>65</v>
      </c>
      <c r="L197" s="2" t="s">
        <v>65</v>
      </c>
      <c r="M197" s="2" t="s">
        <v>697</v>
      </c>
      <c r="N197" s="2" t="s">
        <v>1869</v>
      </c>
      <c r="O197" s="2" t="s">
        <v>60</v>
      </c>
      <c r="P197" s="2">
        <v>1</v>
      </c>
      <c r="Q197" s="2" t="s">
        <v>17</v>
      </c>
      <c r="R197" s="2" t="s">
        <v>93</v>
      </c>
      <c r="S197" s="2" t="s">
        <v>65</v>
      </c>
      <c r="T197" s="2" t="s">
        <v>699</v>
      </c>
    </row>
    <row r="198" spans="1:20" ht="114">
      <c r="A198" s="2" t="s">
        <v>1870</v>
      </c>
      <c r="B198" s="2" t="s">
        <v>608</v>
      </c>
      <c r="C198" s="2" t="s">
        <v>109</v>
      </c>
      <c r="D198" s="2" t="s">
        <v>1871</v>
      </c>
      <c r="E198" s="2" t="s">
        <v>1872</v>
      </c>
      <c r="F198" s="2" t="s">
        <v>1873</v>
      </c>
      <c r="G198" s="2" t="s">
        <v>695</v>
      </c>
      <c r="H198" s="2" t="s">
        <v>1874</v>
      </c>
      <c r="I198" s="2" t="s">
        <v>111</v>
      </c>
      <c r="J198" s="2" t="s">
        <v>612</v>
      </c>
      <c r="K198" s="2" t="s">
        <v>65</v>
      </c>
      <c r="L198" s="2" t="s">
        <v>65</v>
      </c>
      <c r="M198" s="2" t="s">
        <v>697</v>
      </c>
      <c r="N198" s="2" t="s">
        <v>1875</v>
      </c>
      <c r="O198" s="2" t="s">
        <v>60</v>
      </c>
      <c r="P198" s="2">
        <v>2</v>
      </c>
      <c r="Q198" s="2" t="s">
        <v>17</v>
      </c>
      <c r="R198" s="2" t="s">
        <v>93</v>
      </c>
      <c r="S198" s="2" t="s">
        <v>65</v>
      </c>
      <c r="T198" s="2" t="s">
        <v>699</v>
      </c>
    </row>
    <row r="199" spans="1:20" ht="114">
      <c r="A199" s="2" t="s">
        <v>1876</v>
      </c>
      <c r="B199" s="2" t="s">
        <v>608</v>
      </c>
      <c r="C199" s="2" t="s">
        <v>109</v>
      </c>
      <c r="D199" s="2" t="s">
        <v>1877</v>
      </c>
      <c r="E199" s="2" t="s">
        <v>1878</v>
      </c>
      <c r="F199" s="2" t="s">
        <v>1879</v>
      </c>
      <c r="G199" s="2" t="s">
        <v>695</v>
      </c>
      <c r="H199" s="2" t="s">
        <v>1880</v>
      </c>
      <c r="I199" s="2" t="s">
        <v>111</v>
      </c>
      <c r="J199" s="2" t="s">
        <v>612</v>
      </c>
      <c r="K199" s="2" t="s">
        <v>65</v>
      </c>
      <c r="L199" s="2" t="s">
        <v>65</v>
      </c>
      <c r="M199" s="2" t="s">
        <v>697</v>
      </c>
      <c r="N199" s="2" t="s">
        <v>1881</v>
      </c>
      <c r="O199" s="2" t="s">
        <v>60</v>
      </c>
      <c r="P199" s="2">
        <v>3</v>
      </c>
      <c r="Q199" s="2" t="s">
        <v>17</v>
      </c>
      <c r="R199" s="2" t="s">
        <v>93</v>
      </c>
      <c r="S199" s="2" t="s">
        <v>65</v>
      </c>
      <c r="T199" s="2" t="s">
        <v>699</v>
      </c>
    </row>
    <row r="200" spans="1:20" ht="114">
      <c r="A200" s="2" t="s">
        <v>1882</v>
      </c>
      <c r="B200" s="2" t="s">
        <v>613</v>
      </c>
      <c r="C200" s="2" t="s">
        <v>114</v>
      </c>
      <c r="D200" s="2" t="s">
        <v>1883</v>
      </c>
      <c r="E200" s="2" t="s">
        <v>1884</v>
      </c>
      <c r="F200" s="2" t="s">
        <v>1885</v>
      </c>
      <c r="G200" s="2" t="s">
        <v>695</v>
      </c>
      <c r="H200" s="2" t="s">
        <v>1886</v>
      </c>
      <c r="I200" s="2" t="s">
        <v>116</v>
      </c>
      <c r="J200" s="2" t="s">
        <v>617</v>
      </c>
      <c r="K200" s="2" t="s">
        <v>65</v>
      </c>
      <c r="L200" s="2" t="s">
        <v>94</v>
      </c>
      <c r="M200" s="2" t="s">
        <v>697</v>
      </c>
      <c r="N200" s="2" t="s">
        <v>1887</v>
      </c>
      <c r="O200" s="2" t="s">
        <v>60</v>
      </c>
      <c r="P200" s="2">
        <v>1</v>
      </c>
      <c r="Q200" s="2" t="s">
        <v>17</v>
      </c>
      <c r="R200" s="2" t="s">
        <v>29</v>
      </c>
      <c r="S200" s="2" t="s">
        <v>65</v>
      </c>
      <c r="T200" s="2" t="s">
        <v>699</v>
      </c>
    </row>
    <row r="201" spans="1:20" ht="114">
      <c r="A201" s="2" t="s">
        <v>1888</v>
      </c>
      <c r="B201" s="2" t="s">
        <v>613</v>
      </c>
      <c r="C201" s="2" t="s">
        <v>114</v>
      </c>
      <c r="D201" s="2" t="s">
        <v>1889</v>
      </c>
      <c r="E201" s="2" t="s">
        <v>1890</v>
      </c>
      <c r="F201" s="2" t="s">
        <v>1891</v>
      </c>
      <c r="G201" s="2" t="s">
        <v>695</v>
      </c>
      <c r="H201" s="2" t="s">
        <v>1892</v>
      </c>
      <c r="I201" s="2" t="s">
        <v>116</v>
      </c>
      <c r="J201" s="2" t="s">
        <v>617</v>
      </c>
      <c r="K201" s="2" t="s">
        <v>65</v>
      </c>
      <c r="L201" s="2" t="s">
        <v>94</v>
      </c>
      <c r="M201" s="2" t="s">
        <v>697</v>
      </c>
      <c r="N201" s="2" t="s">
        <v>1893</v>
      </c>
      <c r="O201" s="2" t="s">
        <v>60</v>
      </c>
      <c r="P201" s="2">
        <v>2</v>
      </c>
      <c r="Q201" s="2" t="s">
        <v>17</v>
      </c>
      <c r="R201" s="2" t="s">
        <v>29</v>
      </c>
      <c r="S201" s="2" t="s">
        <v>65</v>
      </c>
      <c r="T201" s="2" t="s">
        <v>699</v>
      </c>
    </row>
    <row r="202" spans="1:20" ht="114">
      <c r="A202" s="2" t="s">
        <v>1894</v>
      </c>
      <c r="B202" s="2" t="s">
        <v>613</v>
      </c>
      <c r="C202" s="2" t="s">
        <v>114</v>
      </c>
      <c r="D202" s="2" t="s">
        <v>1895</v>
      </c>
      <c r="E202" s="2" t="s">
        <v>1896</v>
      </c>
      <c r="F202" s="2" t="s">
        <v>1897</v>
      </c>
      <c r="G202" s="2" t="s">
        <v>695</v>
      </c>
      <c r="H202" s="2" t="s">
        <v>1898</v>
      </c>
      <c r="I202" s="2" t="s">
        <v>116</v>
      </c>
      <c r="J202" s="2" t="s">
        <v>617</v>
      </c>
      <c r="K202" s="2" t="s">
        <v>65</v>
      </c>
      <c r="L202" s="2" t="s">
        <v>94</v>
      </c>
      <c r="M202" s="2" t="s">
        <v>697</v>
      </c>
      <c r="N202" s="2" t="s">
        <v>1899</v>
      </c>
      <c r="O202" s="2" t="s">
        <v>60</v>
      </c>
      <c r="P202" s="2">
        <v>3</v>
      </c>
      <c r="Q202" s="2" t="s">
        <v>17</v>
      </c>
      <c r="R202" s="2" t="s">
        <v>29</v>
      </c>
      <c r="S202" s="2" t="s">
        <v>65</v>
      </c>
      <c r="T202" s="2" t="s">
        <v>699</v>
      </c>
    </row>
    <row r="203" spans="1:20" ht="114">
      <c r="A203" s="2" t="s">
        <v>1900</v>
      </c>
      <c r="B203" s="2" t="s">
        <v>618</v>
      </c>
      <c r="C203" s="2" t="s">
        <v>114</v>
      </c>
      <c r="D203" s="2" t="s">
        <v>1901</v>
      </c>
      <c r="E203" s="2" t="s">
        <v>1902</v>
      </c>
      <c r="F203" s="2" t="s">
        <v>1903</v>
      </c>
      <c r="G203" s="2" t="s">
        <v>695</v>
      </c>
      <c r="H203" s="2" t="s">
        <v>1904</v>
      </c>
      <c r="I203" s="2" t="s">
        <v>116</v>
      </c>
      <c r="J203" s="2" t="s">
        <v>622</v>
      </c>
      <c r="K203" s="2" t="s">
        <v>288</v>
      </c>
      <c r="L203" s="2" t="s">
        <v>94</v>
      </c>
      <c r="M203" s="2" t="s">
        <v>697</v>
      </c>
      <c r="N203" s="2" t="s">
        <v>1905</v>
      </c>
      <c r="O203" s="2" t="s">
        <v>60</v>
      </c>
      <c r="P203" s="2">
        <v>1</v>
      </c>
      <c r="Q203" s="2" t="s">
        <v>17</v>
      </c>
      <c r="R203" s="2" t="s">
        <v>93</v>
      </c>
      <c r="S203" s="2" t="s">
        <v>65</v>
      </c>
      <c r="T203" s="2" t="s">
        <v>699</v>
      </c>
    </row>
    <row r="204" spans="1:20" ht="114">
      <c r="A204" s="2" t="s">
        <v>1906</v>
      </c>
      <c r="B204" s="2" t="s">
        <v>618</v>
      </c>
      <c r="C204" s="2" t="s">
        <v>114</v>
      </c>
      <c r="D204" s="2" t="s">
        <v>1907</v>
      </c>
      <c r="E204" s="2" t="s">
        <v>1908</v>
      </c>
      <c r="F204" s="2" t="s">
        <v>1909</v>
      </c>
      <c r="G204" s="2" t="s">
        <v>695</v>
      </c>
      <c r="H204" s="2" t="s">
        <v>1910</v>
      </c>
      <c r="I204" s="2" t="s">
        <v>116</v>
      </c>
      <c r="J204" s="2" t="s">
        <v>622</v>
      </c>
      <c r="K204" s="2" t="s">
        <v>288</v>
      </c>
      <c r="L204" s="2" t="s">
        <v>94</v>
      </c>
      <c r="M204" s="2" t="s">
        <v>697</v>
      </c>
      <c r="N204" s="2" t="s">
        <v>1911</v>
      </c>
      <c r="O204" s="2" t="s">
        <v>60</v>
      </c>
      <c r="P204" s="2">
        <v>2</v>
      </c>
      <c r="Q204" s="2" t="s">
        <v>17</v>
      </c>
      <c r="R204" s="2" t="s">
        <v>93</v>
      </c>
      <c r="S204" s="2" t="s">
        <v>65</v>
      </c>
      <c r="T204" s="2" t="s">
        <v>699</v>
      </c>
    </row>
    <row r="205" spans="1:20" ht="114">
      <c r="A205" s="2" t="s">
        <v>1912</v>
      </c>
      <c r="B205" s="2" t="s">
        <v>618</v>
      </c>
      <c r="C205" s="2" t="s">
        <v>114</v>
      </c>
      <c r="D205" s="2" t="s">
        <v>1913</v>
      </c>
      <c r="E205" s="2" t="s">
        <v>1914</v>
      </c>
      <c r="F205" s="2" t="s">
        <v>1915</v>
      </c>
      <c r="G205" s="2" t="s">
        <v>695</v>
      </c>
      <c r="H205" s="2" t="s">
        <v>1916</v>
      </c>
      <c r="I205" s="2" t="s">
        <v>116</v>
      </c>
      <c r="J205" s="2" t="s">
        <v>622</v>
      </c>
      <c r="K205" s="2" t="s">
        <v>288</v>
      </c>
      <c r="L205" s="2" t="s">
        <v>94</v>
      </c>
      <c r="M205" s="2" t="s">
        <v>697</v>
      </c>
      <c r="N205" s="2" t="s">
        <v>1917</v>
      </c>
      <c r="O205" s="2" t="s">
        <v>60</v>
      </c>
      <c r="P205" s="2">
        <v>3</v>
      </c>
      <c r="Q205" s="2" t="s">
        <v>17</v>
      </c>
      <c r="R205" s="2" t="s">
        <v>93</v>
      </c>
      <c r="S205" s="2" t="s">
        <v>65</v>
      </c>
      <c r="T205" s="2" t="s">
        <v>699</v>
      </c>
    </row>
    <row r="206" spans="1:20" ht="114">
      <c r="A206" s="2" t="s">
        <v>1918</v>
      </c>
      <c r="B206" s="2" t="s">
        <v>623</v>
      </c>
      <c r="C206" s="2" t="s">
        <v>114</v>
      </c>
      <c r="D206" s="2" t="s">
        <v>1919</v>
      </c>
      <c r="E206" s="2" t="s">
        <v>1920</v>
      </c>
      <c r="F206" s="2" t="s">
        <v>1921</v>
      </c>
      <c r="G206" s="2" t="s">
        <v>695</v>
      </c>
      <c r="H206" s="2" t="s">
        <v>1922</v>
      </c>
      <c r="I206" s="2" t="s">
        <v>116</v>
      </c>
      <c r="J206" s="2" t="s">
        <v>627</v>
      </c>
      <c r="K206" s="2" t="s">
        <v>65</v>
      </c>
      <c r="L206" s="2" t="s">
        <v>65</v>
      </c>
      <c r="M206" s="2" t="s">
        <v>697</v>
      </c>
      <c r="N206" s="2" t="s">
        <v>1923</v>
      </c>
      <c r="O206" s="2" t="s">
        <v>60</v>
      </c>
      <c r="P206" s="2">
        <v>1</v>
      </c>
      <c r="Q206" s="2" t="s">
        <v>17</v>
      </c>
      <c r="R206" s="2" t="s">
        <v>93</v>
      </c>
      <c r="S206" s="2" t="s">
        <v>65</v>
      </c>
      <c r="T206" s="2" t="s">
        <v>699</v>
      </c>
    </row>
    <row r="207" spans="1:20" ht="114">
      <c r="A207" s="2" t="s">
        <v>1924</v>
      </c>
      <c r="B207" s="2" t="s">
        <v>623</v>
      </c>
      <c r="C207" s="2" t="s">
        <v>114</v>
      </c>
      <c r="D207" s="2" t="s">
        <v>1925</v>
      </c>
      <c r="E207" s="2" t="s">
        <v>1926</v>
      </c>
      <c r="F207" s="2" t="s">
        <v>1927</v>
      </c>
      <c r="G207" s="2" t="s">
        <v>695</v>
      </c>
      <c r="H207" s="2" t="s">
        <v>1928</v>
      </c>
      <c r="I207" s="2" t="s">
        <v>116</v>
      </c>
      <c r="J207" s="2" t="s">
        <v>627</v>
      </c>
      <c r="K207" s="2" t="s">
        <v>65</v>
      </c>
      <c r="L207" s="2" t="s">
        <v>65</v>
      </c>
      <c r="M207" s="2" t="s">
        <v>697</v>
      </c>
      <c r="N207" s="2" t="s">
        <v>1929</v>
      </c>
      <c r="O207" s="2" t="s">
        <v>60</v>
      </c>
      <c r="P207" s="2">
        <v>2</v>
      </c>
      <c r="Q207" s="2" t="s">
        <v>17</v>
      </c>
      <c r="R207" s="2" t="s">
        <v>93</v>
      </c>
      <c r="S207" s="2" t="s">
        <v>65</v>
      </c>
      <c r="T207" s="2" t="s">
        <v>699</v>
      </c>
    </row>
    <row r="208" spans="1:20" ht="114">
      <c r="A208" s="2" t="s">
        <v>1930</v>
      </c>
      <c r="B208" s="2" t="s">
        <v>623</v>
      </c>
      <c r="C208" s="2" t="s">
        <v>114</v>
      </c>
      <c r="D208" s="2" t="s">
        <v>1931</v>
      </c>
      <c r="E208" s="2" t="s">
        <v>1932</v>
      </c>
      <c r="F208" s="2" t="s">
        <v>1933</v>
      </c>
      <c r="G208" s="2" t="s">
        <v>695</v>
      </c>
      <c r="H208" s="2" t="s">
        <v>1934</v>
      </c>
      <c r="I208" s="2" t="s">
        <v>116</v>
      </c>
      <c r="J208" s="2" t="s">
        <v>627</v>
      </c>
      <c r="K208" s="2" t="s">
        <v>65</v>
      </c>
      <c r="L208" s="2" t="s">
        <v>65</v>
      </c>
      <c r="M208" s="2" t="s">
        <v>697</v>
      </c>
      <c r="N208" s="2" t="s">
        <v>1935</v>
      </c>
      <c r="O208" s="2" t="s">
        <v>60</v>
      </c>
      <c r="P208" s="2">
        <v>3</v>
      </c>
      <c r="Q208" s="2" t="s">
        <v>17</v>
      </c>
      <c r="R208" s="2" t="s">
        <v>93</v>
      </c>
      <c r="S208" s="2" t="s">
        <v>65</v>
      </c>
      <c r="T208" s="2" t="s">
        <v>699</v>
      </c>
    </row>
    <row r="209" spans="1:20" ht="114">
      <c r="A209" s="2" t="s">
        <v>1936</v>
      </c>
      <c r="B209" s="2" t="s">
        <v>628</v>
      </c>
      <c r="C209" s="2" t="s">
        <v>114</v>
      </c>
      <c r="D209" s="2" t="s">
        <v>1937</v>
      </c>
      <c r="E209" s="2" t="s">
        <v>1938</v>
      </c>
      <c r="F209" s="2" t="s">
        <v>1939</v>
      </c>
      <c r="G209" s="2" t="s">
        <v>695</v>
      </c>
      <c r="H209" s="2" t="s">
        <v>1940</v>
      </c>
      <c r="I209" s="2" t="s">
        <v>116</v>
      </c>
      <c r="J209" s="2" t="s">
        <v>632</v>
      </c>
      <c r="K209" s="2" t="s">
        <v>65</v>
      </c>
      <c r="L209" s="2" t="s">
        <v>94</v>
      </c>
      <c r="M209" s="2" t="s">
        <v>697</v>
      </c>
      <c r="N209" s="2" t="s">
        <v>1941</v>
      </c>
      <c r="O209" s="2" t="s">
        <v>60</v>
      </c>
      <c r="P209" s="2">
        <v>1</v>
      </c>
      <c r="Q209" s="2" t="s">
        <v>17</v>
      </c>
      <c r="R209" s="2" t="s">
        <v>327</v>
      </c>
      <c r="S209" s="2" t="s">
        <v>65</v>
      </c>
      <c r="T209" s="2" t="s">
        <v>699</v>
      </c>
    </row>
    <row r="210" spans="1:20" ht="114">
      <c r="A210" s="2" t="s">
        <v>1942</v>
      </c>
      <c r="B210" s="2" t="s">
        <v>628</v>
      </c>
      <c r="C210" s="2" t="s">
        <v>114</v>
      </c>
      <c r="D210" s="2" t="s">
        <v>1943</v>
      </c>
      <c r="E210" s="2" t="s">
        <v>1944</v>
      </c>
      <c r="F210" s="2" t="s">
        <v>1945</v>
      </c>
      <c r="G210" s="2" t="s">
        <v>695</v>
      </c>
      <c r="H210" s="2" t="s">
        <v>1946</v>
      </c>
      <c r="I210" s="2" t="s">
        <v>116</v>
      </c>
      <c r="J210" s="2" t="s">
        <v>632</v>
      </c>
      <c r="K210" s="2" t="s">
        <v>65</v>
      </c>
      <c r="L210" s="2" t="s">
        <v>94</v>
      </c>
      <c r="M210" s="2" t="s">
        <v>697</v>
      </c>
      <c r="N210" s="2" t="s">
        <v>1947</v>
      </c>
      <c r="O210" s="2" t="s">
        <v>60</v>
      </c>
      <c r="P210" s="2">
        <v>2</v>
      </c>
      <c r="Q210" s="2" t="s">
        <v>17</v>
      </c>
      <c r="R210" s="2" t="s">
        <v>327</v>
      </c>
      <c r="S210" s="2" t="s">
        <v>65</v>
      </c>
      <c r="T210" s="2" t="s">
        <v>699</v>
      </c>
    </row>
    <row r="211" spans="1:20" ht="114">
      <c r="A211" s="2" t="s">
        <v>1948</v>
      </c>
      <c r="B211" s="2" t="s">
        <v>628</v>
      </c>
      <c r="C211" s="2" t="s">
        <v>114</v>
      </c>
      <c r="D211" s="2" t="s">
        <v>1949</v>
      </c>
      <c r="E211" s="2" t="s">
        <v>1950</v>
      </c>
      <c r="F211" s="2" t="s">
        <v>1951</v>
      </c>
      <c r="G211" s="2" t="s">
        <v>695</v>
      </c>
      <c r="H211" s="2" t="s">
        <v>1952</v>
      </c>
      <c r="I211" s="2" t="s">
        <v>116</v>
      </c>
      <c r="J211" s="2" t="s">
        <v>632</v>
      </c>
      <c r="K211" s="2" t="s">
        <v>65</v>
      </c>
      <c r="L211" s="2" t="s">
        <v>94</v>
      </c>
      <c r="M211" s="2" t="s">
        <v>697</v>
      </c>
      <c r="N211" s="2" t="s">
        <v>1953</v>
      </c>
      <c r="O211" s="2" t="s">
        <v>60</v>
      </c>
      <c r="P211" s="2">
        <v>3</v>
      </c>
      <c r="Q211" s="2" t="s">
        <v>17</v>
      </c>
      <c r="R211" s="2" t="s">
        <v>327</v>
      </c>
      <c r="S211" s="2" t="s">
        <v>65</v>
      </c>
      <c r="T211" s="2" t="s">
        <v>699</v>
      </c>
    </row>
    <row r="212" spans="1:20" ht="114">
      <c r="A212" s="2" t="s">
        <v>1954</v>
      </c>
      <c r="B212" s="2" t="s">
        <v>633</v>
      </c>
      <c r="C212" s="2" t="s">
        <v>114</v>
      </c>
      <c r="D212" s="2" t="s">
        <v>1955</v>
      </c>
      <c r="E212" s="2" t="s">
        <v>1956</v>
      </c>
      <c r="F212" s="2" t="s">
        <v>1957</v>
      </c>
      <c r="G212" s="2" t="s">
        <v>695</v>
      </c>
      <c r="H212" s="2" t="s">
        <v>1958</v>
      </c>
      <c r="I212" s="2" t="s">
        <v>116</v>
      </c>
      <c r="J212" s="2" t="s">
        <v>637</v>
      </c>
      <c r="K212" s="2" t="s">
        <v>65</v>
      </c>
      <c r="L212" s="2" t="s">
        <v>94</v>
      </c>
      <c r="M212" s="2" t="s">
        <v>697</v>
      </c>
      <c r="N212" s="2" t="s">
        <v>1959</v>
      </c>
      <c r="O212" s="2" t="s">
        <v>60</v>
      </c>
      <c r="P212" s="2">
        <v>1</v>
      </c>
      <c r="Q212" s="2" t="s">
        <v>17</v>
      </c>
      <c r="R212" s="2" t="s">
        <v>93</v>
      </c>
      <c r="S212" s="2" t="s">
        <v>65</v>
      </c>
      <c r="T212" s="2" t="s">
        <v>699</v>
      </c>
    </row>
    <row r="213" spans="1:20" ht="114">
      <c r="A213" s="2" t="s">
        <v>1960</v>
      </c>
      <c r="B213" s="2" t="s">
        <v>633</v>
      </c>
      <c r="C213" s="2" t="s">
        <v>114</v>
      </c>
      <c r="D213" s="2" t="s">
        <v>1961</v>
      </c>
      <c r="E213" s="2" t="s">
        <v>1962</v>
      </c>
      <c r="F213" s="2" t="s">
        <v>1963</v>
      </c>
      <c r="G213" s="2" t="s">
        <v>695</v>
      </c>
      <c r="H213" s="2" t="s">
        <v>1964</v>
      </c>
      <c r="I213" s="2" t="s">
        <v>116</v>
      </c>
      <c r="J213" s="2" t="s">
        <v>637</v>
      </c>
      <c r="K213" s="2" t="s">
        <v>65</v>
      </c>
      <c r="L213" s="2" t="s">
        <v>94</v>
      </c>
      <c r="M213" s="2" t="s">
        <v>697</v>
      </c>
      <c r="N213" s="2" t="s">
        <v>1965</v>
      </c>
      <c r="O213" s="2" t="s">
        <v>60</v>
      </c>
      <c r="P213" s="2">
        <v>2</v>
      </c>
      <c r="Q213" s="2" t="s">
        <v>17</v>
      </c>
      <c r="R213" s="2" t="s">
        <v>93</v>
      </c>
      <c r="S213" s="2" t="s">
        <v>65</v>
      </c>
      <c r="T213" s="2" t="s">
        <v>699</v>
      </c>
    </row>
    <row r="214" spans="1:20" ht="114">
      <c r="A214" s="2" t="s">
        <v>1966</v>
      </c>
      <c r="B214" s="2" t="s">
        <v>633</v>
      </c>
      <c r="C214" s="2" t="s">
        <v>114</v>
      </c>
      <c r="D214" s="2" t="s">
        <v>1967</v>
      </c>
      <c r="E214" s="2" t="s">
        <v>1968</v>
      </c>
      <c r="F214" s="2" t="s">
        <v>1969</v>
      </c>
      <c r="G214" s="2" t="s">
        <v>695</v>
      </c>
      <c r="H214" s="2" t="s">
        <v>1970</v>
      </c>
      <c r="I214" s="2" t="s">
        <v>116</v>
      </c>
      <c r="J214" s="2" t="s">
        <v>637</v>
      </c>
      <c r="K214" s="2" t="s">
        <v>65</v>
      </c>
      <c r="L214" s="2" t="s">
        <v>94</v>
      </c>
      <c r="M214" s="2" t="s">
        <v>697</v>
      </c>
      <c r="N214" s="2" t="s">
        <v>1971</v>
      </c>
      <c r="O214" s="2" t="s">
        <v>60</v>
      </c>
      <c r="P214" s="2">
        <v>3</v>
      </c>
      <c r="Q214" s="2" t="s">
        <v>17</v>
      </c>
      <c r="R214" s="2" t="s">
        <v>93</v>
      </c>
      <c r="S214" s="2" t="s">
        <v>65</v>
      </c>
      <c r="T214" s="2" t="s">
        <v>699</v>
      </c>
    </row>
    <row r="215" spans="1:20" ht="114">
      <c r="A215" s="2" t="s">
        <v>1972</v>
      </c>
      <c r="B215" s="2" t="s">
        <v>638</v>
      </c>
      <c r="C215" s="2" t="s">
        <v>120</v>
      </c>
      <c r="D215" s="2" t="s">
        <v>1973</v>
      </c>
      <c r="E215" s="2" t="s">
        <v>1974</v>
      </c>
      <c r="F215" s="2" t="s">
        <v>1975</v>
      </c>
      <c r="G215" s="2" t="s">
        <v>695</v>
      </c>
      <c r="H215" s="2" t="s">
        <v>1976</v>
      </c>
      <c r="I215" s="2" t="s">
        <v>122</v>
      </c>
      <c r="J215" s="2" t="s">
        <v>642</v>
      </c>
      <c r="K215" s="2" t="s">
        <v>288</v>
      </c>
      <c r="L215" s="2" t="s">
        <v>65</v>
      </c>
      <c r="M215" s="2" t="s">
        <v>697</v>
      </c>
      <c r="N215" s="2" t="s">
        <v>1977</v>
      </c>
      <c r="O215" s="2" t="s">
        <v>60</v>
      </c>
      <c r="P215" s="2">
        <v>1</v>
      </c>
      <c r="Q215" s="2" t="s">
        <v>17</v>
      </c>
      <c r="R215" s="2" t="s">
        <v>93</v>
      </c>
      <c r="S215" s="2" t="s">
        <v>65</v>
      </c>
      <c r="T215" s="2" t="s">
        <v>699</v>
      </c>
    </row>
    <row r="216" spans="1:20" ht="114">
      <c r="A216" s="2" t="s">
        <v>1978</v>
      </c>
      <c r="B216" s="2" t="s">
        <v>638</v>
      </c>
      <c r="C216" s="2" t="s">
        <v>120</v>
      </c>
      <c r="D216" s="2" t="s">
        <v>1979</v>
      </c>
      <c r="E216" s="2" t="s">
        <v>1980</v>
      </c>
      <c r="F216" s="2" t="s">
        <v>1981</v>
      </c>
      <c r="G216" s="2" t="s">
        <v>695</v>
      </c>
      <c r="H216" s="2" t="s">
        <v>1982</v>
      </c>
      <c r="I216" s="2" t="s">
        <v>122</v>
      </c>
      <c r="J216" s="2" t="s">
        <v>642</v>
      </c>
      <c r="K216" s="2" t="s">
        <v>288</v>
      </c>
      <c r="L216" s="2" t="s">
        <v>65</v>
      </c>
      <c r="M216" s="2" t="s">
        <v>697</v>
      </c>
      <c r="N216" s="2" t="s">
        <v>1983</v>
      </c>
      <c r="O216" s="2" t="s">
        <v>60</v>
      </c>
      <c r="P216" s="2">
        <v>2</v>
      </c>
      <c r="Q216" s="2" t="s">
        <v>17</v>
      </c>
      <c r="R216" s="2" t="s">
        <v>93</v>
      </c>
      <c r="S216" s="2" t="s">
        <v>65</v>
      </c>
      <c r="T216" s="2" t="s">
        <v>699</v>
      </c>
    </row>
    <row r="217" spans="1:20" ht="114">
      <c r="A217" s="2" t="s">
        <v>1984</v>
      </c>
      <c r="B217" s="2" t="s">
        <v>638</v>
      </c>
      <c r="C217" s="2" t="s">
        <v>120</v>
      </c>
      <c r="D217" s="2" t="s">
        <v>1985</v>
      </c>
      <c r="E217" s="2" t="s">
        <v>1986</v>
      </c>
      <c r="F217" s="2" t="s">
        <v>1987</v>
      </c>
      <c r="G217" s="2" t="s">
        <v>695</v>
      </c>
      <c r="H217" s="2" t="s">
        <v>1988</v>
      </c>
      <c r="I217" s="2" t="s">
        <v>122</v>
      </c>
      <c r="J217" s="2" t="s">
        <v>642</v>
      </c>
      <c r="K217" s="2" t="s">
        <v>288</v>
      </c>
      <c r="L217" s="2" t="s">
        <v>65</v>
      </c>
      <c r="M217" s="2" t="s">
        <v>697</v>
      </c>
      <c r="N217" s="2" t="s">
        <v>1989</v>
      </c>
      <c r="O217" s="2" t="s">
        <v>60</v>
      </c>
      <c r="P217" s="2">
        <v>3</v>
      </c>
      <c r="Q217" s="2" t="s">
        <v>17</v>
      </c>
      <c r="R217" s="2" t="s">
        <v>93</v>
      </c>
      <c r="S217" s="2" t="s">
        <v>65</v>
      </c>
      <c r="T217" s="2" t="s">
        <v>699</v>
      </c>
    </row>
    <row r="218" spans="1:20" ht="114">
      <c r="A218" s="2" t="s">
        <v>1990</v>
      </c>
      <c r="B218" s="2" t="s">
        <v>643</v>
      </c>
      <c r="C218" s="2" t="s">
        <v>120</v>
      </c>
      <c r="D218" s="2" t="s">
        <v>1991</v>
      </c>
      <c r="E218" s="2" t="s">
        <v>1992</v>
      </c>
      <c r="F218" s="2" t="s">
        <v>1993</v>
      </c>
      <c r="G218" s="2" t="s">
        <v>695</v>
      </c>
      <c r="H218" s="2" t="s">
        <v>1994</v>
      </c>
      <c r="I218" s="2" t="s">
        <v>122</v>
      </c>
      <c r="J218" s="2" t="s">
        <v>647</v>
      </c>
      <c r="K218" s="2" t="s">
        <v>65</v>
      </c>
      <c r="L218" s="2" t="s">
        <v>65</v>
      </c>
      <c r="M218" s="2" t="s">
        <v>697</v>
      </c>
      <c r="N218" s="2" t="s">
        <v>1995</v>
      </c>
      <c r="O218" s="2" t="s">
        <v>60</v>
      </c>
      <c r="P218" s="2">
        <v>1</v>
      </c>
      <c r="Q218" s="2" t="s">
        <v>17</v>
      </c>
      <c r="R218" s="2" t="s">
        <v>353</v>
      </c>
      <c r="S218" s="2" t="s">
        <v>65</v>
      </c>
      <c r="T218" s="2" t="s">
        <v>699</v>
      </c>
    </row>
    <row r="219" spans="1:20" ht="114">
      <c r="A219" s="2" t="s">
        <v>1996</v>
      </c>
      <c r="B219" s="2" t="s">
        <v>643</v>
      </c>
      <c r="C219" s="2" t="s">
        <v>120</v>
      </c>
      <c r="D219" s="2" t="s">
        <v>1997</v>
      </c>
      <c r="E219" s="2" t="s">
        <v>1998</v>
      </c>
      <c r="F219" s="2" t="s">
        <v>1999</v>
      </c>
      <c r="G219" s="2" t="s">
        <v>695</v>
      </c>
      <c r="H219" s="2" t="s">
        <v>2000</v>
      </c>
      <c r="I219" s="2" t="s">
        <v>122</v>
      </c>
      <c r="J219" s="2" t="s">
        <v>647</v>
      </c>
      <c r="K219" s="2" t="s">
        <v>65</v>
      </c>
      <c r="L219" s="2" t="s">
        <v>65</v>
      </c>
      <c r="M219" s="2" t="s">
        <v>697</v>
      </c>
      <c r="N219" s="2" t="s">
        <v>2001</v>
      </c>
      <c r="O219" s="2" t="s">
        <v>60</v>
      </c>
      <c r="P219" s="2">
        <v>2</v>
      </c>
      <c r="Q219" s="2" t="s">
        <v>17</v>
      </c>
      <c r="R219" s="2" t="s">
        <v>353</v>
      </c>
      <c r="S219" s="2" t="s">
        <v>65</v>
      </c>
      <c r="T219" s="2" t="s">
        <v>699</v>
      </c>
    </row>
    <row r="220" spans="1:20" ht="114">
      <c r="A220" s="2" t="s">
        <v>2002</v>
      </c>
      <c r="B220" s="2" t="s">
        <v>643</v>
      </c>
      <c r="C220" s="2" t="s">
        <v>120</v>
      </c>
      <c r="D220" s="2" t="s">
        <v>2003</v>
      </c>
      <c r="E220" s="2" t="s">
        <v>2004</v>
      </c>
      <c r="F220" s="2" t="s">
        <v>2005</v>
      </c>
      <c r="G220" s="2" t="s">
        <v>695</v>
      </c>
      <c r="H220" s="2" t="s">
        <v>2006</v>
      </c>
      <c r="I220" s="2" t="s">
        <v>122</v>
      </c>
      <c r="J220" s="2" t="s">
        <v>647</v>
      </c>
      <c r="K220" s="2" t="s">
        <v>65</v>
      </c>
      <c r="L220" s="2" t="s">
        <v>65</v>
      </c>
      <c r="M220" s="2" t="s">
        <v>697</v>
      </c>
      <c r="N220" s="2" t="s">
        <v>2007</v>
      </c>
      <c r="O220" s="2" t="s">
        <v>60</v>
      </c>
      <c r="P220" s="2">
        <v>3</v>
      </c>
      <c r="Q220" s="2" t="s">
        <v>17</v>
      </c>
      <c r="R220" s="2" t="s">
        <v>353</v>
      </c>
      <c r="S220" s="2" t="s">
        <v>65</v>
      </c>
      <c r="T220" s="2" t="s">
        <v>699</v>
      </c>
    </row>
    <row r="221" spans="1:20" ht="114">
      <c r="A221" s="2" t="s">
        <v>2008</v>
      </c>
      <c r="B221" s="2" t="s">
        <v>648</v>
      </c>
      <c r="C221" s="2" t="s">
        <v>120</v>
      </c>
      <c r="D221" s="2" t="s">
        <v>2009</v>
      </c>
      <c r="E221" s="2" t="s">
        <v>2010</v>
      </c>
      <c r="F221" s="2" t="s">
        <v>2011</v>
      </c>
      <c r="G221" s="2" t="s">
        <v>695</v>
      </c>
      <c r="H221" s="2" t="s">
        <v>2012</v>
      </c>
      <c r="I221" s="2" t="s">
        <v>122</v>
      </c>
      <c r="J221" s="2" t="s">
        <v>652</v>
      </c>
      <c r="K221" s="2" t="s">
        <v>65</v>
      </c>
      <c r="L221" s="2" t="s">
        <v>65</v>
      </c>
      <c r="M221" s="2" t="s">
        <v>697</v>
      </c>
      <c r="N221" s="2" t="s">
        <v>2013</v>
      </c>
      <c r="O221" s="2" t="s">
        <v>60</v>
      </c>
      <c r="P221" s="2">
        <v>1</v>
      </c>
      <c r="Q221" s="2" t="s">
        <v>17</v>
      </c>
      <c r="R221" s="2" t="s">
        <v>93</v>
      </c>
      <c r="S221" s="2" t="s">
        <v>65</v>
      </c>
      <c r="T221" s="2" t="s">
        <v>699</v>
      </c>
    </row>
    <row r="222" spans="1:20" ht="114">
      <c r="A222" s="2" t="s">
        <v>2014</v>
      </c>
      <c r="B222" s="2" t="s">
        <v>648</v>
      </c>
      <c r="C222" s="2" t="s">
        <v>120</v>
      </c>
      <c r="D222" s="2" t="s">
        <v>2015</v>
      </c>
      <c r="E222" s="2" t="s">
        <v>2016</v>
      </c>
      <c r="F222" s="2" t="s">
        <v>2017</v>
      </c>
      <c r="G222" s="2" t="s">
        <v>695</v>
      </c>
      <c r="H222" s="2" t="s">
        <v>2018</v>
      </c>
      <c r="I222" s="2" t="s">
        <v>122</v>
      </c>
      <c r="J222" s="2" t="s">
        <v>652</v>
      </c>
      <c r="K222" s="2" t="s">
        <v>65</v>
      </c>
      <c r="L222" s="2" t="s">
        <v>65</v>
      </c>
      <c r="M222" s="2" t="s">
        <v>697</v>
      </c>
      <c r="N222" s="2" t="s">
        <v>2019</v>
      </c>
      <c r="O222" s="2" t="s">
        <v>60</v>
      </c>
      <c r="P222" s="2">
        <v>2</v>
      </c>
      <c r="Q222" s="2" t="s">
        <v>17</v>
      </c>
      <c r="R222" s="2" t="s">
        <v>93</v>
      </c>
      <c r="S222" s="2" t="s">
        <v>65</v>
      </c>
      <c r="T222" s="2" t="s">
        <v>699</v>
      </c>
    </row>
    <row r="223" spans="1:20" ht="114">
      <c r="A223" s="2" t="s">
        <v>2020</v>
      </c>
      <c r="B223" s="2" t="s">
        <v>648</v>
      </c>
      <c r="C223" s="2" t="s">
        <v>120</v>
      </c>
      <c r="D223" s="2" t="s">
        <v>2021</v>
      </c>
      <c r="E223" s="2" t="s">
        <v>2022</v>
      </c>
      <c r="F223" s="2" t="s">
        <v>2023</v>
      </c>
      <c r="G223" s="2" t="s">
        <v>695</v>
      </c>
      <c r="H223" s="2" t="s">
        <v>2024</v>
      </c>
      <c r="I223" s="2" t="s">
        <v>122</v>
      </c>
      <c r="J223" s="2" t="s">
        <v>652</v>
      </c>
      <c r="K223" s="2" t="s">
        <v>65</v>
      </c>
      <c r="L223" s="2" t="s">
        <v>65</v>
      </c>
      <c r="M223" s="2" t="s">
        <v>697</v>
      </c>
      <c r="N223" s="2" t="s">
        <v>2025</v>
      </c>
      <c r="O223" s="2" t="s">
        <v>60</v>
      </c>
      <c r="P223" s="2">
        <v>3</v>
      </c>
      <c r="Q223" s="2" t="s">
        <v>17</v>
      </c>
      <c r="R223" s="2" t="s">
        <v>93</v>
      </c>
      <c r="S223" s="2" t="s">
        <v>65</v>
      </c>
      <c r="T223" s="2" t="s">
        <v>699</v>
      </c>
    </row>
    <row r="224" spans="1:20" ht="114">
      <c r="A224" s="2" t="s">
        <v>2026</v>
      </c>
      <c r="B224" s="2" t="s">
        <v>653</v>
      </c>
      <c r="C224" s="2" t="s">
        <v>120</v>
      </c>
      <c r="D224" s="2" t="s">
        <v>2027</v>
      </c>
      <c r="E224" s="2" t="s">
        <v>2028</v>
      </c>
      <c r="F224" s="2" t="s">
        <v>2029</v>
      </c>
      <c r="G224" s="2" t="s">
        <v>695</v>
      </c>
      <c r="H224" s="2" t="s">
        <v>2030</v>
      </c>
      <c r="I224" s="2" t="s">
        <v>122</v>
      </c>
      <c r="J224" s="2" t="s">
        <v>657</v>
      </c>
      <c r="K224" s="2" t="s">
        <v>65</v>
      </c>
      <c r="L224" s="2" t="s">
        <v>65</v>
      </c>
      <c r="M224" s="2" t="s">
        <v>697</v>
      </c>
      <c r="N224" s="2" t="s">
        <v>2031</v>
      </c>
      <c r="O224" s="2" t="s">
        <v>60</v>
      </c>
      <c r="P224" s="2">
        <v>1</v>
      </c>
      <c r="Q224" s="2" t="s">
        <v>17</v>
      </c>
      <c r="R224" s="2" t="s">
        <v>353</v>
      </c>
      <c r="S224" s="2" t="s">
        <v>65</v>
      </c>
      <c r="T224" s="2" t="s">
        <v>699</v>
      </c>
    </row>
    <row r="225" spans="1:20" ht="114">
      <c r="A225" s="2" t="s">
        <v>2032</v>
      </c>
      <c r="B225" s="2" t="s">
        <v>653</v>
      </c>
      <c r="C225" s="2" t="s">
        <v>120</v>
      </c>
      <c r="D225" s="2" t="s">
        <v>2033</v>
      </c>
      <c r="E225" s="2" t="s">
        <v>2034</v>
      </c>
      <c r="F225" s="2" t="s">
        <v>2035</v>
      </c>
      <c r="G225" s="2" t="s">
        <v>695</v>
      </c>
      <c r="H225" s="2" t="s">
        <v>2036</v>
      </c>
      <c r="I225" s="2" t="s">
        <v>122</v>
      </c>
      <c r="J225" s="2" t="s">
        <v>657</v>
      </c>
      <c r="K225" s="2" t="s">
        <v>65</v>
      </c>
      <c r="L225" s="2" t="s">
        <v>65</v>
      </c>
      <c r="M225" s="2" t="s">
        <v>697</v>
      </c>
      <c r="N225" s="2" t="s">
        <v>2037</v>
      </c>
      <c r="O225" s="2" t="s">
        <v>60</v>
      </c>
      <c r="P225" s="2">
        <v>2</v>
      </c>
      <c r="Q225" s="2" t="s">
        <v>17</v>
      </c>
      <c r="R225" s="2" t="s">
        <v>353</v>
      </c>
      <c r="S225" s="2" t="s">
        <v>65</v>
      </c>
      <c r="T225" s="2" t="s">
        <v>699</v>
      </c>
    </row>
    <row r="226" spans="1:20" ht="114">
      <c r="A226" s="2" t="s">
        <v>2038</v>
      </c>
      <c r="B226" s="2" t="s">
        <v>653</v>
      </c>
      <c r="C226" s="2" t="s">
        <v>120</v>
      </c>
      <c r="D226" s="2" t="s">
        <v>2039</v>
      </c>
      <c r="E226" s="2" t="s">
        <v>2040</v>
      </c>
      <c r="F226" s="2" t="s">
        <v>2041</v>
      </c>
      <c r="G226" s="2" t="s">
        <v>695</v>
      </c>
      <c r="H226" s="2" t="s">
        <v>2042</v>
      </c>
      <c r="I226" s="2" t="s">
        <v>122</v>
      </c>
      <c r="J226" s="2" t="s">
        <v>657</v>
      </c>
      <c r="K226" s="2" t="s">
        <v>65</v>
      </c>
      <c r="L226" s="2" t="s">
        <v>65</v>
      </c>
      <c r="M226" s="2" t="s">
        <v>697</v>
      </c>
      <c r="N226" s="2" t="s">
        <v>2043</v>
      </c>
      <c r="O226" s="2" t="s">
        <v>60</v>
      </c>
      <c r="P226" s="2">
        <v>3</v>
      </c>
      <c r="Q226" s="2" t="s">
        <v>17</v>
      </c>
      <c r="R226" s="2" t="s">
        <v>353</v>
      </c>
      <c r="S226" s="2" t="s">
        <v>65</v>
      </c>
      <c r="T226" s="2" t="s">
        <v>699</v>
      </c>
    </row>
    <row r="227" spans="1:20" ht="114">
      <c r="A227" s="2" t="s">
        <v>2044</v>
      </c>
      <c r="B227" s="2" t="s">
        <v>658</v>
      </c>
      <c r="C227" s="2" t="s">
        <v>120</v>
      </c>
      <c r="D227" s="2" t="s">
        <v>2045</v>
      </c>
      <c r="E227" s="2" t="s">
        <v>2046</v>
      </c>
      <c r="F227" s="2" t="s">
        <v>2047</v>
      </c>
      <c r="G227" s="2" t="s">
        <v>695</v>
      </c>
      <c r="H227" s="2" t="s">
        <v>2048</v>
      </c>
      <c r="I227" s="2" t="s">
        <v>122</v>
      </c>
      <c r="J227" s="2" t="s">
        <v>662</v>
      </c>
      <c r="K227" s="2" t="s">
        <v>94</v>
      </c>
      <c r="L227" s="2" t="s">
        <v>65</v>
      </c>
      <c r="M227" s="2" t="s">
        <v>697</v>
      </c>
      <c r="N227" s="2" t="s">
        <v>2049</v>
      </c>
      <c r="O227" s="2" t="s">
        <v>60</v>
      </c>
      <c r="P227" s="2">
        <v>1</v>
      </c>
      <c r="Q227" s="2" t="s">
        <v>17</v>
      </c>
      <c r="R227" s="2" t="s">
        <v>93</v>
      </c>
      <c r="S227" s="2" t="s">
        <v>65</v>
      </c>
      <c r="T227" s="2" t="s">
        <v>699</v>
      </c>
    </row>
    <row r="228" spans="1:20" ht="114">
      <c r="A228" s="2" t="s">
        <v>2050</v>
      </c>
      <c r="B228" s="2" t="s">
        <v>658</v>
      </c>
      <c r="C228" s="2" t="s">
        <v>120</v>
      </c>
      <c r="D228" s="2" t="s">
        <v>2051</v>
      </c>
      <c r="E228" s="2" t="s">
        <v>2052</v>
      </c>
      <c r="F228" s="2" t="s">
        <v>2053</v>
      </c>
      <c r="G228" s="2" t="s">
        <v>695</v>
      </c>
      <c r="H228" s="2" t="s">
        <v>2054</v>
      </c>
      <c r="I228" s="2" t="s">
        <v>122</v>
      </c>
      <c r="J228" s="2" t="s">
        <v>662</v>
      </c>
      <c r="K228" s="2" t="s">
        <v>94</v>
      </c>
      <c r="L228" s="2" t="s">
        <v>65</v>
      </c>
      <c r="M228" s="2" t="s">
        <v>697</v>
      </c>
      <c r="N228" s="2" t="s">
        <v>2055</v>
      </c>
      <c r="O228" s="2" t="s">
        <v>60</v>
      </c>
      <c r="P228" s="2">
        <v>2</v>
      </c>
      <c r="Q228" s="2" t="s">
        <v>17</v>
      </c>
      <c r="R228" s="2" t="s">
        <v>93</v>
      </c>
      <c r="S228" s="2" t="s">
        <v>65</v>
      </c>
      <c r="T228" s="2" t="s">
        <v>699</v>
      </c>
    </row>
    <row r="229" spans="1:20" ht="114">
      <c r="A229" s="2" t="s">
        <v>2056</v>
      </c>
      <c r="B229" s="2" t="s">
        <v>658</v>
      </c>
      <c r="C229" s="2" t="s">
        <v>120</v>
      </c>
      <c r="D229" s="2" t="s">
        <v>2057</v>
      </c>
      <c r="E229" s="2" t="s">
        <v>2058</v>
      </c>
      <c r="F229" s="2" t="s">
        <v>2059</v>
      </c>
      <c r="G229" s="2" t="s">
        <v>695</v>
      </c>
      <c r="H229" s="2" t="s">
        <v>2060</v>
      </c>
      <c r="I229" s="2" t="s">
        <v>122</v>
      </c>
      <c r="J229" s="2" t="s">
        <v>662</v>
      </c>
      <c r="K229" s="2" t="s">
        <v>94</v>
      </c>
      <c r="L229" s="2" t="s">
        <v>65</v>
      </c>
      <c r="M229" s="2" t="s">
        <v>697</v>
      </c>
      <c r="N229" s="2" t="s">
        <v>2061</v>
      </c>
      <c r="O229" s="2" t="s">
        <v>60</v>
      </c>
      <c r="P229" s="2">
        <v>3</v>
      </c>
      <c r="Q229" s="2" t="s">
        <v>17</v>
      </c>
      <c r="R229" s="2" t="s">
        <v>93</v>
      </c>
      <c r="S229" s="2" t="s">
        <v>65</v>
      </c>
      <c r="T229" s="2" t="s">
        <v>699</v>
      </c>
    </row>
    <row r="230" spans="1:20" ht="114">
      <c r="A230" s="2" t="s">
        <v>2062</v>
      </c>
      <c r="B230" s="2" t="s">
        <v>663</v>
      </c>
      <c r="C230" s="2" t="s">
        <v>126</v>
      </c>
      <c r="D230" s="2" t="s">
        <v>2063</v>
      </c>
      <c r="E230" s="2" t="s">
        <v>2064</v>
      </c>
      <c r="F230" s="2" t="s">
        <v>2065</v>
      </c>
      <c r="G230" s="2" t="s">
        <v>695</v>
      </c>
      <c r="H230" s="2" t="s">
        <v>2066</v>
      </c>
      <c r="I230" s="2" t="s">
        <v>128</v>
      </c>
      <c r="J230" s="2" t="s">
        <v>667</v>
      </c>
      <c r="K230" s="2" t="s">
        <v>94</v>
      </c>
      <c r="L230" s="2" t="s">
        <v>65</v>
      </c>
      <c r="M230" s="2" t="s">
        <v>697</v>
      </c>
      <c r="N230" s="2" t="s">
        <v>2067</v>
      </c>
      <c r="O230" s="2" t="s">
        <v>60</v>
      </c>
      <c r="P230" s="2">
        <v>1</v>
      </c>
      <c r="Q230" s="2" t="s">
        <v>17</v>
      </c>
      <c r="R230" s="2" t="s">
        <v>131</v>
      </c>
      <c r="S230" s="2" t="s">
        <v>65</v>
      </c>
      <c r="T230" s="2" t="s">
        <v>699</v>
      </c>
    </row>
    <row r="231" spans="1:20" ht="114">
      <c r="A231" s="2" t="s">
        <v>2068</v>
      </c>
      <c r="B231" s="2" t="s">
        <v>663</v>
      </c>
      <c r="C231" s="2" t="s">
        <v>126</v>
      </c>
      <c r="D231" s="2" t="s">
        <v>2069</v>
      </c>
      <c r="E231" s="2" t="s">
        <v>2070</v>
      </c>
      <c r="F231" s="2" t="s">
        <v>2071</v>
      </c>
      <c r="G231" s="2" t="s">
        <v>695</v>
      </c>
      <c r="H231" s="2" t="s">
        <v>2072</v>
      </c>
      <c r="I231" s="2" t="s">
        <v>128</v>
      </c>
      <c r="J231" s="2" t="s">
        <v>667</v>
      </c>
      <c r="K231" s="2" t="s">
        <v>94</v>
      </c>
      <c r="L231" s="2" t="s">
        <v>65</v>
      </c>
      <c r="M231" s="2" t="s">
        <v>697</v>
      </c>
      <c r="N231" s="2" t="s">
        <v>2073</v>
      </c>
      <c r="O231" s="2" t="s">
        <v>60</v>
      </c>
      <c r="P231" s="2">
        <v>2</v>
      </c>
      <c r="Q231" s="2" t="s">
        <v>17</v>
      </c>
      <c r="R231" s="2" t="s">
        <v>131</v>
      </c>
      <c r="S231" s="2" t="s">
        <v>65</v>
      </c>
      <c r="T231" s="2" t="s">
        <v>699</v>
      </c>
    </row>
    <row r="232" spans="1:20" ht="114">
      <c r="A232" s="2" t="s">
        <v>2074</v>
      </c>
      <c r="B232" s="2" t="s">
        <v>663</v>
      </c>
      <c r="C232" s="2" t="s">
        <v>126</v>
      </c>
      <c r="D232" s="2" t="s">
        <v>2075</v>
      </c>
      <c r="E232" s="2" t="s">
        <v>2076</v>
      </c>
      <c r="F232" s="2" t="s">
        <v>2077</v>
      </c>
      <c r="G232" s="2" t="s">
        <v>695</v>
      </c>
      <c r="H232" s="2" t="s">
        <v>2078</v>
      </c>
      <c r="I232" s="2" t="s">
        <v>128</v>
      </c>
      <c r="J232" s="2" t="s">
        <v>667</v>
      </c>
      <c r="K232" s="2" t="s">
        <v>94</v>
      </c>
      <c r="L232" s="2" t="s">
        <v>65</v>
      </c>
      <c r="M232" s="2" t="s">
        <v>697</v>
      </c>
      <c r="N232" s="2" t="s">
        <v>2079</v>
      </c>
      <c r="O232" s="2" t="s">
        <v>60</v>
      </c>
      <c r="P232" s="2">
        <v>3</v>
      </c>
      <c r="Q232" s="2" t="s">
        <v>17</v>
      </c>
      <c r="R232" s="2" t="s">
        <v>131</v>
      </c>
      <c r="S232" s="2" t="s">
        <v>65</v>
      </c>
      <c r="T232" s="2" t="s">
        <v>699</v>
      </c>
    </row>
    <row r="233" spans="1:20" ht="114">
      <c r="A233" s="2" t="s">
        <v>2080</v>
      </c>
      <c r="B233" s="2" t="s">
        <v>668</v>
      </c>
      <c r="C233" s="2" t="s">
        <v>126</v>
      </c>
      <c r="D233" s="2" t="s">
        <v>2081</v>
      </c>
      <c r="E233" s="2" t="s">
        <v>2082</v>
      </c>
      <c r="F233" s="2" t="s">
        <v>2083</v>
      </c>
      <c r="G233" s="2" t="s">
        <v>695</v>
      </c>
      <c r="H233" s="2" t="s">
        <v>2084</v>
      </c>
      <c r="I233" s="2" t="s">
        <v>128</v>
      </c>
      <c r="J233" s="2" t="s">
        <v>672</v>
      </c>
      <c r="K233" s="2" t="s">
        <v>94</v>
      </c>
      <c r="L233" s="2" t="s">
        <v>65</v>
      </c>
      <c r="M233" s="2" t="s">
        <v>697</v>
      </c>
      <c r="N233" s="2" t="s">
        <v>2085</v>
      </c>
      <c r="O233" s="2" t="s">
        <v>60</v>
      </c>
      <c r="P233" s="2">
        <v>1</v>
      </c>
      <c r="Q233" s="2" t="s">
        <v>17</v>
      </c>
      <c r="R233" s="2" t="s">
        <v>93</v>
      </c>
      <c r="S233" s="2" t="s">
        <v>65</v>
      </c>
      <c r="T233" s="2" t="s">
        <v>699</v>
      </c>
    </row>
    <row r="234" spans="1:20" ht="114">
      <c r="A234" s="2" t="s">
        <v>2086</v>
      </c>
      <c r="B234" s="2" t="s">
        <v>668</v>
      </c>
      <c r="C234" s="2" t="s">
        <v>126</v>
      </c>
      <c r="D234" s="2" t="s">
        <v>2087</v>
      </c>
      <c r="E234" s="2" t="s">
        <v>2088</v>
      </c>
      <c r="F234" s="2" t="s">
        <v>2089</v>
      </c>
      <c r="G234" s="2" t="s">
        <v>695</v>
      </c>
      <c r="H234" s="2" t="s">
        <v>2090</v>
      </c>
      <c r="I234" s="2" t="s">
        <v>128</v>
      </c>
      <c r="J234" s="2" t="s">
        <v>672</v>
      </c>
      <c r="K234" s="2" t="s">
        <v>94</v>
      </c>
      <c r="L234" s="2" t="s">
        <v>65</v>
      </c>
      <c r="M234" s="2" t="s">
        <v>697</v>
      </c>
      <c r="N234" s="2" t="s">
        <v>2091</v>
      </c>
      <c r="O234" s="2" t="s">
        <v>60</v>
      </c>
      <c r="P234" s="2">
        <v>2</v>
      </c>
      <c r="Q234" s="2" t="s">
        <v>17</v>
      </c>
      <c r="R234" s="2" t="s">
        <v>93</v>
      </c>
      <c r="S234" s="2" t="s">
        <v>65</v>
      </c>
      <c r="T234" s="2" t="s">
        <v>699</v>
      </c>
    </row>
    <row r="235" spans="1:20" ht="114">
      <c r="A235" s="2" t="s">
        <v>2092</v>
      </c>
      <c r="B235" s="2" t="s">
        <v>668</v>
      </c>
      <c r="C235" s="2" t="s">
        <v>126</v>
      </c>
      <c r="D235" s="2" t="s">
        <v>2093</v>
      </c>
      <c r="E235" s="2" t="s">
        <v>2094</v>
      </c>
      <c r="F235" s="2" t="s">
        <v>2095</v>
      </c>
      <c r="G235" s="2" t="s">
        <v>695</v>
      </c>
      <c r="H235" s="2" t="s">
        <v>2096</v>
      </c>
      <c r="I235" s="2" t="s">
        <v>128</v>
      </c>
      <c r="J235" s="2" t="s">
        <v>672</v>
      </c>
      <c r="K235" s="2" t="s">
        <v>94</v>
      </c>
      <c r="L235" s="2" t="s">
        <v>65</v>
      </c>
      <c r="M235" s="2" t="s">
        <v>697</v>
      </c>
      <c r="N235" s="2" t="s">
        <v>2097</v>
      </c>
      <c r="O235" s="2" t="s">
        <v>60</v>
      </c>
      <c r="P235" s="2">
        <v>3</v>
      </c>
      <c r="Q235" s="2" t="s">
        <v>17</v>
      </c>
      <c r="R235" s="2" t="s">
        <v>93</v>
      </c>
      <c r="S235" s="2" t="s">
        <v>65</v>
      </c>
      <c r="T235" s="2" t="s">
        <v>699</v>
      </c>
    </row>
    <row r="236" spans="1:20" ht="114">
      <c r="A236" s="2" t="s">
        <v>2098</v>
      </c>
      <c r="B236" s="2" t="s">
        <v>673</v>
      </c>
      <c r="C236" s="2" t="s">
        <v>126</v>
      </c>
      <c r="D236" s="2" t="s">
        <v>2099</v>
      </c>
      <c r="E236" s="2" t="s">
        <v>2100</v>
      </c>
      <c r="F236" s="2" t="s">
        <v>2101</v>
      </c>
      <c r="G236" s="2" t="s">
        <v>695</v>
      </c>
      <c r="H236" s="2" t="s">
        <v>2102</v>
      </c>
      <c r="I236" s="2" t="s">
        <v>128</v>
      </c>
      <c r="J236" s="2" t="s">
        <v>677</v>
      </c>
      <c r="K236" s="2" t="s">
        <v>94</v>
      </c>
      <c r="L236" s="2" t="s">
        <v>65</v>
      </c>
      <c r="M236" s="2" t="s">
        <v>697</v>
      </c>
      <c r="N236" s="2" t="s">
        <v>2103</v>
      </c>
      <c r="O236" s="2" t="s">
        <v>60</v>
      </c>
      <c r="P236" s="2">
        <v>1</v>
      </c>
      <c r="Q236" s="2" t="s">
        <v>17</v>
      </c>
      <c r="R236" s="2" t="s">
        <v>93</v>
      </c>
      <c r="S236" s="2" t="s">
        <v>65</v>
      </c>
      <c r="T236" s="2" t="s">
        <v>699</v>
      </c>
    </row>
    <row r="237" spans="1:20" ht="114">
      <c r="A237" s="2" t="s">
        <v>2104</v>
      </c>
      <c r="B237" s="2" t="s">
        <v>673</v>
      </c>
      <c r="C237" s="2" t="s">
        <v>126</v>
      </c>
      <c r="D237" s="2" t="s">
        <v>2105</v>
      </c>
      <c r="E237" s="2" t="s">
        <v>2106</v>
      </c>
      <c r="F237" s="2" t="s">
        <v>2107</v>
      </c>
      <c r="G237" s="2" t="s">
        <v>695</v>
      </c>
      <c r="H237" s="2" t="s">
        <v>2108</v>
      </c>
      <c r="I237" s="2" t="s">
        <v>128</v>
      </c>
      <c r="J237" s="2" t="s">
        <v>677</v>
      </c>
      <c r="K237" s="2" t="s">
        <v>94</v>
      </c>
      <c r="L237" s="2" t="s">
        <v>65</v>
      </c>
      <c r="M237" s="2" t="s">
        <v>697</v>
      </c>
      <c r="N237" s="2" t="s">
        <v>2109</v>
      </c>
      <c r="O237" s="2" t="s">
        <v>60</v>
      </c>
      <c r="P237" s="2">
        <v>2</v>
      </c>
      <c r="Q237" s="2" t="s">
        <v>17</v>
      </c>
      <c r="R237" s="2" t="s">
        <v>93</v>
      </c>
      <c r="S237" s="2" t="s">
        <v>65</v>
      </c>
      <c r="T237" s="2" t="s">
        <v>699</v>
      </c>
    </row>
    <row r="238" spans="1:20" ht="114">
      <c r="A238" s="2" t="s">
        <v>2110</v>
      </c>
      <c r="B238" s="2" t="s">
        <v>673</v>
      </c>
      <c r="C238" s="2" t="s">
        <v>126</v>
      </c>
      <c r="D238" s="2" t="s">
        <v>2111</v>
      </c>
      <c r="E238" s="2" t="s">
        <v>2112</v>
      </c>
      <c r="F238" s="2" t="s">
        <v>2113</v>
      </c>
      <c r="G238" s="2" t="s">
        <v>695</v>
      </c>
      <c r="H238" s="2" t="s">
        <v>2114</v>
      </c>
      <c r="I238" s="2" t="s">
        <v>128</v>
      </c>
      <c r="J238" s="2" t="s">
        <v>677</v>
      </c>
      <c r="K238" s="2" t="s">
        <v>94</v>
      </c>
      <c r="L238" s="2" t="s">
        <v>65</v>
      </c>
      <c r="M238" s="2" t="s">
        <v>697</v>
      </c>
      <c r="N238" s="2" t="s">
        <v>2115</v>
      </c>
      <c r="O238" s="2" t="s">
        <v>60</v>
      </c>
      <c r="P238" s="2">
        <v>3</v>
      </c>
      <c r="Q238" s="2" t="s">
        <v>17</v>
      </c>
      <c r="R238" s="2" t="s">
        <v>93</v>
      </c>
      <c r="S238" s="2" t="s">
        <v>65</v>
      </c>
      <c r="T238" s="2" t="s">
        <v>699</v>
      </c>
    </row>
    <row r="239" spans="1:20" ht="114">
      <c r="A239" s="2" t="s">
        <v>2116</v>
      </c>
      <c r="B239" s="2" t="s">
        <v>678</v>
      </c>
      <c r="C239" s="2" t="s">
        <v>126</v>
      </c>
      <c r="D239" s="2" t="s">
        <v>2117</v>
      </c>
      <c r="E239" s="2" t="s">
        <v>2118</v>
      </c>
      <c r="F239" s="2" t="s">
        <v>2119</v>
      </c>
      <c r="G239" s="2" t="s">
        <v>695</v>
      </c>
      <c r="H239" s="2" t="s">
        <v>2120</v>
      </c>
      <c r="I239" s="2" t="s">
        <v>128</v>
      </c>
      <c r="J239" s="2" t="s">
        <v>682</v>
      </c>
      <c r="K239" s="2" t="s">
        <v>94</v>
      </c>
      <c r="L239" s="2" t="s">
        <v>65</v>
      </c>
      <c r="M239" s="2" t="s">
        <v>697</v>
      </c>
      <c r="N239" s="2" t="s">
        <v>2121</v>
      </c>
      <c r="O239" s="2" t="s">
        <v>60</v>
      </c>
      <c r="P239" s="2">
        <v>1</v>
      </c>
      <c r="Q239" s="2" t="s">
        <v>17</v>
      </c>
      <c r="R239" s="2" t="s">
        <v>93</v>
      </c>
      <c r="S239" s="2" t="s">
        <v>65</v>
      </c>
      <c r="T239" s="2" t="s">
        <v>699</v>
      </c>
    </row>
    <row r="240" spans="1:20" ht="114">
      <c r="A240" s="2" t="s">
        <v>2122</v>
      </c>
      <c r="B240" s="2" t="s">
        <v>678</v>
      </c>
      <c r="C240" s="2" t="s">
        <v>126</v>
      </c>
      <c r="D240" s="2" t="s">
        <v>2123</v>
      </c>
      <c r="E240" s="2" t="s">
        <v>2124</v>
      </c>
      <c r="F240" s="2" t="s">
        <v>2125</v>
      </c>
      <c r="G240" s="2" t="s">
        <v>695</v>
      </c>
      <c r="H240" s="2" t="s">
        <v>2126</v>
      </c>
      <c r="I240" s="2" t="s">
        <v>128</v>
      </c>
      <c r="J240" s="2" t="s">
        <v>682</v>
      </c>
      <c r="K240" s="2" t="s">
        <v>94</v>
      </c>
      <c r="L240" s="2" t="s">
        <v>65</v>
      </c>
      <c r="M240" s="2" t="s">
        <v>697</v>
      </c>
      <c r="N240" s="2" t="s">
        <v>2127</v>
      </c>
      <c r="O240" s="2" t="s">
        <v>60</v>
      </c>
      <c r="P240" s="2">
        <v>2</v>
      </c>
      <c r="Q240" s="2" t="s">
        <v>17</v>
      </c>
      <c r="R240" s="2" t="s">
        <v>93</v>
      </c>
      <c r="S240" s="2" t="s">
        <v>65</v>
      </c>
      <c r="T240" s="2" t="s">
        <v>699</v>
      </c>
    </row>
    <row r="241" spans="1:20" ht="114">
      <c r="A241" s="2" t="s">
        <v>2128</v>
      </c>
      <c r="B241" s="2" t="s">
        <v>678</v>
      </c>
      <c r="C241" s="2" t="s">
        <v>126</v>
      </c>
      <c r="D241" s="2" t="s">
        <v>2129</v>
      </c>
      <c r="E241" s="2" t="s">
        <v>2130</v>
      </c>
      <c r="F241" s="2" t="s">
        <v>2131</v>
      </c>
      <c r="G241" s="2" t="s">
        <v>695</v>
      </c>
      <c r="H241" s="2" t="s">
        <v>2132</v>
      </c>
      <c r="I241" s="2" t="s">
        <v>128</v>
      </c>
      <c r="J241" s="2" t="s">
        <v>682</v>
      </c>
      <c r="K241" s="2" t="s">
        <v>94</v>
      </c>
      <c r="L241" s="2" t="s">
        <v>65</v>
      </c>
      <c r="M241" s="2" t="s">
        <v>697</v>
      </c>
      <c r="N241" s="2" t="s">
        <v>2133</v>
      </c>
      <c r="O241" s="2" t="s">
        <v>60</v>
      </c>
      <c r="P241" s="2">
        <v>3</v>
      </c>
      <c r="Q241" s="2" t="s">
        <v>17</v>
      </c>
      <c r="R241" s="2" t="s">
        <v>93</v>
      </c>
      <c r="S241" s="2" t="s">
        <v>65</v>
      </c>
      <c r="T241" s="2" t="s">
        <v>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"/>
  <sheetViews>
    <sheetView workbookViewId="0"/>
  </sheetViews>
  <sheetFormatPr defaultRowHeight="14.25"/>
  <cols>
    <col min="1" max="4" width="18" customWidth="1"/>
    <col min="5" max="5" width="38" customWidth="1"/>
  </cols>
  <sheetData>
    <row r="1" spans="1:5" ht="15">
      <c r="A1" s="1" t="s">
        <v>2134</v>
      </c>
      <c r="B1" s="1" t="s">
        <v>2135</v>
      </c>
      <c r="C1" s="1" t="s">
        <v>2136</v>
      </c>
      <c r="D1" s="1" t="s">
        <v>2137</v>
      </c>
      <c r="E1" s="1" t="s">
        <v>3</v>
      </c>
    </row>
    <row r="2" spans="1:5">
      <c r="A2" s="2" t="s">
        <v>16</v>
      </c>
      <c r="B2" s="2" t="s">
        <v>17</v>
      </c>
      <c r="C2" s="2">
        <v>1</v>
      </c>
      <c r="D2" s="2" t="s">
        <v>60</v>
      </c>
      <c r="E2" s="2"/>
    </row>
    <row r="3" spans="1:5">
      <c r="A3" s="2" t="s">
        <v>16</v>
      </c>
      <c r="B3" s="2" t="s">
        <v>2138</v>
      </c>
      <c r="C3" s="2">
        <v>2</v>
      </c>
      <c r="D3" s="2" t="s">
        <v>60</v>
      </c>
      <c r="E3" s="2"/>
    </row>
    <row r="4" spans="1:5">
      <c r="A4" s="2" t="s">
        <v>16</v>
      </c>
      <c r="B4" s="2" t="s">
        <v>2139</v>
      </c>
      <c r="C4" s="2">
        <v>3</v>
      </c>
      <c r="D4" s="2" t="s">
        <v>60</v>
      </c>
      <c r="E4" s="2"/>
    </row>
    <row r="5" spans="1:5">
      <c r="A5" s="2" t="s">
        <v>16</v>
      </c>
      <c r="B5" s="2" t="s">
        <v>2140</v>
      </c>
      <c r="C5" s="2">
        <v>4</v>
      </c>
      <c r="D5" s="2" t="s">
        <v>60</v>
      </c>
      <c r="E5" s="2"/>
    </row>
    <row r="6" spans="1:5">
      <c r="A6" s="2" t="s">
        <v>2141</v>
      </c>
      <c r="B6" s="2" t="s">
        <v>60</v>
      </c>
      <c r="C6" s="2">
        <v>1</v>
      </c>
      <c r="D6" s="2" t="s">
        <v>60</v>
      </c>
      <c r="E6" s="2"/>
    </row>
    <row r="7" spans="1:5">
      <c r="A7" s="2" t="s">
        <v>2141</v>
      </c>
      <c r="B7" s="2" t="s">
        <v>280</v>
      </c>
      <c r="C7" s="2">
        <v>2</v>
      </c>
      <c r="D7" s="2" t="s">
        <v>60</v>
      </c>
      <c r="E7" s="2"/>
    </row>
    <row r="8" spans="1:5">
      <c r="A8" s="2" t="s">
        <v>2142</v>
      </c>
      <c r="B8" s="2" t="s">
        <v>279</v>
      </c>
      <c r="C8" s="2">
        <v>1</v>
      </c>
      <c r="D8" s="2" t="s">
        <v>60</v>
      </c>
      <c r="E8" s="2"/>
    </row>
    <row r="9" spans="1:5">
      <c r="A9" s="2" t="s">
        <v>2142</v>
      </c>
      <c r="B9" s="2" t="s">
        <v>469</v>
      </c>
      <c r="C9" s="2">
        <v>2</v>
      </c>
      <c r="D9" s="2" t="s">
        <v>60</v>
      </c>
      <c r="E9" s="2"/>
    </row>
    <row r="10" spans="1:5">
      <c r="A10" s="2" t="s">
        <v>2143</v>
      </c>
      <c r="B10" s="2" t="s">
        <v>373</v>
      </c>
      <c r="C10" s="2">
        <v>1</v>
      </c>
      <c r="D10" s="2" t="s">
        <v>60</v>
      </c>
      <c r="E10" s="2"/>
    </row>
    <row r="11" spans="1:5">
      <c r="A11" s="2" t="s">
        <v>2143</v>
      </c>
      <c r="B11" s="2" t="s">
        <v>94</v>
      </c>
      <c r="C11" s="2">
        <v>2</v>
      </c>
      <c r="D11" s="2" t="s">
        <v>60</v>
      </c>
      <c r="E11" s="2"/>
    </row>
    <row r="12" spans="1:5">
      <c r="A12" s="2" t="s">
        <v>2143</v>
      </c>
      <c r="B12" s="2" t="s">
        <v>65</v>
      </c>
      <c r="C12" s="2">
        <v>3</v>
      </c>
      <c r="D12" s="2" t="s">
        <v>60</v>
      </c>
      <c r="E12" s="2"/>
    </row>
    <row r="13" spans="1:5">
      <c r="A13" s="2" t="s">
        <v>2143</v>
      </c>
      <c r="B13" s="2" t="s">
        <v>288</v>
      </c>
      <c r="C13" s="2">
        <v>4</v>
      </c>
      <c r="D13" s="2" t="s">
        <v>60</v>
      </c>
      <c r="E13" s="2"/>
    </row>
    <row r="14" spans="1:5" ht="28.5">
      <c r="A14" s="2" t="s">
        <v>272</v>
      </c>
      <c r="B14" s="2" t="s">
        <v>2144</v>
      </c>
      <c r="C14" s="2">
        <v>1</v>
      </c>
      <c r="D14" s="2" t="s">
        <v>60</v>
      </c>
      <c r="E14" s="2"/>
    </row>
    <row r="15" spans="1:5" ht="28.5">
      <c r="A15" s="2" t="s">
        <v>272</v>
      </c>
      <c r="B15" s="2" t="s">
        <v>373</v>
      </c>
      <c r="C15" s="2">
        <v>2</v>
      </c>
      <c r="D15" s="2" t="s">
        <v>60</v>
      </c>
      <c r="E15" s="2"/>
    </row>
    <row r="16" spans="1:5" ht="28.5">
      <c r="A16" s="2" t="s">
        <v>272</v>
      </c>
      <c r="B16" s="2" t="s">
        <v>94</v>
      </c>
      <c r="C16" s="2">
        <v>3</v>
      </c>
      <c r="D16" s="2" t="s">
        <v>60</v>
      </c>
      <c r="E16" s="2"/>
    </row>
    <row r="17" spans="1:5" ht="28.5">
      <c r="A17" s="2" t="s">
        <v>272</v>
      </c>
      <c r="B17" s="2" t="s">
        <v>65</v>
      </c>
      <c r="C17" s="2">
        <v>4</v>
      </c>
      <c r="D17" s="2" t="s">
        <v>60</v>
      </c>
      <c r="E17" s="2"/>
    </row>
    <row r="18" spans="1:5">
      <c r="A18" s="2" t="s">
        <v>2145</v>
      </c>
      <c r="B18" s="2" t="s">
        <v>58</v>
      </c>
      <c r="C18" s="2">
        <v>1</v>
      </c>
      <c r="D18" s="2" t="s">
        <v>60</v>
      </c>
      <c r="E18" s="2"/>
    </row>
    <row r="19" spans="1:5">
      <c r="A19" s="2" t="s">
        <v>2145</v>
      </c>
      <c r="B19" s="2" t="s">
        <v>281</v>
      </c>
      <c r="C19" s="2">
        <v>2</v>
      </c>
      <c r="D19" s="2" t="s">
        <v>60</v>
      </c>
      <c r="E19" s="2"/>
    </row>
    <row r="20" spans="1:5">
      <c r="A20" s="2" t="s">
        <v>2145</v>
      </c>
      <c r="B20" s="2" t="s">
        <v>69</v>
      </c>
      <c r="C20" s="2">
        <v>3</v>
      </c>
      <c r="D20" s="2" t="s">
        <v>60</v>
      </c>
      <c r="E20" s="2"/>
    </row>
    <row r="21" spans="1:5">
      <c r="A21" s="2" t="s">
        <v>2145</v>
      </c>
      <c r="B21" s="2" t="s">
        <v>74</v>
      </c>
      <c r="C21" s="2">
        <v>4</v>
      </c>
      <c r="D21" s="2" t="s">
        <v>60</v>
      </c>
      <c r="E21" s="2"/>
    </row>
    <row r="22" spans="1:5">
      <c r="A22" s="2" t="s">
        <v>2145</v>
      </c>
      <c r="B22" s="2" t="s">
        <v>79</v>
      </c>
      <c r="C22" s="2">
        <v>5</v>
      </c>
      <c r="D22" s="2" t="s">
        <v>60</v>
      </c>
      <c r="E22" s="2"/>
    </row>
    <row r="23" spans="1:5">
      <c r="A23" s="2" t="s">
        <v>2145</v>
      </c>
      <c r="B23" s="2" t="s">
        <v>84</v>
      </c>
      <c r="C23" s="2">
        <v>6</v>
      </c>
      <c r="D23" s="2" t="s">
        <v>60</v>
      </c>
      <c r="E23" s="2"/>
    </row>
    <row r="24" spans="1:5">
      <c r="A24" s="2" t="s">
        <v>2145</v>
      </c>
      <c r="B24" s="2" t="s">
        <v>89</v>
      </c>
      <c r="C24" s="2">
        <v>7</v>
      </c>
      <c r="D24" s="2" t="s">
        <v>60</v>
      </c>
      <c r="E24" s="2"/>
    </row>
    <row r="25" spans="1:5">
      <c r="A25" s="2" t="s">
        <v>2145</v>
      </c>
      <c r="B25" s="2" t="s">
        <v>98</v>
      </c>
      <c r="C25" s="2">
        <v>8</v>
      </c>
      <c r="D25" s="2" t="s">
        <v>60</v>
      </c>
      <c r="E25" s="2"/>
    </row>
    <row r="26" spans="1:5">
      <c r="A26" s="2" t="s">
        <v>2145</v>
      </c>
      <c r="B26" s="2" t="s">
        <v>105</v>
      </c>
      <c r="C26" s="2">
        <v>9</v>
      </c>
      <c r="D26" s="2" t="s">
        <v>60</v>
      </c>
      <c r="E26" s="2"/>
    </row>
    <row r="27" spans="1:5">
      <c r="A27" s="2" t="s">
        <v>2145</v>
      </c>
      <c r="B27" s="2" t="s">
        <v>111</v>
      </c>
      <c r="C27" s="2">
        <v>10</v>
      </c>
      <c r="D27" s="2" t="s">
        <v>60</v>
      </c>
      <c r="E27" s="2"/>
    </row>
    <row r="28" spans="1:5">
      <c r="A28" s="2" t="s">
        <v>2145</v>
      </c>
      <c r="B28" s="2" t="s">
        <v>116</v>
      </c>
      <c r="C28" s="2">
        <v>11</v>
      </c>
      <c r="D28" s="2" t="s">
        <v>60</v>
      </c>
      <c r="E28" s="2"/>
    </row>
    <row r="29" spans="1:5">
      <c r="A29" s="2" t="s">
        <v>2145</v>
      </c>
      <c r="B29" s="2" t="s">
        <v>122</v>
      </c>
      <c r="C29" s="2">
        <v>12</v>
      </c>
      <c r="D29" s="2" t="s">
        <v>60</v>
      </c>
      <c r="E29" s="2"/>
    </row>
    <row r="30" spans="1:5">
      <c r="A30" s="2" t="s">
        <v>2145</v>
      </c>
      <c r="B30" s="2" t="s">
        <v>128</v>
      </c>
      <c r="C30" s="2">
        <v>13</v>
      </c>
      <c r="D30" s="2" t="s">
        <v>60</v>
      </c>
      <c r="E30" s="2"/>
    </row>
    <row r="31" spans="1:5">
      <c r="A31" s="2" t="s">
        <v>2145</v>
      </c>
      <c r="B31" s="2" t="s">
        <v>310</v>
      </c>
      <c r="C31" s="2">
        <v>14</v>
      </c>
      <c r="D31" s="2" t="s">
        <v>60</v>
      </c>
      <c r="E31" s="2"/>
    </row>
    <row r="32" spans="1:5">
      <c r="A32" s="2" t="s">
        <v>51</v>
      </c>
      <c r="B32" s="2" t="s">
        <v>62</v>
      </c>
      <c r="C32" s="2">
        <v>1</v>
      </c>
      <c r="D32" s="2" t="s">
        <v>60</v>
      </c>
      <c r="E32" s="2"/>
    </row>
    <row r="33" spans="1:5">
      <c r="A33" s="2" t="s">
        <v>51</v>
      </c>
      <c r="B33" s="2" t="s">
        <v>2146</v>
      </c>
      <c r="C33" s="2">
        <v>2</v>
      </c>
      <c r="D33" s="2" t="s">
        <v>60</v>
      </c>
      <c r="E33" s="2"/>
    </row>
    <row r="34" spans="1:5">
      <c r="A34" s="2" t="s">
        <v>51</v>
      </c>
      <c r="B34" s="2" t="s">
        <v>2147</v>
      </c>
      <c r="C34" s="2">
        <v>3</v>
      </c>
      <c r="D34" s="2" t="s">
        <v>60</v>
      </c>
      <c r="E34" s="2"/>
    </row>
    <row r="35" spans="1:5">
      <c r="A35" s="2" t="s">
        <v>51</v>
      </c>
      <c r="B35" s="2" t="s">
        <v>2148</v>
      </c>
      <c r="C35" s="2">
        <v>4</v>
      </c>
      <c r="D35" s="2" t="s">
        <v>60</v>
      </c>
      <c r="E35" s="2"/>
    </row>
    <row r="36" spans="1:5">
      <c r="A36" s="2" t="s">
        <v>51</v>
      </c>
      <c r="B36" s="2" t="s">
        <v>2149</v>
      </c>
      <c r="C36" s="2">
        <v>5</v>
      </c>
      <c r="D36" s="2" t="s">
        <v>60</v>
      </c>
      <c r="E36" s="2"/>
    </row>
    <row r="37" spans="1:5" ht="28.5">
      <c r="A37" s="2" t="s">
        <v>52</v>
      </c>
      <c r="B37" s="2" t="s">
        <v>63</v>
      </c>
      <c r="C37" s="2">
        <v>1</v>
      </c>
      <c r="D37" s="2" t="s">
        <v>60</v>
      </c>
      <c r="E37" s="2"/>
    </row>
    <row r="38" spans="1:5" ht="28.5">
      <c r="A38" s="2" t="s">
        <v>52</v>
      </c>
      <c r="B38" s="2" t="s">
        <v>176</v>
      </c>
      <c r="C38" s="2">
        <v>2</v>
      </c>
      <c r="D38" s="2" t="s">
        <v>60</v>
      </c>
      <c r="E38" s="2"/>
    </row>
    <row r="39" spans="1:5" ht="28.5">
      <c r="A39" s="2" t="s">
        <v>52</v>
      </c>
      <c r="B39" s="2" t="s">
        <v>147</v>
      </c>
      <c r="C39" s="2">
        <v>3</v>
      </c>
      <c r="D39" s="2" t="s">
        <v>60</v>
      </c>
      <c r="E39" s="2"/>
    </row>
    <row r="40" spans="1:5" ht="28.5">
      <c r="A40" s="2" t="s">
        <v>52</v>
      </c>
      <c r="B40" s="2" t="s">
        <v>242</v>
      </c>
      <c r="C40" s="2">
        <v>4</v>
      </c>
      <c r="D40" s="2" t="s">
        <v>60</v>
      </c>
      <c r="E40" s="2"/>
    </row>
    <row r="41" spans="1:5" ht="28.5">
      <c r="A41" s="2" t="s">
        <v>52</v>
      </c>
      <c r="B41" s="2" t="s">
        <v>262</v>
      </c>
      <c r="C41" s="2">
        <v>5</v>
      </c>
      <c r="D41" s="2" t="s">
        <v>60</v>
      </c>
      <c r="E41" s="2"/>
    </row>
    <row r="42" spans="1:5" ht="28.5">
      <c r="A42" s="2" t="s">
        <v>52</v>
      </c>
      <c r="B42" s="2" t="s">
        <v>92</v>
      </c>
      <c r="C42" s="2">
        <v>6</v>
      </c>
      <c r="D42" s="2" t="s">
        <v>60</v>
      </c>
      <c r="E42" s="2"/>
    </row>
    <row r="43" spans="1:5" ht="28.5">
      <c r="A43" s="2" t="s">
        <v>52</v>
      </c>
      <c r="B43" s="2" t="s">
        <v>156</v>
      </c>
      <c r="C43" s="2">
        <v>7</v>
      </c>
      <c r="D43" s="2" t="s">
        <v>60</v>
      </c>
      <c r="E43" s="2"/>
    </row>
    <row r="44" spans="1:5" ht="28.5">
      <c r="A44" s="2" t="s">
        <v>142</v>
      </c>
      <c r="B44" s="2" t="s">
        <v>65</v>
      </c>
      <c r="C44" s="2">
        <v>1</v>
      </c>
      <c r="D44" s="2" t="s">
        <v>60</v>
      </c>
      <c r="E44" s="2"/>
    </row>
    <row r="45" spans="1:5" ht="28.5">
      <c r="A45" s="2" t="s">
        <v>142</v>
      </c>
      <c r="B45" s="2" t="s">
        <v>94</v>
      </c>
      <c r="C45" s="2">
        <v>2</v>
      </c>
      <c r="D45" s="2" t="s">
        <v>60</v>
      </c>
      <c r="E45" s="2"/>
    </row>
    <row r="46" spans="1:5" ht="28.5">
      <c r="A46" s="2" t="s">
        <v>142</v>
      </c>
      <c r="B46" s="2" t="s">
        <v>373</v>
      </c>
      <c r="C46" s="2">
        <v>3</v>
      </c>
      <c r="D46" s="2" t="s">
        <v>60</v>
      </c>
      <c r="E46" s="2"/>
    </row>
    <row r="47" spans="1:5">
      <c r="A47" s="2" t="s">
        <v>2150</v>
      </c>
      <c r="B47" s="2" t="s">
        <v>2151</v>
      </c>
      <c r="C47" s="2">
        <v>1</v>
      </c>
      <c r="D47" s="2" t="s">
        <v>60</v>
      </c>
      <c r="E47" s="2"/>
    </row>
    <row r="48" spans="1:5">
      <c r="A48" s="2" t="s">
        <v>2150</v>
      </c>
      <c r="B48" s="2" t="s">
        <v>2152</v>
      </c>
      <c r="C48" s="2">
        <v>2</v>
      </c>
      <c r="D48" s="2" t="s">
        <v>60</v>
      </c>
      <c r="E48" s="2"/>
    </row>
    <row r="49" spans="1:5">
      <c r="A49" s="2" t="s">
        <v>2150</v>
      </c>
      <c r="B49" s="2" t="s">
        <v>2153</v>
      </c>
      <c r="C49" s="2">
        <v>3</v>
      </c>
      <c r="D49" s="2" t="s">
        <v>60</v>
      </c>
      <c r="E49" s="2"/>
    </row>
    <row r="50" spans="1:5">
      <c r="A50" s="2" t="s">
        <v>2150</v>
      </c>
      <c r="B50" s="2" t="s">
        <v>2154</v>
      </c>
      <c r="C50" s="2">
        <v>4</v>
      </c>
      <c r="D50" s="2" t="s">
        <v>60</v>
      </c>
      <c r="E50" s="2"/>
    </row>
    <row r="51" spans="1:5">
      <c r="A51" s="2" t="s">
        <v>2150</v>
      </c>
      <c r="B51" s="2" t="s">
        <v>2155</v>
      </c>
      <c r="C51" s="2">
        <v>5</v>
      </c>
      <c r="D51" s="2" t="s">
        <v>60</v>
      </c>
      <c r="E51" s="2"/>
    </row>
    <row r="52" spans="1:5">
      <c r="A52" s="2" t="s">
        <v>2156</v>
      </c>
      <c r="B52" s="2" t="s">
        <v>2157</v>
      </c>
      <c r="C52" s="2">
        <v>1</v>
      </c>
      <c r="D52" s="2" t="s">
        <v>60</v>
      </c>
      <c r="E52" s="2"/>
    </row>
    <row r="53" spans="1:5">
      <c r="A53" s="2" t="s">
        <v>2156</v>
      </c>
      <c r="B53" s="2" t="s">
        <v>2158</v>
      </c>
      <c r="C53" s="2">
        <v>2</v>
      </c>
      <c r="D53" s="2" t="s">
        <v>60</v>
      </c>
      <c r="E53" s="2"/>
    </row>
    <row r="54" spans="1:5">
      <c r="A54" s="2" t="s">
        <v>2156</v>
      </c>
      <c r="B54" s="2" t="s">
        <v>2159</v>
      </c>
      <c r="C54" s="2">
        <v>3</v>
      </c>
      <c r="D54" s="2" t="s">
        <v>60</v>
      </c>
      <c r="E54" s="2"/>
    </row>
    <row r="55" spans="1:5">
      <c r="A55" s="2" t="s">
        <v>2156</v>
      </c>
      <c r="B55" s="2" t="s">
        <v>2155</v>
      </c>
      <c r="C55" s="2">
        <v>4</v>
      </c>
      <c r="D55" s="2" t="s">
        <v>60</v>
      </c>
      <c r="E55" s="2"/>
    </row>
    <row r="56" spans="1:5" ht="28.5">
      <c r="A56" s="2" t="s">
        <v>2160</v>
      </c>
      <c r="B56" s="2" t="s">
        <v>2144</v>
      </c>
      <c r="C56" s="2">
        <v>1</v>
      </c>
      <c r="D56" s="2" t="s">
        <v>60</v>
      </c>
      <c r="E56" s="2"/>
    </row>
    <row r="57" spans="1:5" ht="28.5">
      <c r="A57" s="2" t="s">
        <v>2160</v>
      </c>
      <c r="B57" s="2" t="s">
        <v>373</v>
      </c>
      <c r="C57" s="2">
        <v>2</v>
      </c>
      <c r="D57" s="2" t="s">
        <v>60</v>
      </c>
      <c r="E57" s="2"/>
    </row>
    <row r="58" spans="1:5" ht="28.5">
      <c r="A58" s="2" t="s">
        <v>2160</v>
      </c>
      <c r="B58" s="2" t="s">
        <v>94</v>
      </c>
      <c r="C58" s="2">
        <v>3</v>
      </c>
      <c r="D58" s="2" t="s">
        <v>60</v>
      </c>
      <c r="E58" s="2"/>
    </row>
    <row r="59" spans="1:5" ht="28.5">
      <c r="A59" s="2" t="s">
        <v>2160</v>
      </c>
      <c r="B59" s="2" t="s">
        <v>65</v>
      </c>
      <c r="C59" s="2">
        <v>4</v>
      </c>
      <c r="D59" s="2" t="s">
        <v>60</v>
      </c>
      <c r="E59" s="2"/>
    </row>
    <row r="60" spans="1:5" ht="28.5">
      <c r="A60" s="2" t="s">
        <v>2160</v>
      </c>
      <c r="B60" s="2" t="s">
        <v>2161</v>
      </c>
      <c r="C60" s="2">
        <v>5</v>
      </c>
      <c r="D60" s="2" t="s">
        <v>60</v>
      </c>
      <c r="E60" s="2"/>
    </row>
    <row r="61" spans="1:5">
      <c r="A61" s="2" t="s">
        <v>2162</v>
      </c>
      <c r="B61" s="2" t="s">
        <v>2144</v>
      </c>
      <c r="C61" s="2">
        <v>1</v>
      </c>
      <c r="D61" s="2" t="s">
        <v>60</v>
      </c>
      <c r="E61" s="2"/>
    </row>
    <row r="62" spans="1:5">
      <c r="A62" s="2" t="s">
        <v>2162</v>
      </c>
      <c r="B62" s="2" t="s">
        <v>373</v>
      </c>
      <c r="C62" s="2">
        <v>2</v>
      </c>
      <c r="D62" s="2" t="s">
        <v>60</v>
      </c>
      <c r="E62" s="2"/>
    </row>
    <row r="63" spans="1:5">
      <c r="A63" s="2" t="s">
        <v>2162</v>
      </c>
      <c r="B63" s="2" t="s">
        <v>94</v>
      </c>
      <c r="C63" s="2">
        <v>3</v>
      </c>
      <c r="D63" s="2" t="s">
        <v>60</v>
      </c>
      <c r="E63" s="2"/>
    </row>
    <row r="64" spans="1:5">
      <c r="A64" s="2" t="s">
        <v>2162</v>
      </c>
      <c r="B64" s="2" t="s">
        <v>65</v>
      </c>
      <c r="C64" s="2">
        <v>4</v>
      </c>
      <c r="D64" s="2" t="s">
        <v>60</v>
      </c>
      <c r="E6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/>
  </sheetViews>
  <sheetFormatPr defaultRowHeight="14.25"/>
  <cols>
    <col min="1" max="1" width="16" customWidth="1"/>
    <col min="2" max="2" width="36" customWidth="1"/>
    <col min="3" max="3" width="14" customWidth="1"/>
    <col min="4" max="4" width="22" customWidth="1"/>
    <col min="5" max="5" width="14" customWidth="1"/>
    <col min="6" max="6" width="42" customWidth="1"/>
  </cols>
  <sheetData>
    <row r="1" spans="1:6" ht="15">
      <c r="A1" s="1" t="s">
        <v>2163</v>
      </c>
      <c r="B1" s="1" t="s">
        <v>2164</v>
      </c>
      <c r="C1" s="1" t="s">
        <v>2165</v>
      </c>
      <c r="D1" s="1" t="s">
        <v>2166</v>
      </c>
      <c r="E1" s="1" t="s">
        <v>2167</v>
      </c>
      <c r="F1" s="1" t="s">
        <v>3</v>
      </c>
    </row>
    <row r="2" spans="1:6">
      <c r="A2" t="s">
        <v>2168</v>
      </c>
      <c r="B2" t="s">
        <v>2169</v>
      </c>
      <c r="C2">
        <v>12</v>
      </c>
      <c r="D2">
        <f>COUNTA('01_Products'!A2:A100)</f>
        <v>12</v>
      </c>
      <c r="E2" t="str">
        <f>IF(D2=C2,"Pass","Review")</f>
        <v>Pass</v>
      </c>
      <c r="F2" t="s">
        <v>2170</v>
      </c>
    </row>
    <row r="3" spans="1:6">
      <c r="A3" t="s">
        <v>2171</v>
      </c>
      <c r="B3" t="s">
        <v>2172</v>
      </c>
      <c r="C3">
        <v>80</v>
      </c>
      <c r="D3">
        <f>COUNTA('02_Features'!A2:A500)</f>
        <v>80</v>
      </c>
      <c r="E3" t="str">
        <f>IF(D3=C3,"Pass","Review")</f>
        <v>Pass</v>
      </c>
      <c r="F3" t="s">
        <v>2173</v>
      </c>
    </row>
    <row r="4" spans="1:6">
      <c r="A4" t="s">
        <v>2174</v>
      </c>
      <c r="B4" t="s">
        <v>2175</v>
      </c>
      <c r="C4">
        <v>240</v>
      </c>
      <c r="D4">
        <f>COUNTA('03_Functionalities'!A2:A1000)</f>
        <v>240</v>
      </c>
      <c r="E4" t="str">
        <f>IF(D4=C4,"Pass","Review")</f>
        <v>Pass</v>
      </c>
      <c r="F4" t="s">
        <v>2176</v>
      </c>
    </row>
    <row r="5" spans="1:6">
      <c r="A5" t="s">
        <v>2177</v>
      </c>
      <c r="B5" t="s">
        <v>2178</v>
      </c>
      <c r="C5" t="s">
        <v>2179</v>
      </c>
      <c r="D5">
        <f>D3/D2</f>
        <v>6.666666666666667</v>
      </c>
      <c r="E5" t="str">
        <f>IF(AND(D5&gt;=5,D5&lt;=10),"Pass","Review")</f>
        <v>Pass</v>
      </c>
      <c r="F5" t="s">
        <v>2180</v>
      </c>
    </row>
    <row r="6" spans="1:6">
      <c r="A6" t="s">
        <v>2181</v>
      </c>
      <c r="B6" t="s">
        <v>2182</v>
      </c>
      <c r="C6" t="s">
        <v>2183</v>
      </c>
      <c r="D6">
        <f>D4/D3</f>
        <v>3</v>
      </c>
      <c r="E6" t="str">
        <f>IF(AND(D6&gt;=1,D6&lt;=5),"Pass","Review")</f>
        <v>Pass</v>
      </c>
      <c r="F6" t="s">
        <v>2180</v>
      </c>
    </row>
    <row r="7" spans="1:6">
      <c r="A7" t="s">
        <v>2184</v>
      </c>
      <c r="B7" t="s">
        <v>2185</v>
      </c>
      <c r="C7">
        <v>0</v>
      </c>
      <c r="D7">
        <v>0</v>
      </c>
      <c r="E7" t="s">
        <v>2186</v>
      </c>
      <c r="F7" t="s">
        <v>2187</v>
      </c>
    </row>
    <row r="8" spans="1:6">
      <c r="A8" t="s">
        <v>2188</v>
      </c>
      <c r="B8" t="s">
        <v>2189</v>
      </c>
      <c r="C8">
        <v>0</v>
      </c>
      <c r="D8">
        <v>0</v>
      </c>
      <c r="E8" t="s">
        <v>2186</v>
      </c>
      <c r="F8" t="s">
        <v>2187</v>
      </c>
    </row>
    <row r="9" spans="1:6">
      <c r="A9" t="s">
        <v>2190</v>
      </c>
      <c r="B9" t="s">
        <v>2191</v>
      </c>
      <c r="C9">
        <v>0</v>
      </c>
      <c r="D9">
        <v>0</v>
      </c>
      <c r="E9" t="s">
        <v>2186</v>
      </c>
      <c r="F9" t="s">
        <v>2187</v>
      </c>
    </row>
    <row r="10" spans="1:6">
      <c r="A10" t="s">
        <v>2192</v>
      </c>
      <c r="B10" t="s">
        <v>2193</v>
      </c>
      <c r="C10">
        <v>0</v>
      </c>
      <c r="D10">
        <v>0</v>
      </c>
      <c r="E10" t="s">
        <v>2186</v>
      </c>
      <c r="F10" t="s">
        <v>2187</v>
      </c>
    </row>
    <row r="11" spans="1:6">
      <c r="A11" t="s">
        <v>2194</v>
      </c>
      <c r="B11" t="s">
        <v>2195</v>
      </c>
      <c r="C11">
        <v>0</v>
      </c>
      <c r="D11">
        <v>0</v>
      </c>
      <c r="E11" t="s">
        <v>2186</v>
      </c>
      <c r="F11" t="s">
        <v>2187</v>
      </c>
    </row>
    <row r="12" spans="1:6">
      <c r="A12" t="s">
        <v>2196</v>
      </c>
      <c r="B12" t="s">
        <v>2197</v>
      </c>
      <c r="C12">
        <v>0</v>
      </c>
      <c r="D12">
        <v>0</v>
      </c>
      <c r="E12" t="s">
        <v>2186</v>
      </c>
      <c r="F12" t="s">
        <v>2187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workbookViewId="0"/>
  </sheetViews>
  <sheetFormatPr defaultRowHeight="14.25"/>
  <cols>
    <col min="1" max="6" width="18" customWidth="1"/>
    <col min="7" max="9" width="38" customWidth="1"/>
    <col min="10" max="10" width="18" customWidth="1"/>
  </cols>
  <sheetData>
    <row r="1" spans="1:10" ht="15">
      <c r="A1" s="1" t="s">
        <v>2198</v>
      </c>
      <c r="B1" s="1" t="s">
        <v>2199</v>
      </c>
      <c r="C1" s="1" t="s">
        <v>10</v>
      </c>
      <c r="D1" s="1" t="s">
        <v>2200</v>
      </c>
      <c r="E1" s="1" t="s">
        <v>2201</v>
      </c>
      <c r="F1" s="1" t="s">
        <v>2202</v>
      </c>
      <c r="G1" s="1" t="s">
        <v>2203</v>
      </c>
      <c r="H1" s="1" t="s">
        <v>2204</v>
      </c>
      <c r="I1" s="1" t="s">
        <v>2205</v>
      </c>
      <c r="J1" s="1" t="s">
        <v>2206</v>
      </c>
    </row>
    <row r="2" spans="1:10" ht="42.75">
      <c r="A2" s="2" t="s">
        <v>2207</v>
      </c>
      <c r="B2" s="2">
        <v>46196</v>
      </c>
      <c r="C2" s="2" t="s">
        <v>11</v>
      </c>
      <c r="D2" s="2" t="s">
        <v>42</v>
      </c>
      <c r="E2" s="2" t="s">
        <v>2208</v>
      </c>
      <c r="F2" s="2" t="s">
        <v>2209</v>
      </c>
      <c r="G2" s="2" t="s">
        <v>2210</v>
      </c>
      <c r="H2" s="2" t="s">
        <v>2211</v>
      </c>
      <c r="I2" s="2" t="s">
        <v>2212</v>
      </c>
      <c r="J2" s="2" t="s">
        <v>17</v>
      </c>
    </row>
    <row r="3" spans="1:10" ht="42.75">
      <c r="A3" s="2" t="s">
        <v>2213</v>
      </c>
      <c r="B3" s="2">
        <v>46196</v>
      </c>
      <c r="C3" s="2" t="s">
        <v>11</v>
      </c>
      <c r="D3" s="2" t="s">
        <v>42</v>
      </c>
      <c r="E3" s="2" t="s">
        <v>2214</v>
      </c>
      <c r="F3" s="2" t="s">
        <v>2215</v>
      </c>
      <c r="G3" s="2" t="s">
        <v>2216</v>
      </c>
      <c r="H3" s="2" t="s">
        <v>2217</v>
      </c>
      <c r="I3" s="2" t="s">
        <v>2218</v>
      </c>
      <c r="J3" s="2" t="s">
        <v>17</v>
      </c>
    </row>
    <row r="4" spans="1:10" ht="28.5">
      <c r="A4" s="2" t="s">
        <v>2219</v>
      </c>
      <c r="B4" s="2">
        <v>46196</v>
      </c>
      <c r="C4" s="2" t="s">
        <v>11</v>
      </c>
      <c r="D4" s="2" t="s">
        <v>42</v>
      </c>
      <c r="E4" s="2" t="s">
        <v>2220</v>
      </c>
      <c r="F4" s="2" t="s">
        <v>2221</v>
      </c>
      <c r="G4" s="2" t="s">
        <v>2222</v>
      </c>
      <c r="H4" s="2" t="s">
        <v>2223</v>
      </c>
      <c r="I4" s="2" t="s">
        <v>2224</v>
      </c>
      <c r="J4" s="2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workbookViewId="0"/>
  </sheetViews>
  <sheetFormatPr defaultRowHeight="14.25"/>
  <cols>
    <col min="1" max="5" width="38" customWidth="1"/>
    <col min="6" max="7" width="18" customWidth="1"/>
  </cols>
  <sheetData>
    <row r="1" spans="1:7" ht="15">
      <c r="A1" s="1" t="s">
        <v>2225</v>
      </c>
      <c r="B1" s="1" t="s">
        <v>2226</v>
      </c>
      <c r="C1" s="1" t="s">
        <v>2227</v>
      </c>
      <c r="D1" s="1" t="s">
        <v>2</v>
      </c>
      <c r="E1" s="1" t="s">
        <v>2228</v>
      </c>
      <c r="F1" s="1" t="s">
        <v>2229</v>
      </c>
      <c r="G1" s="1" t="s">
        <v>2230</v>
      </c>
    </row>
    <row r="2" spans="1:7" ht="57">
      <c r="A2" s="2" t="s">
        <v>2231</v>
      </c>
      <c r="B2" s="2" t="s">
        <v>2232</v>
      </c>
      <c r="C2" s="2" t="s">
        <v>2233</v>
      </c>
      <c r="D2" s="2" t="s">
        <v>25</v>
      </c>
      <c r="E2" s="2" t="s">
        <v>2234</v>
      </c>
      <c r="F2" s="2" t="s">
        <v>2235</v>
      </c>
      <c r="G2" s="2" t="s">
        <v>65</v>
      </c>
    </row>
    <row r="3" spans="1:7" ht="57">
      <c r="A3" s="2" t="s">
        <v>2236</v>
      </c>
      <c r="B3" s="2" t="s">
        <v>2237</v>
      </c>
      <c r="C3" s="2" t="s">
        <v>2233</v>
      </c>
      <c r="D3" s="2" t="s">
        <v>64</v>
      </c>
      <c r="E3" s="2" t="s">
        <v>2238</v>
      </c>
      <c r="F3" s="2" t="s">
        <v>2239</v>
      </c>
      <c r="G3" s="2" t="s">
        <v>65</v>
      </c>
    </row>
    <row r="4" spans="1:7" ht="71.25">
      <c r="A4" s="2" t="s">
        <v>2240</v>
      </c>
      <c r="B4" s="2" t="s">
        <v>2241</v>
      </c>
      <c r="C4" s="2" t="s">
        <v>2242</v>
      </c>
      <c r="D4" s="2" t="s">
        <v>29</v>
      </c>
      <c r="E4" s="2" t="s">
        <v>2238</v>
      </c>
      <c r="F4" s="2" t="s">
        <v>2243</v>
      </c>
      <c r="G4" s="2" t="s">
        <v>65</v>
      </c>
    </row>
    <row r="5" spans="1:7" ht="57">
      <c r="A5" s="2" t="s">
        <v>2244</v>
      </c>
      <c r="B5" s="2" t="s">
        <v>2245</v>
      </c>
      <c r="C5" s="2" t="s">
        <v>2246</v>
      </c>
      <c r="D5" s="2" t="s">
        <v>131</v>
      </c>
      <c r="E5" s="2" t="s">
        <v>2238</v>
      </c>
      <c r="F5" s="2" t="s">
        <v>2247</v>
      </c>
      <c r="G5" s="2" t="s">
        <v>94</v>
      </c>
    </row>
    <row r="6" spans="1:7" ht="42.75">
      <c r="A6" s="2" t="s">
        <v>2248</v>
      </c>
      <c r="B6" s="2" t="s">
        <v>2249</v>
      </c>
      <c r="C6" s="2" t="s">
        <v>2250</v>
      </c>
      <c r="D6" s="2" t="s">
        <v>93</v>
      </c>
      <c r="E6" s="2" t="s">
        <v>2238</v>
      </c>
      <c r="F6" s="2" t="s">
        <v>2251</v>
      </c>
      <c r="G6" s="2" t="s">
        <v>94</v>
      </c>
    </row>
    <row r="7" spans="1:7" ht="42.75">
      <c r="A7" s="2" t="s">
        <v>2252</v>
      </c>
      <c r="B7" s="2" t="s">
        <v>2253</v>
      </c>
      <c r="C7" s="2" t="s">
        <v>2254</v>
      </c>
      <c r="D7" s="2" t="s">
        <v>195</v>
      </c>
      <c r="E7" s="2" t="s">
        <v>2238</v>
      </c>
      <c r="F7" s="2" t="s">
        <v>2255</v>
      </c>
      <c r="G7" s="2" t="s">
        <v>65</v>
      </c>
    </row>
    <row r="8" spans="1:7" ht="57">
      <c r="A8" s="2" t="s">
        <v>2256</v>
      </c>
      <c r="B8" s="2" t="s">
        <v>2257</v>
      </c>
      <c r="C8" s="2" t="s">
        <v>2254</v>
      </c>
      <c r="D8" s="2" t="s">
        <v>327</v>
      </c>
      <c r="E8" s="2" t="s">
        <v>2234</v>
      </c>
      <c r="F8" s="2" t="s">
        <v>2258</v>
      </c>
      <c r="G8" s="2" t="s">
        <v>65</v>
      </c>
    </row>
    <row r="9" spans="1:7" ht="71.25">
      <c r="A9" s="2" t="s">
        <v>2259</v>
      </c>
      <c r="B9" s="2" t="s">
        <v>2260</v>
      </c>
      <c r="C9" s="2" t="s">
        <v>2233</v>
      </c>
      <c r="D9" s="2" t="s">
        <v>101</v>
      </c>
      <c r="E9" s="2" t="s">
        <v>2234</v>
      </c>
      <c r="F9" s="2" t="s">
        <v>2261</v>
      </c>
      <c r="G9" s="2" t="s">
        <v>65</v>
      </c>
    </row>
    <row r="10" spans="1:7" ht="71.25">
      <c r="A10" s="2" t="s">
        <v>2262</v>
      </c>
      <c r="B10" s="2" t="s">
        <v>2263</v>
      </c>
      <c r="C10" s="2" t="s">
        <v>2264</v>
      </c>
      <c r="D10" s="2" t="s">
        <v>353</v>
      </c>
      <c r="E10" s="2" t="s">
        <v>2238</v>
      </c>
      <c r="F10" s="2" t="s">
        <v>2265</v>
      </c>
      <c r="G10" s="2" t="s">
        <v>94</v>
      </c>
    </row>
    <row r="11" spans="1:7" ht="57">
      <c r="A11" s="2" t="s">
        <v>2266</v>
      </c>
      <c r="B11" s="2" t="s">
        <v>2267</v>
      </c>
      <c r="C11" s="2" t="s">
        <v>2268</v>
      </c>
      <c r="D11" s="2" t="s">
        <v>150</v>
      </c>
      <c r="E11" s="2" t="s">
        <v>2238</v>
      </c>
      <c r="F11" s="2" t="s">
        <v>2269</v>
      </c>
      <c r="G11" s="2" t="s">
        <v>65</v>
      </c>
    </row>
    <row r="12" spans="1:7" ht="42.75">
      <c r="A12" s="2" t="s">
        <v>2270</v>
      </c>
      <c r="B12" s="2" t="s">
        <v>2271</v>
      </c>
      <c r="C12" s="2" t="s">
        <v>2254</v>
      </c>
      <c r="D12" s="2" t="s">
        <v>157</v>
      </c>
      <c r="E12" s="2" t="s">
        <v>2234</v>
      </c>
      <c r="F12" s="2" t="s">
        <v>2272</v>
      </c>
      <c r="G12" s="2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41"/>
  <sheetViews>
    <sheetView workbookViewId="0"/>
  </sheetViews>
  <sheetFormatPr defaultRowHeight="14.25"/>
  <cols>
    <col min="1" max="3" width="18" customWidth="1"/>
    <col min="4" max="4" width="30" customWidth="1"/>
    <col min="5" max="5" width="18" customWidth="1"/>
    <col min="6" max="6" width="30" customWidth="1"/>
    <col min="7" max="7" width="38" customWidth="1"/>
    <col min="8" max="8" width="30" customWidth="1"/>
    <col min="9" max="11" width="38" customWidth="1"/>
    <col min="12" max="15" width="18" customWidth="1"/>
    <col min="16" max="17" width="38" customWidth="1"/>
    <col min="18" max="22" width="18" customWidth="1"/>
    <col min="23" max="23" width="38" customWidth="1"/>
    <col min="24" max="24" width="18" customWidth="1"/>
  </cols>
  <sheetData>
    <row r="1" spans="1:24" ht="30">
      <c r="A1" s="1" t="s">
        <v>35</v>
      </c>
      <c r="B1" s="1" t="s">
        <v>265</v>
      </c>
      <c r="C1" s="1" t="s">
        <v>45</v>
      </c>
      <c r="D1" s="1" t="s">
        <v>46</v>
      </c>
      <c r="E1" s="1" t="s">
        <v>47</v>
      </c>
      <c r="F1" s="1" t="s">
        <v>266</v>
      </c>
      <c r="G1" s="1" t="s">
        <v>268</v>
      </c>
      <c r="H1" s="1" t="s">
        <v>683</v>
      </c>
      <c r="I1" s="1" t="s">
        <v>684</v>
      </c>
      <c r="J1" s="1" t="s">
        <v>685</v>
      </c>
      <c r="K1" s="1" t="s">
        <v>686</v>
      </c>
      <c r="L1" s="1" t="s">
        <v>273</v>
      </c>
      <c r="M1" s="1" t="s">
        <v>274</v>
      </c>
      <c r="N1" s="1" t="s">
        <v>271</v>
      </c>
      <c r="O1" s="1" t="s">
        <v>272</v>
      </c>
      <c r="P1" s="1" t="s">
        <v>688</v>
      </c>
      <c r="Q1" s="1" t="s">
        <v>689</v>
      </c>
      <c r="R1" s="1" t="s">
        <v>690</v>
      </c>
      <c r="S1" s="1" t="s">
        <v>2273</v>
      </c>
      <c r="T1" s="1" t="s">
        <v>2274</v>
      </c>
      <c r="U1" s="1" t="s">
        <v>2275</v>
      </c>
      <c r="V1" s="1" t="s">
        <v>16</v>
      </c>
      <c r="W1" s="1" t="s">
        <v>53</v>
      </c>
      <c r="X1" s="1" t="s">
        <v>54</v>
      </c>
    </row>
    <row r="2" spans="1:24" ht="57">
      <c r="A2" s="2" t="str">
        <f>IF('03_Functionalities'!A2="","",'03_Functionalities'!A2)</f>
        <v>FN-PLATFORM-01-01</v>
      </c>
      <c r="B2" s="2" t="str">
        <f>IF('03_Functionalities'!B2="","",'03_Functionalities'!B2)</f>
        <v>FT-PLATFORM-01</v>
      </c>
      <c r="C2" s="2" t="str">
        <f>IF('03_Functionalities'!C2="","",'03_Functionalities'!C2)</f>
        <v>PC-PLATFORM</v>
      </c>
      <c r="D2" s="2" t="e">
        <f ca="1">IF(C2="","",_xludf.XLOOKUP(C2,'01_Products'!A:A,'01_Products'!B:B,"Missing Product"))</f>
        <v>#NAME?</v>
      </c>
      <c r="E2" s="2" t="e">
        <f ca="1">IF(C2="","",_xludf.XLOOKUP(C2,'01_Products'!A:A,'01_Products'!C:C,"Missing Type"))</f>
        <v>#NAME?</v>
      </c>
      <c r="F2" s="2" t="e">
        <f ca="1">IF(B2="","",_xludf.XLOOKUP(B2,'02_Features'!A:A,'02_Features'!C:C,"Missing Feature"))</f>
        <v>#NAME?</v>
      </c>
      <c r="G2" s="2" t="e">
        <f ca="1">IF(B2="","",_xludf.XLOOKUP(B2,'02_Features'!A:A,'02_Features'!E:E,"Missing Prompt"))</f>
        <v>#NAME?</v>
      </c>
      <c r="H2" s="2" t="str">
        <f>IF('03_Functionalities'!D2="","",'03_Functionalities'!D2)</f>
        <v>VCF instance and fleet boundary definition</v>
      </c>
      <c r="I2" s="2" t="str">
        <f>IF('03_Functionalities'!E2="","",'03_Functionalities'!E2)</f>
        <v>Major functionality for vcf instance and fleet boundary definition.</v>
      </c>
      <c r="J2" s="2" t="str">
        <f>IF('03_Functionalities'!F2="","",'03_Functionalities'!F2)</f>
        <v>Includes major assessment behavior for vcf instance and fleet boundary definition in the context of platform architecture and taxonomy.</v>
      </c>
      <c r="K2" s="2" t="str">
        <f>IF('03_Functionalities'!G2="","",'03_Functionalities'!G2)</f>
        <v>Excludes low-level configuration toggles, cosmetic UI behavior, and implementation-specific inventory minutiae unless they materially affect parity or risk.</v>
      </c>
      <c r="L2" s="2" t="str">
        <f>IF('03_Functionalities'!I2="","",'03_Functionalities'!I2)</f>
        <v>Management</v>
      </c>
      <c r="M2" s="2" t="str">
        <f>IF('03_Functionalities'!J2="","",'03_Functionalities'!J2)</f>
        <v>Platform Governance</v>
      </c>
      <c r="N2" s="2" t="str">
        <f>IF('03_Functionalities'!K2="","",'03_Functionalities'!K2)</f>
        <v>High</v>
      </c>
      <c r="O2" s="2" t="str">
        <f>IF('03_Functionalities'!L2="","",'03_Functionalities'!L2)</f>
        <v>Medium</v>
      </c>
      <c r="P2" s="2" t="str">
        <f>IF('03_Functionalities'!M2="","",'03_Functionalities'!M2)</f>
        <v>Official vendor documentation, release notes, validated KB/article, product guide, or architecture reference with version applicability.</v>
      </c>
      <c r="Q2" s="2" t="str">
        <f>IF('03_Functionalities'!N2="","",'03_Functionalities'!N2)</f>
        <v>VCF 9.1 Platform architecture and taxonomy VCF instance and fleet boundary definition comparator parity evidence</v>
      </c>
      <c r="R2" s="2" t="str">
        <f>IF('03_Functionalities'!O2="","",'03_Functionalities'!O2)</f>
        <v>Yes</v>
      </c>
      <c r="S2" s="2" t="e">
        <f ca="1">IF(C2="","",_xludf.XLOOKUP(C2,'01_Products'!A:A,'01_Products'!K:K,0))</f>
        <v>#NAME?</v>
      </c>
      <c r="T2" s="2" t="e">
        <f ca="1">IF(B2="","",_xludf.XLOOKUP(B2,'02_Features'!A:A,'02_Features'!L:L,0))</f>
        <v>#NAME?</v>
      </c>
      <c r="U2" s="2">
        <f>IF('03_Functionalities'!P2="","",'03_Functionalities'!P2)</f>
        <v>1</v>
      </c>
      <c r="V2" s="2" t="str">
        <f>IF('03_Functionalities'!Q2="","",'03_Functionalities'!Q2)</f>
        <v>Draft</v>
      </c>
      <c r="W2" s="2" t="str">
        <f>IF('03_Functionalities'!R2="","",'03_Functionalities'!R2)</f>
        <v>https://techdocs.broadcom.com/us/en/vmware-cis/vcf/vcf-9-0-and-later/9-1/release-notes/vmware-cloud-foundation-9-1-0-0-release-notes/what-s-new.html</v>
      </c>
      <c r="X2" s="2" t="str">
        <f>IF('03_Functionalities'!S2="","",'03_Functionalities'!S2)</f>
        <v>High</v>
      </c>
    </row>
    <row r="3" spans="1:24" ht="57">
      <c r="A3" s="2" t="str">
        <f>IF('03_Functionalities'!A3="","",'03_Functionalities'!A3)</f>
        <v>FN-PLATFORM-01-02</v>
      </c>
      <c r="B3" s="2" t="str">
        <f>IF('03_Functionalities'!B3="","",'03_Functionalities'!B3)</f>
        <v>FT-PLATFORM-01</v>
      </c>
      <c r="C3" s="2" t="str">
        <f>IF('03_Functionalities'!C3="","",'03_Functionalities'!C3)</f>
        <v>PC-PLATFORM</v>
      </c>
      <c r="D3" s="2" t="e">
        <f ca="1">IF(C3="","",_xludf.XLOOKUP(C3,'01_Products'!A:A,'01_Products'!B:B,"Missing Product"))</f>
        <v>#NAME?</v>
      </c>
      <c r="E3" s="2" t="e">
        <f ca="1">IF(C3="","",_xludf.XLOOKUP(C3,'01_Products'!A:A,'01_Products'!C:C,"Missing Type"))</f>
        <v>#NAME?</v>
      </c>
      <c r="F3" s="2" t="e">
        <f ca="1">IF(B3="","",_xludf.XLOOKUP(B3,'02_Features'!A:A,'02_Features'!C:C,"Missing Feature"))</f>
        <v>#NAME?</v>
      </c>
      <c r="G3" s="2" t="e">
        <f ca="1">IF(B3="","",_xludf.XLOOKUP(B3,'02_Features'!A:A,'02_Features'!E:E,"Missing Prompt"))</f>
        <v>#NAME?</v>
      </c>
      <c r="H3" s="2" t="str">
        <f>IF('03_Functionalities'!D3="","",'03_Functionalities'!D3)</f>
        <v>Private-cloud taxonomy and component scope</v>
      </c>
      <c r="I3" s="2" t="str">
        <f>IF('03_Functionalities'!E3="","",'03_Functionalities'!E3)</f>
        <v>Major functionality for private-cloud taxonomy and component scope.</v>
      </c>
      <c r="J3" s="2" t="str">
        <f>IF('03_Functionalities'!F3="","",'03_Functionalities'!F3)</f>
        <v>Includes major assessment behavior for private-cloud taxonomy and component scope in the context of platform architecture and taxonomy.</v>
      </c>
      <c r="K3" s="2" t="str">
        <f>IF('03_Functionalities'!G3="","",'03_Functionalities'!G3)</f>
        <v>Excludes low-level configuration toggles, cosmetic UI behavior, and implementation-specific inventory minutiae unless they materially affect parity or risk.</v>
      </c>
      <c r="L3" s="2" t="str">
        <f>IF('03_Functionalities'!I3="","",'03_Functionalities'!I3)</f>
        <v>Management</v>
      </c>
      <c r="M3" s="2" t="str">
        <f>IF('03_Functionalities'!J3="","",'03_Functionalities'!J3)</f>
        <v>Platform Governance</v>
      </c>
      <c r="N3" s="2" t="str">
        <f>IF('03_Functionalities'!K3="","",'03_Functionalities'!K3)</f>
        <v>High</v>
      </c>
      <c r="O3" s="2" t="str">
        <f>IF('03_Functionalities'!L3="","",'03_Functionalities'!L3)</f>
        <v>Medium</v>
      </c>
      <c r="P3" s="2" t="str">
        <f>IF('03_Functionalities'!M3="","",'03_Functionalities'!M3)</f>
        <v>Official vendor documentation, release notes, validated KB/article, product guide, or architecture reference with version applicability.</v>
      </c>
      <c r="Q3" s="2" t="str">
        <f>IF('03_Functionalities'!N3="","",'03_Functionalities'!N3)</f>
        <v>VCF 9.1 Platform architecture and taxonomy Private-cloud taxonomy and component scope comparator parity evidence</v>
      </c>
      <c r="R3" s="2" t="str">
        <f>IF('03_Functionalities'!O3="","",'03_Functionalities'!O3)</f>
        <v>Yes</v>
      </c>
      <c r="S3" s="2" t="e">
        <f ca="1">IF(C3="","",_xludf.XLOOKUP(C3,'01_Products'!A:A,'01_Products'!K:K,0))</f>
        <v>#NAME?</v>
      </c>
      <c r="T3" s="2" t="e">
        <f ca="1">IF(B3="","",_xludf.XLOOKUP(B3,'02_Features'!A:A,'02_Features'!L:L,0))</f>
        <v>#NAME?</v>
      </c>
      <c r="U3" s="2">
        <f>IF('03_Functionalities'!P3="","",'03_Functionalities'!P3)</f>
        <v>2</v>
      </c>
      <c r="V3" s="2" t="str">
        <f>IF('03_Functionalities'!Q3="","",'03_Functionalities'!Q3)</f>
        <v>Draft</v>
      </c>
      <c r="W3" s="2" t="str">
        <f>IF('03_Functionalities'!R3="","",'03_Functionalities'!R3)</f>
        <v>https://techdocs.broadcom.com/us/en/vmware-cis/vcf/vcf-9-0-and-later/9-1/release-notes/vmware-cloud-foundation-9-1-0-0-release-notes/what-s-new.html</v>
      </c>
      <c r="X3" s="2" t="str">
        <f>IF('03_Functionalities'!S3="","",'03_Functionalities'!S3)</f>
        <v>High</v>
      </c>
    </row>
    <row r="4" spans="1:24" ht="57">
      <c r="A4" s="2" t="str">
        <f>IF('03_Functionalities'!A4="","",'03_Functionalities'!A4)</f>
        <v>FN-PLATFORM-01-03</v>
      </c>
      <c r="B4" s="2" t="str">
        <f>IF('03_Functionalities'!B4="","",'03_Functionalities'!B4)</f>
        <v>FT-PLATFORM-01</v>
      </c>
      <c r="C4" s="2" t="str">
        <f>IF('03_Functionalities'!C4="","",'03_Functionalities'!C4)</f>
        <v>PC-PLATFORM</v>
      </c>
      <c r="D4" s="2" t="e">
        <f ca="1">IF(C4="","",_xludf.XLOOKUP(C4,'01_Products'!A:A,'01_Products'!B:B,"Missing Product"))</f>
        <v>#NAME?</v>
      </c>
      <c r="E4" s="2" t="e">
        <f ca="1">IF(C4="","",_xludf.XLOOKUP(C4,'01_Products'!A:A,'01_Products'!C:C,"Missing Type"))</f>
        <v>#NAME?</v>
      </c>
      <c r="F4" s="2" t="e">
        <f ca="1">IF(B4="","",_xludf.XLOOKUP(B4,'02_Features'!A:A,'02_Features'!C:C,"Missing Feature"))</f>
        <v>#NAME?</v>
      </c>
      <c r="G4" s="2" t="e">
        <f ca="1">IF(B4="","",_xludf.XLOOKUP(B4,'02_Features'!A:A,'02_Features'!E:E,"Missing Prompt"))</f>
        <v>#NAME?</v>
      </c>
      <c r="H4" s="2" t="str">
        <f>IF('03_Functionalities'!D4="","",'03_Functionalities'!D4)</f>
        <v>Platform role and responsibility mapping</v>
      </c>
      <c r="I4" s="2" t="str">
        <f>IF('03_Functionalities'!E4="","",'03_Functionalities'!E4)</f>
        <v>Major functionality for platform role and responsibility mapping.</v>
      </c>
      <c r="J4" s="2" t="str">
        <f>IF('03_Functionalities'!F4="","",'03_Functionalities'!F4)</f>
        <v>Includes major assessment behavior for platform role and responsibility mapping in the context of platform architecture and taxonomy.</v>
      </c>
      <c r="K4" s="2" t="str">
        <f>IF('03_Functionalities'!G4="","",'03_Functionalities'!G4)</f>
        <v>Excludes low-level configuration toggles, cosmetic UI behavior, and implementation-specific inventory minutiae unless they materially affect parity or risk.</v>
      </c>
      <c r="L4" s="2" t="str">
        <f>IF('03_Functionalities'!I4="","",'03_Functionalities'!I4)</f>
        <v>Management</v>
      </c>
      <c r="M4" s="2" t="str">
        <f>IF('03_Functionalities'!J4="","",'03_Functionalities'!J4)</f>
        <v>Platform Governance</v>
      </c>
      <c r="N4" s="2" t="str">
        <f>IF('03_Functionalities'!K4="","",'03_Functionalities'!K4)</f>
        <v>High</v>
      </c>
      <c r="O4" s="2" t="str">
        <f>IF('03_Functionalities'!L4="","",'03_Functionalities'!L4)</f>
        <v>Medium</v>
      </c>
      <c r="P4" s="2" t="str">
        <f>IF('03_Functionalities'!M4="","",'03_Functionalities'!M4)</f>
        <v>Official vendor documentation, release notes, validated KB/article, product guide, or architecture reference with version applicability.</v>
      </c>
      <c r="Q4" s="2" t="str">
        <f>IF('03_Functionalities'!N4="","",'03_Functionalities'!N4)</f>
        <v>VCF 9.1 Platform architecture and taxonomy Platform role and responsibility mapping comparator parity evidence</v>
      </c>
      <c r="R4" s="2" t="str">
        <f>IF('03_Functionalities'!O4="","",'03_Functionalities'!O4)</f>
        <v>Yes</v>
      </c>
      <c r="S4" s="2" t="e">
        <f ca="1">IF(C4="","",_xludf.XLOOKUP(C4,'01_Products'!A:A,'01_Products'!K:K,0))</f>
        <v>#NAME?</v>
      </c>
      <c r="T4" s="2" t="e">
        <f ca="1">IF(B4="","",_xludf.XLOOKUP(B4,'02_Features'!A:A,'02_Features'!L:L,0))</f>
        <v>#NAME?</v>
      </c>
      <c r="U4" s="2">
        <f>IF('03_Functionalities'!P4="","",'03_Functionalities'!P4)</f>
        <v>3</v>
      </c>
      <c r="V4" s="2" t="str">
        <f>IF('03_Functionalities'!Q4="","",'03_Functionalities'!Q4)</f>
        <v>Draft</v>
      </c>
      <c r="W4" s="2" t="str">
        <f>IF('03_Functionalities'!R4="","",'03_Functionalities'!R4)</f>
        <v>https://techdocs.broadcom.com/us/en/vmware-cis/vcf/vcf-9-0-and-later/9-1/release-notes/vmware-cloud-foundation-9-1-0-0-release-notes/what-s-new.html</v>
      </c>
      <c r="X4" s="2" t="str">
        <f>IF('03_Functionalities'!S4="","",'03_Functionalities'!S4)</f>
        <v>High</v>
      </c>
    </row>
    <row r="5" spans="1:24" ht="71.25">
      <c r="A5" s="2" t="str">
        <f>IF('03_Functionalities'!A5="","",'03_Functionalities'!A5)</f>
        <v>FN-PLATFORM-02-01</v>
      </c>
      <c r="B5" s="2" t="str">
        <f>IF('03_Functionalities'!B5="","",'03_Functionalities'!B5)</f>
        <v>FT-PLATFORM-02</v>
      </c>
      <c r="C5" s="2" t="str">
        <f>IF('03_Functionalities'!C5="","",'03_Functionalities'!C5)</f>
        <v>PC-PLATFORM</v>
      </c>
      <c r="D5" s="2" t="e">
        <f ca="1">IF(C5="","",_xludf.XLOOKUP(C5,'01_Products'!A:A,'01_Products'!B:B,"Missing Product"))</f>
        <v>#NAME?</v>
      </c>
      <c r="E5" s="2" t="e">
        <f ca="1">IF(C5="","",_xludf.XLOOKUP(C5,'01_Products'!A:A,'01_Products'!C:C,"Missing Type"))</f>
        <v>#NAME?</v>
      </c>
      <c r="F5" s="2" t="e">
        <f ca="1">IF(B5="","",_xludf.XLOOKUP(B5,'02_Features'!A:A,'02_Features'!C:C,"Missing Feature"))</f>
        <v>#NAME?</v>
      </c>
      <c r="G5" s="2" t="e">
        <f ca="1">IF(B5="","",_xludf.XLOOKUP(B5,'02_Features'!A:A,'02_Features'!E:E,"Missing Prompt"))</f>
        <v>#NAME?</v>
      </c>
      <c r="H5" s="2" t="str">
        <f>IF('03_Functionalities'!D5="","",'03_Functionalities'!D5)</f>
        <v>Management domain separation</v>
      </c>
      <c r="I5" s="2" t="str">
        <f>IF('03_Functionalities'!E5="","",'03_Functionalities'!E5)</f>
        <v>Major functionality for management domain separation.</v>
      </c>
      <c r="J5" s="2" t="str">
        <f>IF('03_Functionalities'!F5="","",'03_Functionalities'!F5)</f>
        <v>Includes major assessment behavior for management domain separation in the context of management domain and workload domain model.</v>
      </c>
      <c r="K5" s="2" t="str">
        <f>IF('03_Functionalities'!G5="","",'03_Functionalities'!G5)</f>
        <v>Excludes low-level configuration toggles, cosmetic UI behavior, and implementation-specific inventory minutiae unless they materially affect parity or risk.</v>
      </c>
      <c r="L5" s="2" t="str">
        <f>IF('03_Functionalities'!I5="","",'03_Functionalities'!I5)</f>
        <v>Management</v>
      </c>
      <c r="M5" s="2" t="str">
        <f>IF('03_Functionalities'!J5="","",'03_Functionalities'!J5)</f>
        <v>Domain Architecture</v>
      </c>
      <c r="N5" s="2" t="str">
        <f>IF('03_Functionalities'!K5="","",'03_Functionalities'!K5)</f>
        <v>Critical</v>
      </c>
      <c r="O5" s="2" t="str">
        <f>IF('03_Functionalities'!L5="","",'03_Functionalities'!L5)</f>
        <v>High</v>
      </c>
      <c r="P5" s="2" t="str">
        <f>IF('03_Functionalities'!M5="","",'03_Functionalities'!M5)</f>
        <v>Official vendor documentation, release notes, validated KB/article, product guide, or architecture reference with version applicability.</v>
      </c>
      <c r="Q5" s="2" t="str">
        <f>IF('03_Functionalities'!N5="","",'03_Functionalities'!N5)</f>
        <v>VCF 9.1 Management domain and workload domain model Management domain separation comparator parity evidence</v>
      </c>
      <c r="R5" s="2" t="str">
        <f>IF('03_Functionalities'!O5="","",'03_Functionalities'!O5)</f>
        <v>Yes</v>
      </c>
      <c r="S5" s="2" t="e">
        <f ca="1">IF(C5="","",_xludf.XLOOKUP(C5,'01_Products'!A:A,'01_Products'!K:K,0))</f>
        <v>#NAME?</v>
      </c>
      <c r="T5" s="2" t="e">
        <f ca="1">IF(B5="","",_xludf.XLOOKUP(B5,'02_Features'!A:A,'02_Features'!L:L,0))</f>
        <v>#NAME?</v>
      </c>
      <c r="U5" s="2">
        <f>IF('03_Functionalities'!P5="","",'03_Functionalities'!P5)</f>
        <v>1</v>
      </c>
      <c r="V5" s="2" t="str">
        <f>IF('03_Functionalities'!Q5="","",'03_Functionalities'!Q5)</f>
        <v>Draft</v>
      </c>
      <c r="W5" s="2" t="str">
        <f>IF('03_Functionalities'!R5="","",'03_Functionalities'!R5)</f>
        <v>https://techdocs.broadcom.com/us/en/vmware-cis/vcf/vcf-9-0-and-later/9-1/release-notes/vmware-cloud-foundation-9-1-0-0-release-notes/vmware-cloud-foundation-bill-of-materials.html</v>
      </c>
      <c r="X5" s="2" t="str">
        <f>IF('03_Functionalities'!S5="","",'03_Functionalities'!S5)</f>
        <v>High</v>
      </c>
    </row>
    <row r="6" spans="1:24" ht="71.25">
      <c r="A6" s="2" t="str">
        <f>IF('03_Functionalities'!A6="","",'03_Functionalities'!A6)</f>
        <v>FN-PLATFORM-02-02</v>
      </c>
      <c r="B6" s="2" t="str">
        <f>IF('03_Functionalities'!B6="","",'03_Functionalities'!B6)</f>
        <v>FT-PLATFORM-02</v>
      </c>
      <c r="C6" s="2" t="str">
        <f>IF('03_Functionalities'!C6="","",'03_Functionalities'!C6)</f>
        <v>PC-PLATFORM</v>
      </c>
      <c r="D6" s="2" t="e">
        <f ca="1">IF(C6="","",_xludf.XLOOKUP(C6,'01_Products'!A:A,'01_Products'!B:B,"Missing Product"))</f>
        <v>#NAME?</v>
      </c>
      <c r="E6" s="2" t="e">
        <f ca="1">IF(C6="","",_xludf.XLOOKUP(C6,'01_Products'!A:A,'01_Products'!C:C,"Missing Type"))</f>
        <v>#NAME?</v>
      </c>
      <c r="F6" s="2" t="e">
        <f ca="1">IF(B6="","",_xludf.XLOOKUP(B6,'02_Features'!A:A,'02_Features'!C:C,"Missing Feature"))</f>
        <v>#NAME?</v>
      </c>
      <c r="G6" s="2" t="e">
        <f ca="1">IF(B6="","",_xludf.XLOOKUP(B6,'02_Features'!A:A,'02_Features'!E:E,"Missing Prompt"))</f>
        <v>#NAME?</v>
      </c>
      <c r="H6" s="2" t="str">
        <f>IF('03_Functionalities'!D6="","",'03_Functionalities'!D6)</f>
        <v>Workload domain creation and control</v>
      </c>
      <c r="I6" s="2" t="str">
        <f>IF('03_Functionalities'!E6="","",'03_Functionalities'!E6)</f>
        <v>Major functionality for workload domain creation and control.</v>
      </c>
      <c r="J6" s="2" t="str">
        <f>IF('03_Functionalities'!F6="","",'03_Functionalities'!F6)</f>
        <v>Includes major assessment behavior for workload domain creation and control in the context of management domain and workload domain model.</v>
      </c>
      <c r="K6" s="2" t="str">
        <f>IF('03_Functionalities'!G6="","",'03_Functionalities'!G6)</f>
        <v>Excludes low-level configuration toggles, cosmetic UI behavior, and implementation-specific inventory minutiae unless they materially affect parity or risk.</v>
      </c>
      <c r="L6" s="2" t="str">
        <f>IF('03_Functionalities'!I6="","",'03_Functionalities'!I6)</f>
        <v>Management</v>
      </c>
      <c r="M6" s="2" t="str">
        <f>IF('03_Functionalities'!J6="","",'03_Functionalities'!J6)</f>
        <v>Domain Architecture</v>
      </c>
      <c r="N6" s="2" t="str">
        <f>IF('03_Functionalities'!K6="","",'03_Functionalities'!K6)</f>
        <v>Critical</v>
      </c>
      <c r="O6" s="2" t="str">
        <f>IF('03_Functionalities'!L6="","",'03_Functionalities'!L6)</f>
        <v>High</v>
      </c>
      <c r="P6" s="2" t="str">
        <f>IF('03_Functionalities'!M6="","",'03_Functionalities'!M6)</f>
        <v>Official vendor documentation, release notes, validated KB/article, product guide, or architecture reference with version applicability.</v>
      </c>
      <c r="Q6" s="2" t="str">
        <f>IF('03_Functionalities'!N6="","",'03_Functionalities'!N6)</f>
        <v>VCF 9.1 Management domain and workload domain model Workload domain creation and control comparator parity evidence</v>
      </c>
      <c r="R6" s="2" t="str">
        <f>IF('03_Functionalities'!O6="","",'03_Functionalities'!O6)</f>
        <v>Yes</v>
      </c>
      <c r="S6" s="2" t="e">
        <f ca="1">IF(C6="","",_xludf.XLOOKUP(C6,'01_Products'!A:A,'01_Products'!K:K,0))</f>
        <v>#NAME?</v>
      </c>
      <c r="T6" s="2" t="e">
        <f ca="1">IF(B6="","",_xludf.XLOOKUP(B6,'02_Features'!A:A,'02_Features'!L:L,0))</f>
        <v>#NAME?</v>
      </c>
      <c r="U6" s="2">
        <f>IF('03_Functionalities'!P6="","",'03_Functionalities'!P6)</f>
        <v>2</v>
      </c>
      <c r="V6" s="2" t="str">
        <f>IF('03_Functionalities'!Q6="","",'03_Functionalities'!Q6)</f>
        <v>Draft</v>
      </c>
      <c r="W6" s="2" t="str">
        <f>IF('03_Functionalities'!R6="","",'03_Functionalities'!R6)</f>
        <v>https://techdocs.broadcom.com/us/en/vmware-cis/vcf/vcf-9-0-and-later/9-1/release-notes/vmware-cloud-foundation-9-1-0-0-release-notes/vmware-cloud-foundation-bill-of-materials.html</v>
      </c>
      <c r="X6" s="2" t="str">
        <f>IF('03_Functionalities'!S6="","",'03_Functionalities'!S6)</f>
        <v>High</v>
      </c>
    </row>
    <row r="7" spans="1:24" ht="71.25">
      <c r="A7" s="2" t="str">
        <f>IF('03_Functionalities'!A7="","",'03_Functionalities'!A7)</f>
        <v>FN-PLATFORM-02-03</v>
      </c>
      <c r="B7" s="2" t="str">
        <f>IF('03_Functionalities'!B7="","",'03_Functionalities'!B7)</f>
        <v>FT-PLATFORM-02</v>
      </c>
      <c r="C7" s="2" t="str">
        <f>IF('03_Functionalities'!C7="","",'03_Functionalities'!C7)</f>
        <v>PC-PLATFORM</v>
      </c>
      <c r="D7" s="2" t="e">
        <f ca="1">IF(C7="","",_xludf.XLOOKUP(C7,'01_Products'!A:A,'01_Products'!B:B,"Missing Product"))</f>
        <v>#NAME?</v>
      </c>
      <c r="E7" s="2" t="e">
        <f ca="1">IF(C7="","",_xludf.XLOOKUP(C7,'01_Products'!A:A,'01_Products'!C:C,"Missing Type"))</f>
        <v>#NAME?</v>
      </c>
      <c r="F7" s="2" t="e">
        <f ca="1">IF(B7="","",_xludf.XLOOKUP(B7,'02_Features'!A:A,'02_Features'!C:C,"Missing Feature"))</f>
        <v>#NAME?</v>
      </c>
      <c r="G7" s="2" t="e">
        <f ca="1">IF(B7="","",_xludf.XLOOKUP(B7,'02_Features'!A:A,'02_Features'!E:E,"Missing Prompt"))</f>
        <v>#NAME?</v>
      </c>
      <c r="H7" s="2" t="str">
        <f>IF('03_Functionalities'!D7="","",'03_Functionalities'!D7)</f>
        <v>Domain-specific cluster and component mapping</v>
      </c>
      <c r="I7" s="2" t="str">
        <f>IF('03_Functionalities'!E7="","",'03_Functionalities'!E7)</f>
        <v>Major functionality for domain-specific cluster and component mapping.</v>
      </c>
      <c r="J7" s="2" t="str">
        <f>IF('03_Functionalities'!F7="","",'03_Functionalities'!F7)</f>
        <v>Includes major assessment behavior for domain-specific cluster and component mapping in the context of management domain and workload domain model.</v>
      </c>
      <c r="K7" s="2" t="str">
        <f>IF('03_Functionalities'!G7="","",'03_Functionalities'!G7)</f>
        <v>Excludes low-level configuration toggles, cosmetic UI behavior, and implementation-specific inventory minutiae unless they materially affect parity or risk.</v>
      </c>
      <c r="L7" s="2" t="str">
        <f>IF('03_Functionalities'!I7="","",'03_Functionalities'!I7)</f>
        <v>Management</v>
      </c>
      <c r="M7" s="2" t="str">
        <f>IF('03_Functionalities'!J7="","",'03_Functionalities'!J7)</f>
        <v>Domain Architecture</v>
      </c>
      <c r="N7" s="2" t="str">
        <f>IF('03_Functionalities'!K7="","",'03_Functionalities'!K7)</f>
        <v>Critical</v>
      </c>
      <c r="O7" s="2" t="str">
        <f>IF('03_Functionalities'!L7="","",'03_Functionalities'!L7)</f>
        <v>High</v>
      </c>
      <c r="P7" s="2" t="str">
        <f>IF('03_Functionalities'!M7="","",'03_Functionalities'!M7)</f>
        <v>Official vendor documentation, release notes, validated KB/article, product guide, or architecture reference with version applicability.</v>
      </c>
      <c r="Q7" s="2" t="str">
        <f>IF('03_Functionalities'!N7="","",'03_Functionalities'!N7)</f>
        <v>VCF 9.1 Management domain and workload domain model Domain-specific cluster and component mapping comparator parity evidence</v>
      </c>
      <c r="R7" s="2" t="str">
        <f>IF('03_Functionalities'!O7="","",'03_Functionalities'!O7)</f>
        <v>Yes</v>
      </c>
      <c r="S7" s="2" t="e">
        <f ca="1">IF(C7="","",_xludf.XLOOKUP(C7,'01_Products'!A:A,'01_Products'!K:K,0))</f>
        <v>#NAME?</v>
      </c>
      <c r="T7" s="2" t="e">
        <f ca="1">IF(B7="","",_xludf.XLOOKUP(B7,'02_Features'!A:A,'02_Features'!L:L,0))</f>
        <v>#NAME?</v>
      </c>
      <c r="U7" s="2">
        <f>IF('03_Functionalities'!P7="","",'03_Functionalities'!P7)</f>
        <v>3</v>
      </c>
      <c r="V7" s="2" t="str">
        <f>IF('03_Functionalities'!Q7="","",'03_Functionalities'!Q7)</f>
        <v>Draft</v>
      </c>
      <c r="W7" s="2" t="str">
        <f>IF('03_Functionalities'!R7="","",'03_Functionalities'!R7)</f>
        <v>https://techdocs.broadcom.com/us/en/vmware-cis/vcf/vcf-9-0-and-later/9-1/release-notes/vmware-cloud-foundation-9-1-0-0-release-notes/vmware-cloud-foundation-bill-of-materials.html</v>
      </c>
      <c r="X7" s="2" t="str">
        <f>IF('03_Functionalities'!S7="","",'03_Functionalities'!S7)</f>
        <v>High</v>
      </c>
    </row>
    <row r="8" spans="1:24" ht="71.25">
      <c r="A8" s="2" t="str">
        <f>IF('03_Functionalities'!A8="","",'03_Functionalities'!A8)</f>
        <v>FN-PLATFORM-03-01</v>
      </c>
      <c r="B8" s="2" t="str">
        <f>IF('03_Functionalities'!B8="","",'03_Functionalities'!B8)</f>
        <v>FT-PLATFORM-03</v>
      </c>
      <c r="C8" s="2" t="str">
        <f>IF('03_Functionalities'!C8="","",'03_Functionalities'!C8)</f>
        <v>PC-PLATFORM</v>
      </c>
      <c r="D8" s="2" t="e">
        <f ca="1">IF(C8="","",_xludf.XLOOKUP(C8,'01_Products'!A:A,'01_Products'!B:B,"Missing Product"))</f>
        <v>#NAME?</v>
      </c>
      <c r="E8" s="2" t="e">
        <f ca="1">IF(C8="","",_xludf.XLOOKUP(C8,'01_Products'!A:A,'01_Products'!C:C,"Missing Type"))</f>
        <v>#NAME?</v>
      </c>
      <c r="F8" s="2" t="e">
        <f ca="1">IF(B8="","",_xludf.XLOOKUP(B8,'02_Features'!A:A,'02_Features'!C:C,"Missing Feature"))</f>
        <v>#NAME?</v>
      </c>
      <c r="G8" s="2" t="e">
        <f ca="1">IF(B8="","",_xludf.XLOOKUP(B8,'02_Features'!A:A,'02_Features'!E:E,"Missing Prompt"))</f>
        <v>#NAME?</v>
      </c>
      <c r="H8" s="2" t="str">
        <f>IF('03_Functionalities'!D8="","",'03_Functionalities'!D8)</f>
        <v>Fleet inventory visibility</v>
      </c>
      <c r="I8" s="2" t="str">
        <f>IF('03_Functionalities'!E8="","",'03_Functionalities'!E8)</f>
        <v>Major functionality for fleet inventory visibility.</v>
      </c>
      <c r="J8" s="2" t="str">
        <f>IF('03_Functionalities'!F8="","",'03_Functionalities'!F8)</f>
        <v>Includes major assessment behavior for fleet inventory visibility in the context of fleet management and multi-instance governance.</v>
      </c>
      <c r="K8" s="2" t="str">
        <f>IF('03_Functionalities'!G8="","",'03_Functionalities'!G8)</f>
        <v>Excludes low-level configuration toggles, cosmetic UI behavior, and implementation-specific inventory minutiae unless they materially affect parity or risk.</v>
      </c>
      <c r="L8" s="2" t="str">
        <f>IF('03_Functionalities'!I8="","",'03_Functionalities'!I8)</f>
        <v>Management</v>
      </c>
      <c r="M8" s="2" t="str">
        <f>IF('03_Functionalities'!J8="","",'03_Functionalities'!J8)</f>
        <v>Fleet Management</v>
      </c>
      <c r="N8" s="2" t="str">
        <f>IF('03_Functionalities'!K8="","",'03_Functionalities'!K8)</f>
        <v>High</v>
      </c>
      <c r="O8" s="2" t="str">
        <f>IF('03_Functionalities'!L8="","",'03_Functionalities'!L8)</f>
        <v>Medium</v>
      </c>
      <c r="P8" s="2" t="str">
        <f>IF('03_Functionalities'!M8="","",'03_Functionalities'!M8)</f>
        <v>Official vendor documentation, release notes, validated KB/article, product guide, or architecture reference with version applicability.</v>
      </c>
      <c r="Q8" s="2" t="str">
        <f>IF('03_Functionalities'!N8="","",'03_Functionalities'!N8)</f>
        <v>VCF 9.1 Fleet management and multi-instance governance Fleet inventory visibility comparator parity evidence</v>
      </c>
      <c r="R8" s="2" t="str">
        <f>IF('03_Functionalities'!O8="","",'03_Functionalities'!O8)</f>
        <v>Yes</v>
      </c>
      <c r="S8" s="2" t="e">
        <f ca="1">IF(C8="","",_xludf.XLOOKUP(C8,'01_Products'!A:A,'01_Products'!K:K,0))</f>
        <v>#NAME?</v>
      </c>
      <c r="T8" s="2" t="e">
        <f ca="1">IF(B8="","",_xludf.XLOOKUP(B8,'02_Features'!A:A,'02_Features'!L:L,0))</f>
        <v>#NAME?</v>
      </c>
      <c r="U8" s="2">
        <f>IF('03_Functionalities'!P8="","",'03_Functionalities'!P8)</f>
        <v>1</v>
      </c>
      <c r="V8" s="2" t="str">
        <f>IF('03_Functionalities'!Q8="","",'03_Functionalities'!Q8)</f>
        <v>Draft</v>
      </c>
      <c r="W8" s="2" t="str">
        <f>IF('03_Functionalities'!R8="","",'03_Functionalities'!R8)</f>
        <v>https://techdocs.broadcom.com/us/en/vmware-cis/vcf/vcf-9-0-and-later/9-1/release-notes/vmware-cloud-foundation-9-1-0-0-release-notes/what-s-new/whats-new-vcf-ops.html</v>
      </c>
      <c r="X8" s="2" t="str">
        <f>IF('03_Functionalities'!S8="","",'03_Functionalities'!S8)</f>
        <v>High</v>
      </c>
    </row>
    <row r="9" spans="1:24" ht="71.25">
      <c r="A9" s="2" t="str">
        <f>IF('03_Functionalities'!A9="","",'03_Functionalities'!A9)</f>
        <v>FN-PLATFORM-03-02</v>
      </c>
      <c r="B9" s="2" t="str">
        <f>IF('03_Functionalities'!B9="","",'03_Functionalities'!B9)</f>
        <v>FT-PLATFORM-03</v>
      </c>
      <c r="C9" s="2" t="str">
        <f>IF('03_Functionalities'!C9="","",'03_Functionalities'!C9)</f>
        <v>PC-PLATFORM</v>
      </c>
      <c r="D9" s="2" t="e">
        <f ca="1">IF(C9="","",_xludf.XLOOKUP(C9,'01_Products'!A:A,'01_Products'!B:B,"Missing Product"))</f>
        <v>#NAME?</v>
      </c>
      <c r="E9" s="2" t="e">
        <f ca="1">IF(C9="","",_xludf.XLOOKUP(C9,'01_Products'!A:A,'01_Products'!C:C,"Missing Type"))</f>
        <v>#NAME?</v>
      </c>
      <c r="F9" s="2" t="e">
        <f ca="1">IF(B9="","",_xludf.XLOOKUP(B9,'02_Features'!A:A,'02_Features'!C:C,"Missing Feature"))</f>
        <v>#NAME?</v>
      </c>
      <c r="G9" s="2" t="e">
        <f ca="1">IF(B9="","",_xludf.XLOOKUP(B9,'02_Features'!A:A,'02_Features'!E:E,"Missing Prompt"))</f>
        <v>#NAME?</v>
      </c>
      <c r="H9" s="2" t="str">
        <f>IF('03_Functionalities'!D9="","",'03_Functionalities'!D9)</f>
        <v>Multi-instance operational governance</v>
      </c>
      <c r="I9" s="2" t="str">
        <f>IF('03_Functionalities'!E9="","",'03_Functionalities'!E9)</f>
        <v>Major functionality for multi-instance operational governance.</v>
      </c>
      <c r="J9" s="2" t="str">
        <f>IF('03_Functionalities'!F9="","",'03_Functionalities'!F9)</f>
        <v>Includes major assessment behavior for multi-instance operational governance in the context of fleet management and multi-instance governance.</v>
      </c>
      <c r="K9" s="2" t="str">
        <f>IF('03_Functionalities'!G9="","",'03_Functionalities'!G9)</f>
        <v>Excludes low-level configuration toggles, cosmetic UI behavior, and implementation-specific inventory minutiae unless they materially affect parity or risk.</v>
      </c>
      <c r="L9" s="2" t="str">
        <f>IF('03_Functionalities'!I9="","",'03_Functionalities'!I9)</f>
        <v>Management</v>
      </c>
      <c r="M9" s="2" t="str">
        <f>IF('03_Functionalities'!J9="","",'03_Functionalities'!J9)</f>
        <v>Fleet Management</v>
      </c>
      <c r="N9" s="2" t="str">
        <f>IF('03_Functionalities'!K9="","",'03_Functionalities'!K9)</f>
        <v>High</v>
      </c>
      <c r="O9" s="2" t="str">
        <f>IF('03_Functionalities'!L9="","",'03_Functionalities'!L9)</f>
        <v>Medium</v>
      </c>
      <c r="P9" s="2" t="str">
        <f>IF('03_Functionalities'!M9="","",'03_Functionalities'!M9)</f>
        <v>Official vendor documentation, release notes, validated KB/article, product guide, or architecture reference with version applicability.</v>
      </c>
      <c r="Q9" s="2" t="str">
        <f>IF('03_Functionalities'!N9="","",'03_Functionalities'!N9)</f>
        <v>VCF 9.1 Fleet management and multi-instance governance Multi-instance operational governance comparator parity evidence</v>
      </c>
      <c r="R9" s="2" t="str">
        <f>IF('03_Functionalities'!O9="","",'03_Functionalities'!O9)</f>
        <v>Yes</v>
      </c>
      <c r="S9" s="2" t="e">
        <f ca="1">IF(C9="","",_xludf.XLOOKUP(C9,'01_Products'!A:A,'01_Products'!K:K,0))</f>
        <v>#NAME?</v>
      </c>
      <c r="T9" s="2" t="e">
        <f ca="1">IF(B9="","",_xludf.XLOOKUP(B9,'02_Features'!A:A,'02_Features'!L:L,0))</f>
        <v>#NAME?</v>
      </c>
      <c r="U9" s="2">
        <f>IF('03_Functionalities'!P9="","",'03_Functionalities'!P9)</f>
        <v>2</v>
      </c>
      <c r="V9" s="2" t="str">
        <f>IF('03_Functionalities'!Q9="","",'03_Functionalities'!Q9)</f>
        <v>Draft</v>
      </c>
      <c r="W9" s="2" t="str">
        <f>IF('03_Functionalities'!R9="","",'03_Functionalities'!R9)</f>
        <v>https://techdocs.broadcom.com/us/en/vmware-cis/vcf/vcf-9-0-and-later/9-1/release-notes/vmware-cloud-foundation-9-1-0-0-release-notes/what-s-new/whats-new-vcf-ops.html</v>
      </c>
      <c r="X9" s="2" t="str">
        <f>IF('03_Functionalities'!S9="","",'03_Functionalities'!S9)</f>
        <v>High</v>
      </c>
    </row>
    <row r="10" spans="1:24" ht="71.25">
      <c r="A10" s="2" t="str">
        <f>IF('03_Functionalities'!A10="","",'03_Functionalities'!A10)</f>
        <v>FN-PLATFORM-03-03</v>
      </c>
      <c r="B10" s="2" t="str">
        <f>IF('03_Functionalities'!B10="","",'03_Functionalities'!B10)</f>
        <v>FT-PLATFORM-03</v>
      </c>
      <c r="C10" s="2" t="str">
        <f>IF('03_Functionalities'!C10="","",'03_Functionalities'!C10)</f>
        <v>PC-PLATFORM</v>
      </c>
      <c r="D10" s="2" t="e">
        <f ca="1">IF(C10="","",_xludf.XLOOKUP(C10,'01_Products'!A:A,'01_Products'!B:B,"Missing Product"))</f>
        <v>#NAME?</v>
      </c>
      <c r="E10" s="2" t="e">
        <f ca="1">IF(C10="","",_xludf.XLOOKUP(C10,'01_Products'!A:A,'01_Products'!C:C,"Missing Type"))</f>
        <v>#NAME?</v>
      </c>
      <c r="F10" s="2" t="e">
        <f ca="1">IF(B10="","",_xludf.XLOOKUP(B10,'02_Features'!A:A,'02_Features'!C:C,"Missing Feature"))</f>
        <v>#NAME?</v>
      </c>
      <c r="G10" s="2" t="e">
        <f ca="1">IF(B10="","",_xludf.XLOOKUP(B10,'02_Features'!A:A,'02_Features'!E:E,"Missing Prompt"))</f>
        <v>#NAME?</v>
      </c>
      <c r="H10" s="2" t="str">
        <f>IF('03_Functionalities'!D10="","",'03_Functionalities'!D10)</f>
        <v>Fleet-level policy and version awareness</v>
      </c>
      <c r="I10" s="2" t="str">
        <f>IF('03_Functionalities'!E10="","",'03_Functionalities'!E10)</f>
        <v>Major functionality for fleet-level policy and version awareness.</v>
      </c>
      <c r="J10" s="2" t="str">
        <f>IF('03_Functionalities'!F10="","",'03_Functionalities'!F10)</f>
        <v>Includes major assessment behavior for fleet-level policy and version awareness in the context of fleet management and multi-instance governance.</v>
      </c>
      <c r="K10" s="2" t="str">
        <f>IF('03_Functionalities'!G10="","",'03_Functionalities'!G10)</f>
        <v>Excludes low-level configuration toggles, cosmetic UI behavior, and implementation-specific inventory minutiae unless they materially affect parity or risk.</v>
      </c>
      <c r="L10" s="2" t="str">
        <f>IF('03_Functionalities'!I10="","",'03_Functionalities'!I10)</f>
        <v>Management</v>
      </c>
      <c r="M10" s="2" t="str">
        <f>IF('03_Functionalities'!J10="","",'03_Functionalities'!J10)</f>
        <v>Fleet Management</v>
      </c>
      <c r="N10" s="2" t="str">
        <f>IF('03_Functionalities'!K10="","",'03_Functionalities'!K10)</f>
        <v>High</v>
      </c>
      <c r="O10" s="2" t="str">
        <f>IF('03_Functionalities'!L10="","",'03_Functionalities'!L10)</f>
        <v>Medium</v>
      </c>
      <c r="P10" s="2" t="str">
        <f>IF('03_Functionalities'!M10="","",'03_Functionalities'!M10)</f>
        <v>Official vendor documentation, release notes, validated KB/article, product guide, or architecture reference with version applicability.</v>
      </c>
      <c r="Q10" s="2" t="str">
        <f>IF('03_Functionalities'!N10="","",'03_Functionalities'!N10)</f>
        <v>VCF 9.1 Fleet management and multi-instance governance Fleet-level policy and version awareness comparator parity evidence</v>
      </c>
      <c r="R10" s="2" t="str">
        <f>IF('03_Functionalities'!O10="","",'03_Functionalities'!O10)</f>
        <v>Yes</v>
      </c>
      <c r="S10" s="2" t="e">
        <f ca="1">IF(C10="","",_xludf.XLOOKUP(C10,'01_Products'!A:A,'01_Products'!K:K,0))</f>
        <v>#NAME?</v>
      </c>
      <c r="T10" s="2" t="e">
        <f ca="1">IF(B10="","",_xludf.XLOOKUP(B10,'02_Features'!A:A,'02_Features'!L:L,0))</f>
        <v>#NAME?</v>
      </c>
      <c r="U10" s="2">
        <f>IF('03_Functionalities'!P10="","",'03_Functionalities'!P10)</f>
        <v>3</v>
      </c>
      <c r="V10" s="2" t="str">
        <f>IF('03_Functionalities'!Q10="","",'03_Functionalities'!Q10)</f>
        <v>Draft</v>
      </c>
      <c r="W10" s="2" t="str">
        <f>IF('03_Functionalities'!R10="","",'03_Functionalities'!R10)</f>
        <v>https://techdocs.broadcom.com/us/en/vmware-cis/vcf/vcf-9-0-and-later/9-1/release-notes/vmware-cloud-foundation-9-1-0-0-release-notes/what-s-new/whats-new-vcf-ops.html</v>
      </c>
      <c r="X10" s="2" t="str">
        <f>IF('03_Functionalities'!S10="","",'03_Functionalities'!S10)</f>
        <v>High</v>
      </c>
    </row>
    <row r="11" spans="1:24" ht="71.25">
      <c r="A11" s="2" t="str">
        <f>IF('03_Functionalities'!A11="","",'03_Functionalities'!A11)</f>
        <v>FN-PLATFORM-04-01</v>
      </c>
      <c r="B11" s="2" t="str">
        <f>IF('03_Functionalities'!B11="","",'03_Functionalities'!B11)</f>
        <v>FT-PLATFORM-04</v>
      </c>
      <c r="C11" s="2" t="str">
        <f>IF('03_Functionalities'!C11="","",'03_Functionalities'!C11)</f>
        <v>PC-PLATFORM</v>
      </c>
      <c r="D11" s="2" t="e">
        <f ca="1">IF(C11="","",_xludf.XLOOKUP(C11,'01_Products'!A:A,'01_Products'!B:B,"Missing Product"))</f>
        <v>#NAME?</v>
      </c>
      <c r="E11" s="2" t="e">
        <f ca="1">IF(C11="","",_xludf.XLOOKUP(C11,'01_Products'!A:A,'01_Products'!C:C,"Missing Type"))</f>
        <v>#NAME?</v>
      </c>
      <c r="F11" s="2" t="e">
        <f ca="1">IF(B11="","",_xludf.XLOOKUP(B11,'02_Features'!A:A,'02_Features'!C:C,"Missing Feature"))</f>
        <v>#NAME?</v>
      </c>
      <c r="G11" s="2" t="e">
        <f ca="1">IF(B11="","",_xludf.XLOOKUP(B11,'02_Features'!A:A,'02_Features'!E:E,"Missing Prompt"))</f>
        <v>#NAME?</v>
      </c>
      <c r="H11" s="2" t="str">
        <f>IF('03_Functionalities'!D11="","",'03_Functionalities'!D11)</f>
        <v>Management services placement model</v>
      </c>
      <c r="I11" s="2" t="str">
        <f>IF('03_Functionalities'!E11="","",'03_Functionalities'!E11)</f>
        <v>Major functionality for management services placement model.</v>
      </c>
      <c r="J11" s="2" t="str">
        <f>IF('03_Functionalities'!F11="","",'03_Functionalities'!F11)</f>
        <v>Includes major assessment behavior for management services placement model in the context of vcf management services deployment model.</v>
      </c>
      <c r="K11" s="2" t="str">
        <f>IF('03_Functionalities'!G11="","",'03_Functionalities'!G11)</f>
        <v>Excludes low-level configuration toggles, cosmetic UI behavior, and implementation-specific inventory minutiae unless they materially affect parity or risk.</v>
      </c>
      <c r="L11" s="2" t="str">
        <f>IF('03_Functionalities'!I11="","",'03_Functionalities'!I11)</f>
        <v>Operations</v>
      </c>
      <c r="M11" s="2" t="str">
        <f>IF('03_Functionalities'!J11="","",'03_Functionalities'!J11)</f>
        <v>Management Services</v>
      </c>
      <c r="N11" s="2" t="str">
        <f>IF('03_Functionalities'!K11="","",'03_Functionalities'!K11)</f>
        <v>High</v>
      </c>
      <c r="O11" s="2" t="str">
        <f>IF('03_Functionalities'!L11="","",'03_Functionalities'!L11)</f>
        <v>Medium</v>
      </c>
      <c r="P11" s="2" t="str">
        <f>IF('03_Functionalities'!M11="","",'03_Functionalities'!M11)</f>
        <v>Official vendor documentation, release notes, validated KB/article, product guide, or architecture reference with version applicability.</v>
      </c>
      <c r="Q11" s="2" t="str">
        <f>IF('03_Functionalities'!N11="","",'03_Functionalities'!N11)</f>
        <v>VCF 9.1 VCF management services deployment model Management services placement model comparator parity evidence</v>
      </c>
      <c r="R11" s="2" t="str">
        <f>IF('03_Functionalities'!O11="","",'03_Functionalities'!O11)</f>
        <v>Yes</v>
      </c>
      <c r="S11" s="2" t="e">
        <f ca="1">IF(C11="","",_xludf.XLOOKUP(C11,'01_Products'!A:A,'01_Products'!K:K,0))</f>
        <v>#NAME?</v>
      </c>
      <c r="T11" s="2" t="e">
        <f ca="1">IF(B11="","",_xludf.XLOOKUP(B11,'02_Features'!A:A,'02_Features'!L:L,0))</f>
        <v>#NAME?</v>
      </c>
      <c r="U11" s="2">
        <f>IF('03_Functionalities'!P11="","",'03_Functionalities'!P11)</f>
        <v>1</v>
      </c>
      <c r="V11" s="2" t="str">
        <f>IF('03_Functionalities'!Q11="","",'03_Functionalities'!Q11)</f>
        <v>Draft</v>
      </c>
      <c r="W11" s="2" t="str">
        <f>IF('03_Functionalities'!R11="","",'03_Functionalities'!R11)</f>
        <v>https://techdocs.broadcom.com/us/en/vmware-cis/vcf/vcf-9-0-and-later/9-1/design/vmware-cloud-foundation-concepts/vcf-management-services-models.html</v>
      </c>
      <c r="X11" s="2" t="str">
        <f>IF('03_Functionalities'!S11="","",'03_Functionalities'!S11)</f>
        <v>High</v>
      </c>
    </row>
    <row r="12" spans="1:24" ht="71.25">
      <c r="A12" s="2" t="str">
        <f>IF('03_Functionalities'!A12="","",'03_Functionalities'!A12)</f>
        <v>FN-PLATFORM-04-02</v>
      </c>
      <c r="B12" s="2" t="str">
        <f>IF('03_Functionalities'!B12="","",'03_Functionalities'!B12)</f>
        <v>FT-PLATFORM-04</v>
      </c>
      <c r="C12" s="2" t="str">
        <f>IF('03_Functionalities'!C12="","",'03_Functionalities'!C12)</f>
        <v>PC-PLATFORM</v>
      </c>
      <c r="D12" s="2" t="e">
        <f ca="1">IF(C12="","",_xludf.XLOOKUP(C12,'01_Products'!A:A,'01_Products'!B:B,"Missing Product"))</f>
        <v>#NAME?</v>
      </c>
      <c r="E12" s="2" t="e">
        <f ca="1">IF(C12="","",_xludf.XLOOKUP(C12,'01_Products'!A:A,'01_Products'!C:C,"Missing Type"))</f>
        <v>#NAME?</v>
      </c>
      <c r="F12" s="2" t="e">
        <f ca="1">IF(B12="","",_xludf.XLOOKUP(B12,'02_Features'!A:A,'02_Features'!C:C,"Missing Feature"))</f>
        <v>#NAME?</v>
      </c>
      <c r="G12" s="2" t="e">
        <f ca="1">IF(B12="","",_xludf.XLOOKUP(B12,'02_Features'!A:A,'02_Features'!E:E,"Missing Prompt"))</f>
        <v>#NAME?</v>
      </c>
      <c r="H12" s="2" t="str">
        <f>IF('03_Functionalities'!D12="","",'03_Functionalities'!D12)</f>
        <v>Management services availability model</v>
      </c>
      <c r="I12" s="2" t="str">
        <f>IF('03_Functionalities'!E12="","",'03_Functionalities'!E12)</f>
        <v>Major functionality for management services availability model.</v>
      </c>
      <c r="J12" s="2" t="str">
        <f>IF('03_Functionalities'!F12="","",'03_Functionalities'!F12)</f>
        <v>Includes major assessment behavior for management services availability model in the context of vcf management services deployment model.</v>
      </c>
      <c r="K12" s="2" t="str">
        <f>IF('03_Functionalities'!G12="","",'03_Functionalities'!G12)</f>
        <v>Excludes low-level configuration toggles, cosmetic UI behavior, and implementation-specific inventory minutiae unless they materially affect parity or risk.</v>
      </c>
      <c r="L12" s="2" t="str">
        <f>IF('03_Functionalities'!I12="","",'03_Functionalities'!I12)</f>
        <v>Operations</v>
      </c>
      <c r="M12" s="2" t="str">
        <f>IF('03_Functionalities'!J12="","",'03_Functionalities'!J12)</f>
        <v>Management Services</v>
      </c>
      <c r="N12" s="2" t="str">
        <f>IF('03_Functionalities'!K12="","",'03_Functionalities'!K12)</f>
        <v>High</v>
      </c>
      <c r="O12" s="2" t="str">
        <f>IF('03_Functionalities'!L12="","",'03_Functionalities'!L12)</f>
        <v>Medium</v>
      </c>
      <c r="P12" s="2" t="str">
        <f>IF('03_Functionalities'!M12="","",'03_Functionalities'!M12)</f>
        <v>Official vendor documentation, release notes, validated KB/article, product guide, or architecture reference with version applicability.</v>
      </c>
      <c r="Q12" s="2" t="str">
        <f>IF('03_Functionalities'!N12="","",'03_Functionalities'!N12)</f>
        <v>VCF 9.1 VCF management services deployment model Management services availability model comparator parity evidence</v>
      </c>
      <c r="R12" s="2" t="str">
        <f>IF('03_Functionalities'!O12="","",'03_Functionalities'!O12)</f>
        <v>Yes</v>
      </c>
      <c r="S12" s="2" t="e">
        <f ca="1">IF(C12="","",_xludf.XLOOKUP(C12,'01_Products'!A:A,'01_Products'!K:K,0))</f>
        <v>#NAME?</v>
      </c>
      <c r="T12" s="2" t="e">
        <f ca="1">IF(B12="","",_xludf.XLOOKUP(B12,'02_Features'!A:A,'02_Features'!L:L,0))</f>
        <v>#NAME?</v>
      </c>
      <c r="U12" s="2">
        <f>IF('03_Functionalities'!P12="","",'03_Functionalities'!P12)</f>
        <v>2</v>
      </c>
      <c r="V12" s="2" t="str">
        <f>IF('03_Functionalities'!Q12="","",'03_Functionalities'!Q12)</f>
        <v>Draft</v>
      </c>
      <c r="W12" s="2" t="str">
        <f>IF('03_Functionalities'!R12="","",'03_Functionalities'!R12)</f>
        <v>https://techdocs.broadcom.com/us/en/vmware-cis/vcf/vcf-9-0-and-later/9-1/design/vmware-cloud-foundation-concepts/vcf-management-services-models.html</v>
      </c>
      <c r="X12" s="2" t="str">
        <f>IF('03_Functionalities'!S12="","",'03_Functionalities'!S12)</f>
        <v>High</v>
      </c>
    </row>
    <row r="13" spans="1:24" ht="71.25">
      <c r="A13" s="2" t="str">
        <f>IF('03_Functionalities'!A13="","",'03_Functionalities'!A13)</f>
        <v>FN-PLATFORM-04-03</v>
      </c>
      <c r="B13" s="2" t="str">
        <f>IF('03_Functionalities'!B13="","",'03_Functionalities'!B13)</f>
        <v>FT-PLATFORM-04</v>
      </c>
      <c r="C13" s="2" t="str">
        <f>IF('03_Functionalities'!C13="","",'03_Functionalities'!C13)</f>
        <v>PC-PLATFORM</v>
      </c>
      <c r="D13" s="2" t="e">
        <f ca="1">IF(C13="","",_xludf.XLOOKUP(C13,'01_Products'!A:A,'01_Products'!B:B,"Missing Product"))</f>
        <v>#NAME?</v>
      </c>
      <c r="E13" s="2" t="e">
        <f ca="1">IF(C13="","",_xludf.XLOOKUP(C13,'01_Products'!A:A,'01_Products'!C:C,"Missing Type"))</f>
        <v>#NAME?</v>
      </c>
      <c r="F13" s="2" t="e">
        <f ca="1">IF(B13="","",_xludf.XLOOKUP(B13,'02_Features'!A:A,'02_Features'!C:C,"Missing Feature"))</f>
        <v>#NAME?</v>
      </c>
      <c r="G13" s="2" t="e">
        <f ca="1">IF(B13="","",_xludf.XLOOKUP(B13,'02_Features'!A:A,'02_Features'!E:E,"Missing Prompt"))</f>
        <v>#NAME?</v>
      </c>
      <c r="H13" s="2" t="str">
        <f>IF('03_Functionalities'!D13="","",'03_Functionalities'!D13)</f>
        <v>Management services network requirements</v>
      </c>
      <c r="I13" s="2" t="str">
        <f>IF('03_Functionalities'!E13="","",'03_Functionalities'!E13)</f>
        <v>Major functionality for management services network requirements.</v>
      </c>
      <c r="J13" s="2" t="str">
        <f>IF('03_Functionalities'!F13="","",'03_Functionalities'!F13)</f>
        <v>Includes major assessment behavior for management services network requirements in the context of vcf management services deployment model.</v>
      </c>
      <c r="K13" s="2" t="str">
        <f>IF('03_Functionalities'!G13="","",'03_Functionalities'!G13)</f>
        <v>Excludes low-level configuration toggles, cosmetic UI behavior, and implementation-specific inventory minutiae unless they materially affect parity or risk.</v>
      </c>
      <c r="L13" s="2" t="str">
        <f>IF('03_Functionalities'!I13="","",'03_Functionalities'!I13)</f>
        <v>Operations</v>
      </c>
      <c r="M13" s="2" t="str">
        <f>IF('03_Functionalities'!J13="","",'03_Functionalities'!J13)</f>
        <v>Management Services</v>
      </c>
      <c r="N13" s="2" t="str">
        <f>IF('03_Functionalities'!K13="","",'03_Functionalities'!K13)</f>
        <v>High</v>
      </c>
      <c r="O13" s="2" t="str">
        <f>IF('03_Functionalities'!L13="","",'03_Functionalities'!L13)</f>
        <v>Medium</v>
      </c>
      <c r="P13" s="2" t="str">
        <f>IF('03_Functionalities'!M13="","",'03_Functionalities'!M13)</f>
        <v>Official vendor documentation, release notes, validated KB/article, product guide, or architecture reference with version applicability.</v>
      </c>
      <c r="Q13" s="2" t="str">
        <f>IF('03_Functionalities'!N13="","",'03_Functionalities'!N13)</f>
        <v>VCF 9.1 VCF management services deployment model Management services network requirements comparator parity evidence</v>
      </c>
      <c r="R13" s="2" t="str">
        <f>IF('03_Functionalities'!O13="","",'03_Functionalities'!O13)</f>
        <v>Yes</v>
      </c>
      <c r="S13" s="2" t="e">
        <f ca="1">IF(C13="","",_xludf.XLOOKUP(C13,'01_Products'!A:A,'01_Products'!K:K,0))</f>
        <v>#NAME?</v>
      </c>
      <c r="T13" s="2" t="e">
        <f ca="1">IF(B13="","",_xludf.XLOOKUP(B13,'02_Features'!A:A,'02_Features'!L:L,0))</f>
        <v>#NAME?</v>
      </c>
      <c r="U13" s="2">
        <f>IF('03_Functionalities'!P13="","",'03_Functionalities'!P13)</f>
        <v>3</v>
      </c>
      <c r="V13" s="2" t="str">
        <f>IF('03_Functionalities'!Q13="","",'03_Functionalities'!Q13)</f>
        <v>Draft</v>
      </c>
      <c r="W13" s="2" t="str">
        <f>IF('03_Functionalities'!R13="","",'03_Functionalities'!R13)</f>
        <v>https://techdocs.broadcom.com/us/en/vmware-cis/vcf/vcf-9-0-and-later/9-1/design/vmware-cloud-foundation-concepts/vcf-management-services-models.html</v>
      </c>
      <c r="X13" s="2" t="str">
        <f>IF('03_Functionalities'!S13="","",'03_Functionalities'!S13)</f>
        <v>High</v>
      </c>
    </row>
    <row r="14" spans="1:24" ht="57">
      <c r="A14" s="2" t="str">
        <f>IF('03_Functionalities'!A14="","",'03_Functionalities'!A14)</f>
        <v>FN-PLATFORM-05-01</v>
      </c>
      <c r="B14" s="2" t="str">
        <f>IF('03_Functionalities'!B14="","",'03_Functionalities'!B14)</f>
        <v>FT-PLATFORM-05</v>
      </c>
      <c r="C14" s="2" t="str">
        <f>IF('03_Functionalities'!C14="","",'03_Functionalities'!C14)</f>
        <v>PC-PLATFORM</v>
      </c>
      <c r="D14" s="2" t="e">
        <f ca="1">IF(C14="","",_xludf.XLOOKUP(C14,'01_Products'!A:A,'01_Products'!B:B,"Missing Product"))</f>
        <v>#NAME?</v>
      </c>
      <c r="E14" s="2" t="e">
        <f ca="1">IF(C14="","",_xludf.XLOOKUP(C14,'01_Products'!A:A,'01_Products'!C:C,"Missing Type"))</f>
        <v>#NAME?</v>
      </c>
      <c r="F14" s="2" t="e">
        <f ca="1">IF(B14="","",_xludf.XLOOKUP(B14,'02_Features'!A:A,'02_Features'!C:C,"Missing Feature"))</f>
        <v>#NAME?</v>
      </c>
      <c r="G14" s="2" t="e">
        <f ca="1">IF(B14="","",_xludf.XLOOKUP(B14,'02_Features'!A:A,'02_Features'!E:E,"Missing Prompt"))</f>
        <v>#NAME?</v>
      </c>
      <c r="H14" s="2" t="str">
        <f>IF('03_Functionalities'!D14="","",'03_Functionalities'!D14)</f>
        <v>License server integration</v>
      </c>
      <c r="I14" s="2" t="str">
        <f>IF('03_Functionalities'!E14="","",'03_Functionalities'!E14)</f>
        <v>Major functionality for license server integration.</v>
      </c>
      <c r="J14" s="2" t="str">
        <f>IF('03_Functionalities'!F14="","",'03_Functionalities'!F14)</f>
        <v>Includes major assessment behavior for license server integration in the context of identity, licensing and platform access context.</v>
      </c>
      <c r="K14" s="2" t="str">
        <f>IF('03_Functionalities'!G14="","",'03_Functionalities'!G14)</f>
        <v>Excludes low-level configuration toggles, cosmetic UI behavior, and implementation-specific inventory minutiae unless they materially affect parity or risk.</v>
      </c>
      <c r="L14" s="2" t="str">
        <f>IF('03_Functionalities'!I14="","",'03_Functionalities'!I14)</f>
        <v>Security</v>
      </c>
      <c r="M14" s="2" t="str">
        <f>IF('03_Functionalities'!J14="","",'03_Functionalities'!J14)</f>
        <v>Access Governance</v>
      </c>
      <c r="N14" s="2" t="str">
        <f>IF('03_Functionalities'!K14="","",'03_Functionalities'!K14)</f>
        <v>High</v>
      </c>
      <c r="O14" s="2" t="str">
        <f>IF('03_Functionalities'!L14="","",'03_Functionalities'!L14)</f>
        <v>High</v>
      </c>
      <c r="P14" s="2" t="str">
        <f>IF('03_Functionalities'!M14="","",'03_Functionalities'!M14)</f>
        <v>Official vendor documentation, release notes, validated KB/article, product guide, or architecture reference with version applicability.</v>
      </c>
      <c r="Q14" s="2" t="str">
        <f>IF('03_Functionalities'!N14="","",'03_Functionalities'!N14)</f>
        <v>VCF 9.1 Identity, licensing and platform access context License server integration comparator parity evidence</v>
      </c>
      <c r="R14" s="2" t="str">
        <f>IF('03_Functionalities'!O14="","",'03_Functionalities'!O14)</f>
        <v>Yes</v>
      </c>
      <c r="S14" s="2" t="e">
        <f ca="1">IF(C14="","",_xludf.XLOOKUP(C14,'01_Products'!A:A,'01_Products'!K:K,0))</f>
        <v>#NAME?</v>
      </c>
      <c r="T14" s="2" t="e">
        <f ca="1">IF(B14="","",_xludf.XLOOKUP(B14,'02_Features'!A:A,'02_Features'!L:L,0))</f>
        <v>#NAME?</v>
      </c>
      <c r="U14" s="2">
        <f>IF('03_Functionalities'!P14="","",'03_Functionalities'!P14)</f>
        <v>1</v>
      </c>
      <c r="V14" s="2" t="str">
        <f>IF('03_Functionalities'!Q14="","",'03_Functionalities'!Q14)</f>
        <v>Draft</v>
      </c>
      <c r="W14" s="2" t="str">
        <f>IF('03_Functionalities'!R14="","",'03_Functionalities'!R14)</f>
        <v>https://www.vmware.com/docs/vmware-cloud-foundation-9-1-general-faqs</v>
      </c>
      <c r="X14" s="2" t="str">
        <f>IF('03_Functionalities'!S14="","",'03_Functionalities'!S14)</f>
        <v>High</v>
      </c>
    </row>
    <row r="15" spans="1:24" ht="57">
      <c r="A15" s="2" t="str">
        <f>IF('03_Functionalities'!A15="","",'03_Functionalities'!A15)</f>
        <v>FN-PLATFORM-05-02</v>
      </c>
      <c r="B15" s="2" t="str">
        <f>IF('03_Functionalities'!B15="","",'03_Functionalities'!B15)</f>
        <v>FT-PLATFORM-05</v>
      </c>
      <c r="C15" s="2" t="str">
        <f>IF('03_Functionalities'!C15="","",'03_Functionalities'!C15)</f>
        <v>PC-PLATFORM</v>
      </c>
      <c r="D15" s="2" t="e">
        <f ca="1">IF(C15="","",_xludf.XLOOKUP(C15,'01_Products'!A:A,'01_Products'!B:B,"Missing Product"))</f>
        <v>#NAME?</v>
      </c>
      <c r="E15" s="2" t="e">
        <f ca="1">IF(C15="","",_xludf.XLOOKUP(C15,'01_Products'!A:A,'01_Products'!C:C,"Missing Type"))</f>
        <v>#NAME?</v>
      </c>
      <c r="F15" s="2" t="e">
        <f ca="1">IF(B15="","",_xludf.XLOOKUP(B15,'02_Features'!A:A,'02_Features'!C:C,"Missing Feature"))</f>
        <v>#NAME?</v>
      </c>
      <c r="G15" s="2" t="e">
        <f ca="1">IF(B15="","",_xludf.XLOOKUP(B15,'02_Features'!A:A,'02_Features'!E:E,"Missing Prompt"))</f>
        <v>#NAME?</v>
      </c>
      <c r="H15" s="2" t="str">
        <f>IF('03_Functionalities'!D15="","",'03_Functionalities'!D15)</f>
        <v>Identity broker and authentication integration</v>
      </c>
      <c r="I15" s="2" t="str">
        <f>IF('03_Functionalities'!E15="","",'03_Functionalities'!E15)</f>
        <v>Major functionality for identity broker and authentication integration.</v>
      </c>
      <c r="J15" s="2" t="str">
        <f>IF('03_Functionalities'!F15="","",'03_Functionalities'!F15)</f>
        <v>Includes major assessment behavior for identity broker and authentication integration in the context of identity, licensing and platform access context.</v>
      </c>
      <c r="K15" s="2" t="str">
        <f>IF('03_Functionalities'!G15="","",'03_Functionalities'!G15)</f>
        <v>Excludes low-level configuration toggles, cosmetic UI behavior, and implementation-specific inventory minutiae unless they materially affect parity or risk.</v>
      </c>
      <c r="L15" s="2" t="str">
        <f>IF('03_Functionalities'!I15="","",'03_Functionalities'!I15)</f>
        <v>Security</v>
      </c>
      <c r="M15" s="2" t="str">
        <f>IF('03_Functionalities'!J15="","",'03_Functionalities'!J15)</f>
        <v>Access Governance</v>
      </c>
      <c r="N15" s="2" t="str">
        <f>IF('03_Functionalities'!K15="","",'03_Functionalities'!K15)</f>
        <v>High</v>
      </c>
      <c r="O15" s="2" t="str">
        <f>IF('03_Functionalities'!L15="","",'03_Functionalities'!L15)</f>
        <v>High</v>
      </c>
      <c r="P15" s="2" t="str">
        <f>IF('03_Functionalities'!M15="","",'03_Functionalities'!M15)</f>
        <v>Official vendor documentation, release notes, validated KB/article, product guide, or architecture reference with version applicability.</v>
      </c>
      <c r="Q15" s="2" t="str">
        <f>IF('03_Functionalities'!N15="","",'03_Functionalities'!N15)</f>
        <v>VCF 9.1 Identity, licensing and platform access context Identity broker and authentication integration comparator parity evidence</v>
      </c>
      <c r="R15" s="2" t="str">
        <f>IF('03_Functionalities'!O15="","",'03_Functionalities'!O15)</f>
        <v>Yes</v>
      </c>
      <c r="S15" s="2" t="e">
        <f ca="1">IF(C15="","",_xludf.XLOOKUP(C15,'01_Products'!A:A,'01_Products'!K:K,0))</f>
        <v>#NAME?</v>
      </c>
      <c r="T15" s="2" t="e">
        <f ca="1">IF(B15="","",_xludf.XLOOKUP(B15,'02_Features'!A:A,'02_Features'!L:L,0))</f>
        <v>#NAME?</v>
      </c>
      <c r="U15" s="2">
        <f>IF('03_Functionalities'!P15="","",'03_Functionalities'!P15)</f>
        <v>2</v>
      </c>
      <c r="V15" s="2" t="str">
        <f>IF('03_Functionalities'!Q15="","",'03_Functionalities'!Q15)</f>
        <v>Draft</v>
      </c>
      <c r="W15" s="2" t="str">
        <f>IF('03_Functionalities'!R15="","",'03_Functionalities'!R15)</f>
        <v>https://www.vmware.com/docs/vmware-cloud-foundation-9-1-general-faqs</v>
      </c>
      <c r="X15" s="2" t="str">
        <f>IF('03_Functionalities'!S15="","",'03_Functionalities'!S15)</f>
        <v>High</v>
      </c>
    </row>
    <row r="16" spans="1:24" ht="57">
      <c r="A16" s="2" t="str">
        <f>IF('03_Functionalities'!A16="","",'03_Functionalities'!A16)</f>
        <v>FN-PLATFORM-05-03</v>
      </c>
      <c r="B16" s="2" t="str">
        <f>IF('03_Functionalities'!B16="","",'03_Functionalities'!B16)</f>
        <v>FT-PLATFORM-05</v>
      </c>
      <c r="C16" s="2" t="str">
        <f>IF('03_Functionalities'!C16="","",'03_Functionalities'!C16)</f>
        <v>PC-PLATFORM</v>
      </c>
      <c r="D16" s="2" t="e">
        <f ca="1">IF(C16="","",_xludf.XLOOKUP(C16,'01_Products'!A:A,'01_Products'!B:B,"Missing Product"))</f>
        <v>#NAME?</v>
      </c>
      <c r="E16" s="2" t="e">
        <f ca="1">IF(C16="","",_xludf.XLOOKUP(C16,'01_Products'!A:A,'01_Products'!C:C,"Missing Type"))</f>
        <v>#NAME?</v>
      </c>
      <c r="F16" s="2" t="e">
        <f ca="1">IF(B16="","",_xludf.XLOOKUP(B16,'02_Features'!A:A,'02_Features'!C:C,"Missing Feature"))</f>
        <v>#NAME?</v>
      </c>
      <c r="G16" s="2" t="e">
        <f ca="1">IF(B16="","",_xludf.XLOOKUP(B16,'02_Features'!A:A,'02_Features'!E:E,"Missing Prompt"))</f>
        <v>#NAME?</v>
      </c>
      <c r="H16" s="2" t="str">
        <f>IF('03_Functionalities'!D16="","",'03_Functionalities'!D16)</f>
        <v>Role and access governance context</v>
      </c>
      <c r="I16" s="2" t="str">
        <f>IF('03_Functionalities'!E16="","",'03_Functionalities'!E16)</f>
        <v>Major functionality for role and access governance context.</v>
      </c>
      <c r="J16" s="2" t="str">
        <f>IF('03_Functionalities'!F16="","",'03_Functionalities'!F16)</f>
        <v>Includes major assessment behavior for role and access governance context in the context of identity, licensing and platform access context.</v>
      </c>
      <c r="K16" s="2" t="str">
        <f>IF('03_Functionalities'!G16="","",'03_Functionalities'!G16)</f>
        <v>Excludes low-level configuration toggles, cosmetic UI behavior, and implementation-specific inventory minutiae unless they materially affect parity or risk.</v>
      </c>
      <c r="L16" s="2" t="str">
        <f>IF('03_Functionalities'!I16="","",'03_Functionalities'!I16)</f>
        <v>Security</v>
      </c>
      <c r="M16" s="2" t="str">
        <f>IF('03_Functionalities'!J16="","",'03_Functionalities'!J16)</f>
        <v>Access Governance</v>
      </c>
      <c r="N16" s="2" t="str">
        <f>IF('03_Functionalities'!K16="","",'03_Functionalities'!K16)</f>
        <v>High</v>
      </c>
      <c r="O16" s="2" t="str">
        <f>IF('03_Functionalities'!L16="","",'03_Functionalities'!L16)</f>
        <v>High</v>
      </c>
      <c r="P16" s="2" t="str">
        <f>IF('03_Functionalities'!M16="","",'03_Functionalities'!M16)</f>
        <v>Official vendor documentation, release notes, validated KB/article, product guide, or architecture reference with version applicability.</v>
      </c>
      <c r="Q16" s="2" t="str">
        <f>IF('03_Functionalities'!N16="","",'03_Functionalities'!N16)</f>
        <v>VCF 9.1 Identity, licensing and platform access context Role and access governance context comparator parity evidence</v>
      </c>
      <c r="R16" s="2" t="str">
        <f>IF('03_Functionalities'!O16="","",'03_Functionalities'!O16)</f>
        <v>Yes</v>
      </c>
      <c r="S16" s="2" t="e">
        <f ca="1">IF(C16="","",_xludf.XLOOKUP(C16,'01_Products'!A:A,'01_Products'!K:K,0))</f>
        <v>#NAME?</v>
      </c>
      <c r="T16" s="2" t="e">
        <f ca="1">IF(B16="","",_xludf.XLOOKUP(B16,'02_Features'!A:A,'02_Features'!L:L,0))</f>
        <v>#NAME?</v>
      </c>
      <c r="U16" s="2">
        <f>IF('03_Functionalities'!P16="","",'03_Functionalities'!P16)</f>
        <v>3</v>
      </c>
      <c r="V16" s="2" t="str">
        <f>IF('03_Functionalities'!Q16="","",'03_Functionalities'!Q16)</f>
        <v>Draft</v>
      </c>
      <c r="W16" s="2" t="str">
        <f>IF('03_Functionalities'!R16="","",'03_Functionalities'!R16)</f>
        <v>https://www.vmware.com/docs/vmware-cloud-foundation-9-1-general-faqs</v>
      </c>
      <c r="X16" s="2" t="str">
        <f>IF('03_Functionalities'!S16="","",'03_Functionalities'!S16)</f>
        <v>High</v>
      </c>
    </row>
    <row r="17" spans="1:24" ht="57">
      <c r="A17" s="2" t="str">
        <f>IF('03_Functionalities'!A17="","",'03_Functionalities'!A17)</f>
        <v>FN-PLATFORM-06-01</v>
      </c>
      <c r="B17" s="2" t="str">
        <f>IF('03_Functionalities'!B17="","",'03_Functionalities'!B17)</f>
        <v>FT-PLATFORM-06</v>
      </c>
      <c r="C17" s="2" t="str">
        <f>IF('03_Functionalities'!C17="","",'03_Functionalities'!C17)</f>
        <v>PC-PLATFORM</v>
      </c>
      <c r="D17" s="2" t="e">
        <f ca="1">IF(C17="","",_xludf.XLOOKUP(C17,'01_Products'!A:A,'01_Products'!B:B,"Missing Product"))</f>
        <v>#NAME?</v>
      </c>
      <c r="E17" s="2" t="e">
        <f ca="1">IF(C17="","",_xludf.XLOOKUP(C17,'01_Products'!A:A,'01_Products'!C:C,"Missing Type"))</f>
        <v>#NAME?</v>
      </c>
      <c r="F17" s="2" t="e">
        <f ca="1">IF(B17="","",_xludf.XLOOKUP(B17,'02_Features'!A:A,'02_Features'!C:C,"Missing Feature"))</f>
        <v>#NAME?</v>
      </c>
      <c r="G17" s="2" t="e">
        <f ca="1">IF(B17="","",_xludf.XLOOKUP(B17,'02_Features'!A:A,'02_Features'!E:E,"Missing Prompt"))</f>
        <v>#NAME?</v>
      </c>
      <c r="H17" s="2" t="str">
        <f>IF('03_Functionalities'!D17="","",'03_Functionalities'!D17)</f>
        <v>Standard deployment profile support</v>
      </c>
      <c r="I17" s="2" t="str">
        <f>IF('03_Functionalities'!E17="","",'03_Functionalities'!E17)</f>
        <v>Major functionality for standard deployment profile support.</v>
      </c>
      <c r="J17" s="2" t="str">
        <f>IF('03_Functionalities'!F17="","",'03_Functionalities'!F17)</f>
        <v>Includes major assessment behavior for standard deployment profile support in the context of deployment profile and edge applicability.</v>
      </c>
      <c r="K17" s="2" t="str">
        <f>IF('03_Functionalities'!G17="","",'03_Functionalities'!G17)</f>
        <v>Excludes low-level configuration toggles, cosmetic UI behavior, and implementation-specific inventory minutiae unless they materially affect parity or risk.</v>
      </c>
      <c r="L17" s="2" t="str">
        <f>IF('03_Functionalities'!I17="","",'03_Functionalities'!I17)</f>
        <v>Sovereignty</v>
      </c>
      <c r="M17" s="2" t="str">
        <f>IF('03_Functionalities'!J17="","",'03_Functionalities'!J17)</f>
        <v>Deployment Profile</v>
      </c>
      <c r="N17" s="2" t="str">
        <f>IF('03_Functionalities'!K17="","",'03_Functionalities'!K17)</f>
        <v>Medium</v>
      </c>
      <c r="O17" s="2" t="str">
        <f>IF('03_Functionalities'!L17="","",'03_Functionalities'!L17)</f>
        <v>High</v>
      </c>
      <c r="P17" s="2" t="str">
        <f>IF('03_Functionalities'!M17="","",'03_Functionalities'!M17)</f>
        <v>Official vendor documentation, release notes, validated KB/article, product guide, or architecture reference with version applicability.</v>
      </c>
      <c r="Q17" s="2" t="str">
        <f>IF('03_Functionalities'!N17="","",'03_Functionalities'!N17)</f>
        <v>VCF 9.1 Deployment profile and edge applicability Standard deployment profile support comparator parity evidence</v>
      </c>
      <c r="R17" s="2" t="str">
        <f>IF('03_Functionalities'!O17="","",'03_Functionalities'!O17)</f>
        <v>Yes</v>
      </c>
      <c r="S17" s="2" t="e">
        <f ca="1">IF(C17="","",_xludf.XLOOKUP(C17,'01_Products'!A:A,'01_Products'!K:K,0))</f>
        <v>#NAME?</v>
      </c>
      <c r="T17" s="2" t="e">
        <f ca="1">IF(B17="","",_xludf.XLOOKUP(B17,'02_Features'!A:A,'02_Features'!L:L,0))</f>
        <v>#NAME?</v>
      </c>
      <c r="U17" s="2">
        <f>IF('03_Functionalities'!P17="","",'03_Functionalities'!P17)</f>
        <v>1</v>
      </c>
      <c r="V17" s="2" t="str">
        <f>IF('03_Functionalities'!Q17="","",'03_Functionalities'!Q17)</f>
        <v>Draft</v>
      </c>
      <c r="W17" s="2" t="str">
        <f>IF('03_Functionalities'!R17="","",'03_Functionalities'!R17)</f>
        <v>https://www.vmware.com/docs/vmware-cloud-foundation-9-1-general-faqs</v>
      </c>
      <c r="X17" s="2" t="str">
        <f>IF('03_Functionalities'!S17="","",'03_Functionalities'!S17)</f>
        <v>High</v>
      </c>
    </row>
    <row r="18" spans="1:24" ht="57">
      <c r="A18" s="2" t="str">
        <f>IF('03_Functionalities'!A18="","",'03_Functionalities'!A18)</f>
        <v>FN-PLATFORM-06-02</v>
      </c>
      <c r="B18" s="2" t="str">
        <f>IF('03_Functionalities'!B18="","",'03_Functionalities'!B18)</f>
        <v>FT-PLATFORM-06</v>
      </c>
      <c r="C18" s="2" t="str">
        <f>IF('03_Functionalities'!C18="","",'03_Functionalities'!C18)</f>
        <v>PC-PLATFORM</v>
      </c>
      <c r="D18" s="2" t="e">
        <f ca="1">IF(C18="","",_xludf.XLOOKUP(C18,'01_Products'!A:A,'01_Products'!B:B,"Missing Product"))</f>
        <v>#NAME?</v>
      </c>
      <c r="E18" s="2" t="e">
        <f ca="1">IF(C18="","",_xludf.XLOOKUP(C18,'01_Products'!A:A,'01_Products'!C:C,"Missing Type"))</f>
        <v>#NAME?</v>
      </c>
      <c r="F18" s="2" t="e">
        <f ca="1">IF(B18="","",_xludf.XLOOKUP(B18,'02_Features'!A:A,'02_Features'!C:C,"Missing Feature"))</f>
        <v>#NAME?</v>
      </c>
      <c r="G18" s="2" t="e">
        <f ca="1">IF(B18="","",_xludf.XLOOKUP(B18,'02_Features'!A:A,'02_Features'!E:E,"Missing Prompt"))</f>
        <v>#NAME?</v>
      </c>
      <c r="H18" s="2" t="str">
        <f>IF('03_Functionalities'!D18="","",'03_Functionalities'!D18)</f>
        <v>Edge/constrained profile applicability</v>
      </c>
      <c r="I18" s="2" t="str">
        <f>IF('03_Functionalities'!E18="","",'03_Functionalities'!E18)</f>
        <v>Major functionality for edge/constrained profile applicability.</v>
      </c>
      <c r="J18" s="2" t="str">
        <f>IF('03_Functionalities'!F18="","",'03_Functionalities'!F18)</f>
        <v>Includes major assessment behavior for edge/constrained profile applicability in the context of deployment profile and edge applicability.</v>
      </c>
      <c r="K18" s="2" t="str">
        <f>IF('03_Functionalities'!G18="","",'03_Functionalities'!G18)</f>
        <v>Excludes low-level configuration toggles, cosmetic UI behavior, and implementation-specific inventory minutiae unless they materially affect parity or risk.</v>
      </c>
      <c r="L18" s="2" t="str">
        <f>IF('03_Functionalities'!I18="","",'03_Functionalities'!I18)</f>
        <v>Sovereignty</v>
      </c>
      <c r="M18" s="2" t="str">
        <f>IF('03_Functionalities'!J18="","",'03_Functionalities'!J18)</f>
        <v>Deployment Profile</v>
      </c>
      <c r="N18" s="2" t="str">
        <f>IF('03_Functionalities'!K18="","",'03_Functionalities'!K18)</f>
        <v>Medium</v>
      </c>
      <c r="O18" s="2" t="str">
        <f>IF('03_Functionalities'!L18="","",'03_Functionalities'!L18)</f>
        <v>High</v>
      </c>
      <c r="P18" s="2" t="str">
        <f>IF('03_Functionalities'!M18="","",'03_Functionalities'!M18)</f>
        <v>Official vendor documentation, release notes, validated KB/article, product guide, or architecture reference with version applicability.</v>
      </c>
      <c r="Q18" s="2" t="str">
        <f>IF('03_Functionalities'!N18="","",'03_Functionalities'!N18)</f>
        <v>VCF 9.1 Deployment profile and edge applicability Edge/constrained profile applicability comparator parity evidence</v>
      </c>
      <c r="R18" s="2" t="str">
        <f>IF('03_Functionalities'!O18="","",'03_Functionalities'!O18)</f>
        <v>Yes</v>
      </c>
      <c r="S18" s="2" t="e">
        <f ca="1">IF(C18="","",_xludf.XLOOKUP(C18,'01_Products'!A:A,'01_Products'!K:K,0))</f>
        <v>#NAME?</v>
      </c>
      <c r="T18" s="2" t="e">
        <f ca="1">IF(B18="","",_xludf.XLOOKUP(B18,'02_Features'!A:A,'02_Features'!L:L,0))</f>
        <v>#NAME?</v>
      </c>
      <c r="U18" s="2">
        <f>IF('03_Functionalities'!P18="","",'03_Functionalities'!P18)</f>
        <v>2</v>
      </c>
      <c r="V18" s="2" t="str">
        <f>IF('03_Functionalities'!Q18="","",'03_Functionalities'!Q18)</f>
        <v>Draft</v>
      </c>
      <c r="W18" s="2" t="str">
        <f>IF('03_Functionalities'!R18="","",'03_Functionalities'!R18)</f>
        <v>https://www.vmware.com/docs/vmware-cloud-foundation-9-1-general-faqs</v>
      </c>
      <c r="X18" s="2" t="str">
        <f>IF('03_Functionalities'!S18="","",'03_Functionalities'!S18)</f>
        <v>High</v>
      </c>
    </row>
    <row r="19" spans="1:24" ht="57">
      <c r="A19" s="2" t="str">
        <f>IF('03_Functionalities'!A19="","",'03_Functionalities'!A19)</f>
        <v>FN-PLATFORM-06-03</v>
      </c>
      <c r="B19" s="2" t="str">
        <f>IF('03_Functionalities'!B19="","",'03_Functionalities'!B19)</f>
        <v>FT-PLATFORM-06</v>
      </c>
      <c r="C19" s="2" t="str">
        <f>IF('03_Functionalities'!C19="","",'03_Functionalities'!C19)</f>
        <v>PC-PLATFORM</v>
      </c>
      <c r="D19" s="2" t="e">
        <f ca="1">IF(C19="","",_xludf.XLOOKUP(C19,'01_Products'!A:A,'01_Products'!B:B,"Missing Product"))</f>
        <v>#NAME?</v>
      </c>
      <c r="E19" s="2" t="e">
        <f ca="1">IF(C19="","",_xludf.XLOOKUP(C19,'01_Products'!A:A,'01_Products'!C:C,"Missing Type"))</f>
        <v>#NAME?</v>
      </c>
      <c r="F19" s="2" t="e">
        <f ca="1">IF(B19="","",_xludf.XLOOKUP(B19,'02_Features'!A:A,'02_Features'!C:C,"Missing Feature"))</f>
        <v>#NAME?</v>
      </c>
      <c r="G19" s="2" t="e">
        <f ca="1">IF(B19="","",_xludf.XLOOKUP(B19,'02_Features'!A:A,'02_Features'!E:E,"Missing Prompt"))</f>
        <v>#NAME?</v>
      </c>
      <c r="H19" s="2" t="str">
        <f>IF('03_Functionalities'!D19="","",'03_Functionalities'!D19)</f>
        <v>Site topology and placement constraints</v>
      </c>
      <c r="I19" s="2" t="str">
        <f>IF('03_Functionalities'!E19="","",'03_Functionalities'!E19)</f>
        <v>Major functionality for site topology and placement constraints.</v>
      </c>
      <c r="J19" s="2" t="str">
        <f>IF('03_Functionalities'!F19="","",'03_Functionalities'!F19)</f>
        <v>Includes major assessment behavior for site topology and placement constraints in the context of deployment profile and edge applicability.</v>
      </c>
      <c r="K19" s="2" t="str">
        <f>IF('03_Functionalities'!G19="","",'03_Functionalities'!G19)</f>
        <v>Excludes low-level configuration toggles, cosmetic UI behavior, and implementation-specific inventory minutiae unless they materially affect parity or risk.</v>
      </c>
      <c r="L19" s="2" t="str">
        <f>IF('03_Functionalities'!I19="","",'03_Functionalities'!I19)</f>
        <v>Sovereignty</v>
      </c>
      <c r="M19" s="2" t="str">
        <f>IF('03_Functionalities'!J19="","",'03_Functionalities'!J19)</f>
        <v>Deployment Profile</v>
      </c>
      <c r="N19" s="2" t="str">
        <f>IF('03_Functionalities'!K19="","",'03_Functionalities'!K19)</f>
        <v>Medium</v>
      </c>
      <c r="O19" s="2" t="str">
        <f>IF('03_Functionalities'!L19="","",'03_Functionalities'!L19)</f>
        <v>High</v>
      </c>
      <c r="P19" s="2" t="str">
        <f>IF('03_Functionalities'!M19="","",'03_Functionalities'!M19)</f>
        <v>Official vendor documentation, release notes, validated KB/article, product guide, or architecture reference with version applicability.</v>
      </c>
      <c r="Q19" s="2" t="str">
        <f>IF('03_Functionalities'!N19="","",'03_Functionalities'!N19)</f>
        <v>VCF 9.1 Deployment profile and edge applicability Site topology and placement constraints comparator parity evidence</v>
      </c>
      <c r="R19" s="2" t="str">
        <f>IF('03_Functionalities'!O19="","",'03_Functionalities'!O19)</f>
        <v>Yes</v>
      </c>
      <c r="S19" s="2" t="e">
        <f ca="1">IF(C19="","",_xludf.XLOOKUP(C19,'01_Products'!A:A,'01_Products'!K:K,0))</f>
        <v>#NAME?</v>
      </c>
      <c r="T19" s="2" t="e">
        <f ca="1">IF(B19="","",_xludf.XLOOKUP(B19,'02_Features'!A:A,'02_Features'!L:L,0))</f>
        <v>#NAME?</v>
      </c>
      <c r="U19" s="2">
        <f>IF('03_Functionalities'!P19="","",'03_Functionalities'!P19)</f>
        <v>3</v>
      </c>
      <c r="V19" s="2" t="str">
        <f>IF('03_Functionalities'!Q19="","",'03_Functionalities'!Q19)</f>
        <v>Draft</v>
      </c>
      <c r="W19" s="2" t="str">
        <f>IF('03_Functionalities'!R19="","",'03_Functionalities'!R19)</f>
        <v>https://www.vmware.com/docs/vmware-cloud-foundation-9-1-general-faqs</v>
      </c>
      <c r="X19" s="2" t="str">
        <f>IF('03_Functionalities'!S19="","",'03_Functionalities'!S19)</f>
        <v>High</v>
      </c>
    </row>
    <row r="20" spans="1:24" ht="71.25">
      <c r="A20" s="2" t="str">
        <f>IF('03_Functionalities'!A20="","",'03_Functionalities'!A20)</f>
        <v>FN-LIFECYCLE-01-01</v>
      </c>
      <c r="B20" s="2" t="str">
        <f>IF('03_Functionalities'!B20="","",'03_Functionalities'!B20)</f>
        <v>FT-LIFECYCLE-01</v>
      </c>
      <c r="C20" s="2" t="str">
        <f>IF('03_Functionalities'!C20="","",'03_Functionalities'!C20)</f>
        <v>PC-LIFECYCLE</v>
      </c>
      <c r="D20" s="2" t="e">
        <f ca="1">IF(C20="","",_xludf.XLOOKUP(C20,'01_Products'!A:A,'01_Products'!B:B,"Missing Product"))</f>
        <v>#NAME?</v>
      </c>
      <c r="E20" s="2" t="e">
        <f ca="1">IF(C20="","",_xludf.XLOOKUP(C20,'01_Products'!A:A,'01_Products'!C:C,"Missing Type"))</f>
        <v>#NAME?</v>
      </c>
      <c r="F20" s="2" t="e">
        <f ca="1">IF(B20="","",_xludf.XLOOKUP(B20,'02_Features'!A:A,'02_Features'!C:C,"Missing Feature"))</f>
        <v>#NAME?</v>
      </c>
      <c r="G20" s="2" t="e">
        <f ca="1">IF(B20="","",_xludf.XLOOKUP(B20,'02_Features'!A:A,'02_Features'!E:E,"Missing Prompt"))</f>
        <v>#NAME?</v>
      </c>
      <c r="H20" s="2" t="str">
        <f>IF('03_Functionalities'!D20="","",'03_Functionalities'!D20)</f>
        <v>Deployment specification validation</v>
      </c>
      <c r="I20" s="2" t="str">
        <f>IF('03_Functionalities'!E20="","",'03_Functionalities'!E20)</f>
        <v>Major functionality for deployment specification validation.</v>
      </c>
      <c r="J20" s="2" t="str">
        <f>IF('03_Functionalities'!F20="","",'03_Functionalities'!F20)</f>
        <v>Includes major assessment behavior for deployment specification validation in the context of vcf deployment and bring-up.</v>
      </c>
      <c r="K20" s="2" t="str">
        <f>IF('03_Functionalities'!G20="","",'03_Functionalities'!G20)</f>
        <v>Excludes low-level configuration toggles, cosmetic UI behavior, and implementation-specific inventory minutiae unless they materially affect parity or risk.</v>
      </c>
      <c r="L20" s="2" t="str">
        <f>IF('03_Functionalities'!I20="","",'03_Functionalities'!I20)</f>
        <v>Lifecycle</v>
      </c>
      <c r="M20" s="2" t="str">
        <f>IF('03_Functionalities'!J20="","",'03_Functionalities'!J20)</f>
        <v>Deployment Automation</v>
      </c>
      <c r="N20" s="2" t="str">
        <f>IF('03_Functionalities'!K20="","",'03_Functionalities'!K20)</f>
        <v>Critical</v>
      </c>
      <c r="O20" s="2" t="str">
        <f>IF('03_Functionalities'!L20="","",'03_Functionalities'!L20)</f>
        <v>Medium</v>
      </c>
      <c r="P20" s="2" t="str">
        <f>IF('03_Functionalities'!M20="","",'03_Functionalities'!M20)</f>
        <v>Official vendor documentation, release notes, validated KB/article, product guide, or architecture reference with version applicability.</v>
      </c>
      <c r="Q20" s="2" t="str">
        <f>IF('03_Functionalities'!N20="","",'03_Functionalities'!N20)</f>
        <v>VCF 9.1 VCF deployment and bring-up Deployment specification validation comparator parity evidence</v>
      </c>
      <c r="R20" s="2" t="str">
        <f>IF('03_Functionalities'!O20="","",'03_Functionalities'!O20)</f>
        <v>Yes</v>
      </c>
      <c r="S20" s="2" t="e">
        <f ca="1">IF(C20="","",_xludf.XLOOKUP(C20,'01_Products'!A:A,'01_Products'!K:K,0))</f>
        <v>#NAME?</v>
      </c>
      <c r="T20" s="2" t="e">
        <f ca="1">IF(B20="","",_xludf.XLOOKUP(B20,'02_Features'!A:A,'02_Features'!L:L,0))</f>
        <v>#NAME?</v>
      </c>
      <c r="U20" s="2">
        <f>IF('03_Functionalities'!P20="","",'03_Functionalities'!P20)</f>
        <v>1</v>
      </c>
      <c r="V20" s="2" t="str">
        <f>IF('03_Functionalities'!Q20="","",'03_Functionalities'!Q20)</f>
        <v>Draft</v>
      </c>
      <c r="W20" s="2" t="str">
        <f>IF('03_Functionalities'!R20="","",'03_Functionalities'!R20)</f>
        <v>https://techdocs.broadcom.com/us/en/vmware-cis/vcf/vcf-9-0-and-later/9-1/release-notes/vmware-cloud-foundation-9-1-0-0-release-notes/vmware-cloud-foundation-bill-of-materials.html</v>
      </c>
      <c r="X20" s="2" t="str">
        <f>IF('03_Functionalities'!S20="","",'03_Functionalities'!S20)</f>
        <v>High</v>
      </c>
    </row>
    <row r="21" spans="1:24" ht="71.25">
      <c r="A21" s="2" t="str">
        <f>IF('03_Functionalities'!A21="","",'03_Functionalities'!A21)</f>
        <v>FN-LIFECYCLE-01-02</v>
      </c>
      <c r="B21" s="2" t="str">
        <f>IF('03_Functionalities'!B21="","",'03_Functionalities'!B21)</f>
        <v>FT-LIFECYCLE-01</v>
      </c>
      <c r="C21" s="2" t="str">
        <f>IF('03_Functionalities'!C21="","",'03_Functionalities'!C21)</f>
        <v>PC-LIFECYCLE</v>
      </c>
      <c r="D21" s="2" t="e">
        <f ca="1">IF(C21="","",_xludf.XLOOKUP(C21,'01_Products'!A:A,'01_Products'!B:B,"Missing Product"))</f>
        <v>#NAME?</v>
      </c>
      <c r="E21" s="2" t="e">
        <f ca="1">IF(C21="","",_xludf.XLOOKUP(C21,'01_Products'!A:A,'01_Products'!C:C,"Missing Type"))</f>
        <v>#NAME?</v>
      </c>
      <c r="F21" s="2" t="e">
        <f ca="1">IF(B21="","",_xludf.XLOOKUP(B21,'02_Features'!A:A,'02_Features'!C:C,"Missing Feature"))</f>
        <v>#NAME?</v>
      </c>
      <c r="G21" s="2" t="e">
        <f ca="1">IF(B21="","",_xludf.XLOOKUP(B21,'02_Features'!A:A,'02_Features'!E:E,"Missing Prompt"))</f>
        <v>#NAME?</v>
      </c>
      <c r="H21" s="2" t="str">
        <f>IF('03_Functionalities'!D21="","",'03_Functionalities'!D21)</f>
        <v>Installer-driven management domain bring-up</v>
      </c>
      <c r="I21" s="2" t="str">
        <f>IF('03_Functionalities'!E21="","",'03_Functionalities'!E21)</f>
        <v>Major functionality for installer-driven management domain bring-up.</v>
      </c>
      <c r="J21" s="2" t="str">
        <f>IF('03_Functionalities'!F21="","",'03_Functionalities'!F21)</f>
        <v>Includes major assessment behavior for installer-driven management domain bring-up in the context of vcf deployment and bring-up.</v>
      </c>
      <c r="K21" s="2" t="str">
        <f>IF('03_Functionalities'!G21="","",'03_Functionalities'!G21)</f>
        <v>Excludes low-level configuration toggles, cosmetic UI behavior, and implementation-specific inventory minutiae unless they materially affect parity or risk.</v>
      </c>
      <c r="L21" s="2" t="str">
        <f>IF('03_Functionalities'!I21="","",'03_Functionalities'!I21)</f>
        <v>Lifecycle</v>
      </c>
      <c r="M21" s="2" t="str">
        <f>IF('03_Functionalities'!J21="","",'03_Functionalities'!J21)</f>
        <v>Deployment Automation</v>
      </c>
      <c r="N21" s="2" t="str">
        <f>IF('03_Functionalities'!K21="","",'03_Functionalities'!K21)</f>
        <v>Critical</v>
      </c>
      <c r="O21" s="2" t="str">
        <f>IF('03_Functionalities'!L21="","",'03_Functionalities'!L21)</f>
        <v>Medium</v>
      </c>
      <c r="P21" s="2" t="str">
        <f>IF('03_Functionalities'!M21="","",'03_Functionalities'!M21)</f>
        <v>Official vendor documentation, release notes, validated KB/article, product guide, or architecture reference with version applicability.</v>
      </c>
      <c r="Q21" s="2" t="str">
        <f>IF('03_Functionalities'!N21="","",'03_Functionalities'!N21)</f>
        <v>VCF 9.1 VCF deployment and bring-up Installer-driven management domain bring-up comparator parity evidence</v>
      </c>
      <c r="R21" s="2" t="str">
        <f>IF('03_Functionalities'!O21="","",'03_Functionalities'!O21)</f>
        <v>Yes</v>
      </c>
      <c r="S21" s="2" t="e">
        <f ca="1">IF(C21="","",_xludf.XLOOKUP(C21,'01_Products'!A:A,'01_Products'!K:K,0))</f>
        <v>#NAME?</v>
      </c>
      <c r="T21" s="2" t="e">
        <f ca="1">IF(B21="","",_xludf.XLOOKUP(B21,'02_Features'!A:A,'02_Features'!L:L,0))</f>
        <v>#NAME?</v>
      </c>
      <c r="U21" s="2">
        <f>IF('03_Functionalities'!P21="","",'03_Functionalities'!P21)</f>
        <v>2</v>
      </c>
      <c r="V21" s="2" t="str">
        <f>IF('03_Functionalities'!Q21="","",'03_Functionalities'!Q21)</f>
        <v>Draft</v>
      </c>
      <c r="W21" s="2" t="str">
        <f>IF('03_Functionalities'!R21="","",'03_Functionalities'!R21)</f>
        <v>https://techdocs.broadcom.com/us/en/vmware-cis/vcf/vcf-9-0-and-later/9-1/release-notes/vmware-cloud-foundation-9-1-0-0-release-notes/vmware-cloud-foundation-bill-of-materials.html</v>
      </c>
      <c r="X21" s="2" t="str">
        <f>IF('03_Functionalities'!S21="","",'03_Functionalities'!S21)</f>
        <v>High</v>
      </c>
    </row>
    <row r="22" spans="1:24" ht="71.25">
      <c r="A22" s="2" t="str">
        <f>IF('03_Functionalities'!A22="","",'03_Functionalities'!A22)</f>
        <v>FN-LIFECYCLE-01-03</v>
      </c>
      <c r="B22" s="2" t="str">
        <f>IF('03_Functionalities'!B22="","",'03_Functionalities'!B22)</f>
        <v>FT-LIFECYCLE-01</v>
      </c>
      <c r="C22" s="2" t="str">
        <f>IF('03_Functionalities'!C22="","",'03_Functionalities'!C22)</f>
        <v>PC-LIFECYCLE</v>
      </c>
      <c r="D22" s="2" t="e">
        <f ca="1">IF(C22="","",_xludf.XLOOKUP(C22,'01_Products'!A:A,'01_Products'!B:B,"Missing Product"))</f>
        <v>#NAME?</v>
      </c>
      <c r="E22" s="2" t="e">
        <f ca="1">IF(C22="","",_xludf.XLOOKUP(C22,'01_Products'!A:A,'01_Products'!C:C,"Missing Type"))</f>
        <v>#NAME?</v>
      </c>
      <c r="F22" s="2" t="e">
        <f ca="1">IF(B22="","",_xludf.XLOOKUP(B22,'02_Features'!A:A,'02_Features'!C:C,"Missing Feature"))</f>
        <v>#NAME?</v>
      </c>
      <c r="G22" s="2" t="e">
        <f ca="1">IF(B22="","",_xludf.XLOOKUP(B22,'02_Features'!A:A,'02_Features'!E:E,"Missing Prompt"))</f>
        <v>#NAME?</v>
      </c>
      <c r="H22" s="2" t="str">
        <f>IF('03_Functionalities'!D22="","",'03_Functionalities'!D22)</f>
        <v>Component binary preparation for deployment</v>
      </c>
      <c r="I22" s="2" t="str">
        <f>IF('03_Functionalities'!E22="","",'03_Functionalities'!E22)</f>
        <v>Major functionality for component binary preparation for deployment.</v>
      </c>
      <c r="J22" s="2" t="str">
        <f>IF('03_Functionalities'!F22="","",'03_Functionalities'!F22)</f>
        <v>Includes major assessment behavior for component binary preparation for deployment in the context of vcf deployment and bring-up.</v>
      </c>
      <c r="K22" s="2" t="str">
        <f>IF('03_Functionalities'!G22="","",'03_Functionalities'!G22)</f>
        <v>Excludes low-level configuration toggles, cosmetic UI behavior, and implementation-specific inventory minutiae unless they materially affect parity or risk.</v>
      </c>
      <c r="L22" s="2" t="str">
        <f>IF('03_Functionalities'!I22="","",'03_Functionalities'!I22)</f>
        <v>Lifecycle</v>
      </c>
      <c r="M22" s="2" t="str">
        <f>IF('03_Functionalities'!J22="","",'03_Functionalities'!J22)</f>
        <v>Deployment Automation</v>
      </c>
      <c r="N22" s="2" t="str">
        <f>IF('03_Functionalities'!K22="","",'03_Functionalities'!K22)</f>
        <v>Critical</v>
      </c>
      <c r="O22" s="2" t="str">
        <f>IF('03_Functionalities'!L22="","",'03_Functionalities'!L22)</f>
        <v>Medium</v>
      </c>
      <c r="P22" s="2" t="str">
        <f>IF('03_Functionalities'!M22="","",'03_Functionalities'!M22)</f>
        <v>Official vendor documentation, release notes, validated KB/article, product guide, or architecture reference with version applicability.</v>
      </c>
      <c r="Q22" s="2" t="str">
        <f>IF('03_Functionalities'!N22="","",'03_Functionalities'!N22)</f>
        <v>VCF 9.1 VCF deployment and bring-up Component binary preparation for deployment comparator parity evidence</v>
      </c>
      <c r="R22" s="2" t="str">
        <f>IF('03_Functionalities'!O22="","",'03_Functionalities'!O22)</f>
        <v>Yes</v>
      </c>
      <c r="S22" s="2" t="e">
        <f ca="1">IF(C22="","",_xludf.XLOOKUP(C22,'01_Products'!A:A,'01_Products'!K:K,0))</f>
        <v>#NAME?</v>
      </c>
      <c r="T22" s="2" t="e">
        <f ca="1">IF(B22="","",_xludf.XLOOKUP(B22,'02_Features'!A:A,'02_Features'!L:L,0))</f>
        <v>#NAME?</v>
      </c>
      <c r="U22" s="2">
        <f>IF('03_Functionalities'!P22="","",'03_Functionalities'!P22)</f>
        <v>3</v>
      </c>
      <c r="V22" s="2" t="str">
        <f>IF('03_Functionalities'!Q22="","",'03_Functionalities'!Q22)</f>
        <v>Draft</v>
      </c>
      <c r="W22" s="2" t="str">
        <f>IF('03_Functionalities'!R22="","",'03_Functionalities'!R22)</f>
        <v>https://techdocs.broadcom.com/us/en/vmware-cis/vcf/vcf-9-0-and-later/9-1/release-notes/vmware-cloud-foundation-9-1-0-0-release-notes/vmware-cloud-foundation-bill-of-materials.html</v>
      </c>
      <c r="X22" s="2" t="str">
        <f>IF('03_Functionalities'!S22="","",'03_Functionalities'!S22)</f>
        <v>High</v>
      </c>
    </row>
    <row r="23" spans="1:24" ht="71.25">
      <c r="A23" s="2" t="str">
        <f>IF('03_Functionalities'!A23="","",'03_Functionalities'!A23)</f>
        <v>FN-LIFECYCLE-02-01</v>
      </c>
      <c r="B23" s="2" t="str">
        <f>IF('03_Functionalities'!B23="","",'03_Functionalities'!B23)</f>
        <v>FT-LIFECYCLE-02</v>
      </c>
      <c r="C23" s="2" t="str">
        <f>IF('03_Functionalities'!C23="","",'03_Functionalities'!C23)</f>
        <v>PC-LIFECYCLE</v>
      </c>
      <c r="D23" s="2" t="e">
        <f ca="1">IF(C23="","",_xludf.XLOOKUP(C23,'01_Products'!A:A,'01_Products'!B:B,"Missing Product"))</f>
        <v>#NAME?</v>
      </c>
      <c r="E23" s="2" t="e">
        <f ca="1">IF(C23="","",_xludf.XLOOKUP(C23,'01_Products'!A:A,'01_Products'!C:C,"Missing Type"))</f>
        <v>#NAME?</v>
      </c>
      <c r="F23" s="2" t="e">
        <f ca="1">IF(B23="","",_xludf.XLOOKUP(B23,'02_Features'!A:A,'02_Features'!C:C,"Missing Feature"))</f>
        <v>#NAME?</v>
      </c>
      <c r="G23" s="2" t="e">
        <f ca="1">IF(B23="","",_xludf.XLOOKUP(B23,'02_Features'!A:A,'02_Features'!E:E,"Missing Prompt"))</f>
        <v>#NAME?</v>
      </c>
      <c r="H23" s="2" t="str">
        <f>IF('03_Functionalities'!D23="","",'03_Functionalities'!D23)</f>
        <v>VCF domain inventory model</v>
      </c>
      <c r="I23" s="2" t="str">
        <f>IF('03_Functionalities'!E23="","",'03_Functionalities'!E23)</f>
        <v>Major functionality for vcf domain inventory model.</v>
      </c>
      <c r="J23" s="2" t="str">
        <f>IF('03_Functionalities'!F23="","",'03_Functionalities'!F23)</f>
        <v>Includes major assessment behavior for vcf domain inventory model in the context of sddc manager inventory and domain orchestration.</v>
      </c>
      <c r="K23" s="2" t="str">
        <f>IF('03_Functionalities'!G23="","",'03_Functionalities'!G23)</f>
        <v>Excludes low-level configuration toggles, cosmetic UI behavior, and implementation-specific inventory minutiae unless they materially affect parity or risk.</v>
      </c>
      <c r="L23" s="2" t="str">
        <f>IF('03_Functionalities'!I23="","",'03_Functionalities'!I23)</f>
        <v>Lifecycle</v>
      </c>
      <c r="M23" s="2" t="str">
        <f>IF('03_Functionalities'!J23="","",'03_Functionalities'!J23)</f>
        <v>Domain Orchestration</v>
      </c>
      <c r="N23" s="2" t="str">
        <f>IF('03_Functionalities'!K23="","",'03_Functionalities'!K23)</f>
        <v>Critical</v>
      </c>
      <c r="O23" s="2" t="str">
        <f>IF('03_Functionalities'!L23="","",'03_Functionalities'!L23)</f>
        <v>Medium</v>
      </c>
      <c r="P23" s="2" t="str">
        <f>IF('03_Functionalities'!M23="","",'03_Functionalities'!M23)</f>
        <v>Official vendor documentation, release notes, validated KB/article, product guide, or architecture reference with version applicability.</v>
      </c>
      <c r="Q23" s="2" t="str">
        <f>IF('03_Functionalities'!N23="","",'03_Functionalities'!N23)</f>
        <v>VCF 9.1 SDDC Manager inventory and domain orchestration VCF domain inventory model comparator parity evidence</v>
      </c>
      <c r="R23" s="2" t="str">
        <f>IF('03_Functionalities'!O23="","",'03_Functionalities'!O23)</f>
        <v>Yes</v>
      </c>
      <c r="S23" s="2" t="e">
        <f ca="1">IF(C23="","",_xludf.XLOOKUP(C23,'01_Products'!A:A,'01_Products'!K:K,0))</f>
        <v>#NAME?</v>
      </c>
      <c r="T23" s="2" t="e">
        <f ca="1">IF(B23="","",_xludf.XLOOKUP(B23,'02_Features'!A:A,'02_Features'!L:L,0))</f>
        <v>#NAME?</v>
      </c>
      <c r="U23" s="2">
        <f>IF('03_Functionalities'!P23="","",'03_Functionalities'!P23)</f>
        <v>1</v>
      </c>
      <c r="V23" s="2" t="str">
        <f>IF('03_Functionalities'!Q23="","",'03_Functionalities'!Q23)</f>
        <v>Draft</v>
      </c>
      <c r="W23" s="2" t="str">
        <f>IF('03_Functionalities'!R23="","",'03_Functionalities'!R23)</f>
        <v>https://techdocs.broadcom.com/us/en/vmware-cis/vcf/vcf-9-0-and-later/9-1/release-notes/vmware-cloud-foundation-9-1-0-0-release-notes/vmware-cloud-foundation-bill-of-materials.html</v>
      </c>
      <c r="X23" s="2" t="str">
        <f>IF('03_Functionalities'!S23="","",'03_Functionalities'!S23)</f>
        <v>High</v>
      </c>
    </row>
    <row r="24" spans="1:24" ht="71.25">
      <c r="A24" s="2" t="str">
        <f>IF('03_Functionalities'!A24="","",'03_Functionalities'!A24)</f>
        <v>FN-LIFECYCLE-02-02</v>
      </c>
      <c r="B24" s="2" t="str">
        <f>IF('03_Functionalities'!B24="","",'03_Functionalities'!B24)</f>
        <v>FT-LIFECYCLE-02</v>
      </c>
      <c r="C24" s="2" t="str">
        <f>IF('03_Functionalities'!C24="","",'03_Functionalities'!C24)</f>
        <v>PC-LIFECYCLE</v>
      </c>
      <c r="D24" s="2" t="e">
        <f ca="1">IF(C24="","",_xludf.XLOOKUP(C24,'01_Products'!A:A,'01_Products'!B:B,"Missing Product"))</f>
        <v>#NAME?</v>
      </c>
      <c r="E24" s="2" t="e">
        <f ca="1">IF(C24="","",_xludf.XLOOKUP(C24,'01_Products'!A:A,'01_Products'!C:C,"Missing Type"))</f>
        <v>#NAME?</v>
      </c>
      <c r="F24" s="2" t="e">
        <f ca="1">IF(B24="","",_xludf.XLOOKUP(B24,'02_Features'!A:A,'02_Features'!C:C,"Missing Feature"))</f>
        <v>#NAME?</v>
      </c>
      <c r="G24" s="2" t="e">
        <f ca="1">IF(B24="","",_xludf.XLOOKUP(B24,'02_Features'!A:A,'02_Features'!E:E,"Missing Prompt"))</f>
        <v>#NAME?</v>
      </c>
      <c r="H24" s="2" t="str">
        <f>IF('03_Functionalities'!D24="","",'03_Functionalities'!D24)</f>
        <v>Domain creation orchestration</v>
      </c>
      <c r="I24" s="2" t="str">
        <f>IF('03_Functionalities'!E24="","",'03_Functionalities'!E24)</f>
        <v>Major functionality for domain creation orchestration.</v>
      </c>
      <c r="J24" s="2" t="str">
        <f>IF('03_Functionalities'!F24="","",'03_Functionalities'!F24)</f>
        <v>Includes major assessment behavior for domain creation orchestration in the context of sddc manager inventory and domain orchestration.</v>
      </c>
      <c r="K24" s="2" t="str">
        <f>IF('03_Functionalities'!G24="","",'03_Functionalities'!G24)</f>
        <v>Excludes low-level configuration toggles, cosmetic UI behavior, and implementation-specific inventory minutiae unless they materially affect parity or risk.</v>
      </c>
      <c r="L24" s="2" t="str">
        <f>IF('03_Functionalities'!I24="","",'03_Functionalities'!I24)</f>
        <v>Lifecycle</v>
      </c>
      <c r="M24" s="2" t="str">
        <f>IF('03_Functionalities'!J24="","",'03_Functionalities'!J24)</f>
        <v>Domain Orchestration</v>
      </c>
      <c r="N24" s="2" t="str">
        <f>IF('03_Functionalities'!K24="","",'03_Functionalities'!K24)</f>
        <v>Critical</v>
      </c>
      <c r="O24" s="2" t="str">
        <f>IF('03_Functionalities'!L24="","",'03_Functionalities'!L24)</f>
        <v>Medium</v>
      </c>
      <c r="P24" s="2" t="str">
        <f>IF('03_Functionalities'!M24="","",'03_Functionalities'!M24)</f>
        <v>Official vendor documentation, release notes, validated KB/article, product guide, or architecture reference with version applicability.</v>
      </c>
      <c r="Q24" s="2" t="str">
        <f>IF('03_Functionalities'!N24="","",'03_Functionalities'!N24)</f>
        <v>VCF 9.1 SDDC Manager inventory and domain orchestration Domain creation orchestration comparator parity evidence</v>
      </c>
      <c r="R24" s="2" t="str">
        <f>IF('03_Functionalities'!O24="","",'03_Functionalities'!O24)</f>
        <v>Yes</v>
      </c>
      <c r="S24" s="2" t="e">
        <f ca="1">IF(C24="","",_xludf.XLOOKUP(C24,'01_Products'!A:A,'01_Products'!K:K,0))</f>
        <v>#NAME?</v>
      </c>
      <c r="T24" s="2" t="e">
        <f ca="1">IF(B24="","",_xludf.XLOOKUP(B24,'02_Features'!A:A,'02_Features'!L:L,0))</f>
        <v>#NAME?</v>
      </c>
      <c r="U24" s="2">
        <f>IF('03_Functionalities'!P24="","",'03_Functionalities'!P24)</f>
        <v>2</v>
      </c>
      <c r="V24" s="2" t="str">
        <f>IF('03_Functionalities'!Q24="","",'03_Functionalities'!Q24)</f>
        <v>Draft</v>
      </c>
      <c r="W24" s="2" t="str">
        <f>IF('03_Functionalities'!R24="","",'03_Functionalities'!R24)</f>
        <v>https://techdocs.broadcom.com/us/en/vmware-cis/vcf/vcf-9-0-and-later/9-1/release-notes/vmware-cloud-foundation-9-1-0-0-release-notes/vmware-cloud-foundation-bill-of-materials.html</v>
      </c>
      <c r="X24" s="2" t="str">
        <f>IF('03_Functionalities'!S24="","",'03_Functionalities'!S24)</f>
        <v>High</v>
      </c>
    </row>
    <row r="25" spans="1:24" ht="71.25">
      <c r="A25" s="2" t="str">
        <f>IF('03_Functionalities'!A25="","",'03_Functionalities'!A25)</f>
        <v>FN-LIFECYCLE-02-03</v>
      </c>
      <c r="B25" s="2" t="str">
        <f>IF('03_Functionalities'!B25="","",'03_Functionalities'!B25)</f>
        <v>FT-LIFECYCLE-02</v>
      </c>
      <c r="C25" s="2" t="str">
        <f>IF('03_Functionalities'!C25="","",'03_Functionalities'!C25)</f>
        <v>PC-LIFECYCLE</v>
      </c>
      <c r="D25" s="2" t="e">
        <f ca="1">IF(C25="","",_xludf.XLOOKUP(C25,'01_Products'!A:A,'01_Products'!B:B,"Missing Product"))</f>
        <v>#NAME?</v>
      </c>
      <c r="E25" s="2" t="e">
        <f ca="1">IF(C25="","",_xludf.XLOOKUP(C25,'01_Products'!A:A,'01_Products'!C:C,"Missing Type"))</f>
        <v>#NAME?</v>
      </c>
      <c r="F25" s="2" t="e">
        <f ca="1">IF(B25="","",_xludf.XLOOKUP(B25,'02_Features'!A:A,'02_Features'!C:C,"Missing Feature"))</f>
        <v>#NAME?</v>
      </c>
      <c r="G25" s="2" t="e">
        <f ca="1">IF(B25="","",_xludf.XLOOKUP(B25,'02_Features'!A:A,'02_Features'!E:E,"Missing Prompt"))</f>
        <v>#NAME?</v>
      </c>
      <c r="H25" s="2" t="str">
        <f>IF('03_Functionalities'!D25="","",'03_Functionalities'!D25)</f>
        <v>Host and cluster domain expansion</v>
      </c>
      <c r="I25" s="2" t="str">
        <f>IF('03_Functionalities'!E25="","",'03_Functionalities'!E25)</f>
        <v>Major functionality for host and cluster domain expansion.</v>
      </c>
      <c r="J25" s="2" t="str">
        <f>IF('03_Functionalities'!F25="","",'03_Functionalities'!F25)</f>
        <v>Includes major assessment behavior for host and cluster domain expansion in the context of sddc manager inventory and domain orchestration.</v>
      </c>
      <c r="K25" s="2" t="str">
        <f>IF('03_Functionalities'!G25="","",'03_Functionalities'!G25)</f>
        <v>Excludes low-level configuration toggles, cosmetic UI behavior, and implementation-specific inventory minutiae unless they materially affect parity or risk.</v>
      </c>
      <c r="L25" s="2" t="str">
        <f>IF('03_Functionalities'!I25="","",'03_Functionalities'!I25)</f>
        <v>Lifecycle</v>
      </c>
      <c r="M25" s="2" t="str">
        <f>IF('03_Functionalities'!J25="","",'03_Functionalities'!J25)</f>
        <v>Domain Orchestration</v>
      </c>
      <c r="N25" s="2" t="str">
        <f>IF('03_Functionalities'!K25="","",'03_Functionalities'!K25)</f>
        <v>Critical</v>
      </c>
      <c r="O25" s="2" t="str">
        <f>IF('03_Functionalities'!L25="","",'03_Functionalities'!L25)</f>
        <v>Medium</v>
      </c>
      <c r="P25" s="2" t="str">
        <f>IF('03_Functionalities'!M25="","",'03_Functionalities'!M25)</f>
        <v>Official vendor documentation, release notes, validated KB/article, product guide, or architecture reference with version applicability.</v>
      </c>
      <c r="Q25" s="2" t="str">
        <f>IF('03_Functionalities'!N25="","",'03_Functionalities'!N25)</f>
        <v>VCF 9.1 SDDC Manager inventory and domain orchestration Host and cluster domain expansion comparator parity evidence</v>
      </c>
      <c r="R25" s="2" t="str">
        <f>IF('03_Functionalities'!O25="","",'03_Functionalities'!O25)</f>
        <v>Yes</v>
      </c>
      <c r="S25" s="2" t="e">
        <f ca="1">IF(C25="","",_xludf.XLOOKUP(C25,'01_Products'!A:A,'01_Products'!K:K,0))</f>
        <v>#NAME?</v>
      </c>
      <c r="T25" s="2" t="e">
        <f ca="1">IF(B25="","",_xludf.XLOOKUP(B25,'02_Features'!A:A,'02_Features'!L:L,0))</f>
        <v>#NAME?</v>
      </c>
      <c r="U25" s="2">
        <f>IF('03_Functionalities'!P25="","",'03_Functionalities'!P25)</f>
        <v>3</v>
      </c>
      <c r="V25" s="2" t="str">
        <f>IF('03_Functionalities'!Q25="","",'03_Functionalities'!Q25)</f>
        <v>Draft</v>
      </c>
      <c r="W25" s="2" t="str">
        <f>IF('03_Functionalities'!R25="","",'03_Functionalities'!R25)</f>
        <v>https://techdocs.broadcom.com/us/en/vmware-cis/vcf/vcf-9-0-and-later/9-1/release-notes/vmware-cloud-foundation-9-1-0-0-release-notes/vmware-cloud-foundation-bill-of-materials.html</v>
      </c>
      <c r="X25" s="2" t="str">
        <f>IF('03_Functionalities'!S25="","",'03_Functionalities'!S25)</f>
        <v>High</v>
      </c>
    </row>
    <row r="26" spans="1:24" ht="57">
      <c r="A26" s="2" t="str">
        <f>IF('03_Functionalities'!A26="","",'03_Functionalities'!A26)</f>
        <v>FN-LIFECYCLE-03-01</v>
      </c>
      <c r="B26" s="2" t="str">
        <f>IF('03_Functionalities'!B26="","",'03_Functionalities'!B26)</f>
        <v>FT-LIFECYCLE-03</v>
      </c>
      <c r="C26" s="2" t="str">
        <f>IF('03_Functionalities'!C26="","",'03_Functionalities'!C26)</f>
        <v>PC-LIFECYCLE</v>
      </c>
      <c r="D26" s="2" t="e">
        <f ca="1">IF(C26="","",_xludf.XLOOKUP(C26,'01_Products'!A:A,'01_Products'!B:B,"Missing Product"))</f>
        <v>#NAME?</v>
      </c>
      <c r="E26" s="2" t="e">
        <f ca="1">IF(C26="","",_xludf.XLOOKUP(C26,'01_Products'!A:A,'01_Products'!C:C,"Missing Type"))</f>
        <v>#NAME?</v>
      </c>
      <c r="F26" s="2" t="e">
        <f ca="1">IF(B26="","",_xludf.XLOOKUP(B26,'02_Features'!A:A,'02_Features'!C:C,"Missing Feature"))</f>
        <v>#NAME?</v>
      </c>
      <c r="G26" s="2" t="e">
        <f ca="1">IF(B26="","",_xludf.XLOOKUP(B26,'02_Features'!A:A,'02_Features'!E:E,"Missing Prompt"))</f>
        <v>#NAME?</v>
      </c>
      <c r="H26" s="2" t="str">
        <f>IF('03_Functionalities'!D26="","",'03_Functionalities'!D26)</f>
        <v>vCenter import and converge workflows</v>
      </c>
      <c r="I26" s="2" t="str">
        <f>IF('03_Functionalities'!E26="","",'03_Functionalities'!E26)</f>
        <v>Major functionality for vcenter import and converge workflows.</v>
      </c>
      <c r="J26" s="2" t="str">
        <f>IF('03_Functionalities'!F26="","",'03_Functionalities'!F26)</f>
        <v>Includes major assessment behavior for vcenter import and converge workflows in the context of converge and import workflows.</v>
      </c>
      <c r="K26" s="2" t="str">
        <f>IF('03_Functionalities'!G26="","",'03_Functionalities'!G26)</f>
        <v>Excludes low-level configuration toggles, cosmetic UI behavior, and implementation-specific inventory minutiae unless they materially affect parity or risk.</v>
      </c>
      <c r="L26" s="2" t="str">
        <f>IF('03_Functionalities'!I26="","",'03_Functionalities'!I26)</f>
        <v>Migration</v>
      </c>
      <c r="M26" s="2" t="str">
        <f>IF('03_Functionalities'!J26="","",'03_Functionalities'!J26)</f>
        <v>Import and Converge</v>
      </c>
      <c r="N26" s="2" t="str">
        <f>IF('03_Functionalities'!K26="","",'03_Functionalities'!K26)</f>
        <v>High</v>
      </c>
      <c r="O26" s="2" t="str">
        <f>IF('03_Functionalities'!L26="","",'03_Functionalities'!L26)</f>
        <v>Medium</v>
      </c>
      <c r="P26" s="2" t="str">
        <f>IF('03_Functionalities'!M26="","",'03_Functionalities'!M26)</f>
        <v>Official vendor documentation, release notes, validated KB/article, product guide, or architecture reference with version applicability.</v>
      </c>
      <c r="Q26" s="2" t="str">
        <f>IF('03_Functionalities'!N26="","",'03_Functionalities'!N26)</f>
        <v>VCF 9.1 Converge and import workflows vCenter import and converge workflows comparator parity evidence</v>
      </c>
      <c r="R26" s="2" t="str">
        <f>IF('03_Functionalities'!O26="","",'03_Functionalities'!O26)</f>
        <v>Yes</v>
      </c>
      <c r="S26" s="2" t="e">
        <f ca="1">IF(C26="","",_xludf.XLOOKUP(C26,'01_Products'!A:A,'01_Products'!K:K,0))</f>
        <v>#NAME?</v>
      </c>
      <c r="T26" s="2" t="e">
        <f ca="1">IF(B26="","",_xludf.XLOOKUP(B26,'02_Features'!A:A,'02_Features'!L:L,0))</f>
        <v>#NAME?</v>
      </c>
      <c r="U26" s="2">
        <f>IF('03_Functionalities'!P26="","",'03_Functionalities'!P26)</f>
        <v>1</v>
      </c>
      <c r="V26" s="2" t="str">
        <f>IF('03_Functionalities'!Q26="","",'03_Functionalities'!Q26)</f>
        <v>Draft</v>
      </c>
      <c r="W26" s="2" t="str">
        <f>IF('03_Functionalities'!R26="","",'03_Functionalities'!R26)</f>
        <v>https://knowledge.broadcom.com/external/article/440630/upgrade-sequence-and-related-issues-for.html</v>
      </c>
      <c r="X26" s="2" t="str">
        <f>IF('03_Functionalities'!S26="","",'03_Functionalities'!S26)</f>
        <v>High</v>
      </c>
    </row>
    <row r="27" spans="1:24" ht="57">
      <c r="A27" s="2" t="str">
        <f>IF('03_Functionalities'!A27="","",'03_Functionalities'!A27)</f>
        <v>FN-LIFECYCLE-03-02</v>
      </c>
      <c r="B27" s="2" t="str">
        <f>IF('03_Functionalities'!B27="","",'03_Functionalities'!B27)</f>
        <v>FT-LIFECYCLE-03</v>
      </c>
      <c r="C27" s="2" t="str">
        <f>IF('03_Functionalities'!C27="","",'03_Functionalities'!C27)</f>
        <v>PC-LIFECYCLE</v>
      </c>
      <c r="D27" s="2" t="e">
        <f ca="1">IF(C27="","",_xludf.XLOOKUP(C27,'01_Products'!A:A,'01_Products'!B:B,"Missing Product"))</f>
        <v>#NAME?</v>
      </c>
      <c r="E27" s="2" t="e">
        <f ca="1">IF(C27="","",_xludf.XLOOKUP(C27,'01_Products'!A:A,'01_Products'!C:C,"Missing Type"))</f>
        <v>#NAME?</v>
      </c>
      <c r="F27" s="2" t="e">
        <f ca="1">IF(B27="","",_xludf.XLOOKUP(B27,'02_Features'!A:A,'02_Features'!C:C,"Missing Feature"))</f>
        <v>#NAME?</v>
      </c>
      <c r="G27" s="2" t="e">
        <f ca="1">IF(B27="","",_xludf.XLOOKUP(B27,'02_Features'!A:A,'02_Features'!E:E,"Missing Prompt"))</f>
        <v>#NAME?</v>
      </c>
      <c r="H27" s="2" t="str">
        <f>IF('03_Functionalities'!D27="","",'03_Functionalities'!D27)</f>
        <v>Brownfield environment discovery</v>
      </c>
      <c r="I27" s="2" t="str">
        <f>IF('03_Functionalities'!E27="","",'03_Functionalities'!E27)</f>
        <v>Major functionality for brownfield environment discovery.</v>
      </c>
      <c r="J27" s="2" t="str">
        <f>IF('03_Functionalities'!F27="","",'03_Functionalities'!F27)</f>
        <v>Includes major assessment behavior for brownfield environment discovery in the context of converge and import workflows.</v>
      </c>
      <c r="K27" s="2" t="str">
        <f>IF('03_Functionalities'!G27="","",'03_Functionalities'!G27)</f>
        <v>Excludes low-level configuration toggles, cosmetic UI behavior, and implementation-specific inventory minutiae unless they materially affect parity or risk.</v>
      </c>
      <c r="L27" s="2" t="str">
        <f>IF('03_Functionalities'!I27="","",'03_Functionalities'!I27)</f>
        <v>Migration</v>
      </c>
      <c r="M27" s="2" t="str">
        <f>IF('03_Functionalities'!J27="","",'03_Functionalities'!J27)</f>
        <v>Import and Converge</v>
      </c>
      <c r="N27" s="2" t="str">
        <f>IF('03_Functionalities'!K27="","",'03_Functionalities'!K27)</f>
        <v>High</v>
      </c>
      <c r="O27" s="2" t="str">
        <f>IF('03_Functionalities'!L27="","",'03_Functionalities'!L27)</f>
        <v>Medium</v>
      </c>
      <c r="P27" s="2" t="str">
        <f>IF('03_Functionalities'!M27="","",'03_Functionalities'!M27)</f>
        <v>Official vendor documentation, release notes, validated KB/article, product guide, or architecture reference with version applicability.</v>
      </c>
      <c r="Q27" s="2" t="str">
        <f>IF('03_Functionalities'!N27="","",'03_Functionalities'!N27)</f>
        <v>VCF 9.1 Converge and import workflows Brownfield environment discovery comparator parity evidence</v>
      </c>
      <c r="R27" s="2" t="str">
        <f>IF('03_Functionalities'!O27="","",'03_Functionalities'!O27)</f>
        <v>Yes</v>
      </c>
      <c r="S27" s="2" t="e">
        <f ca="1">IF(C27="","",_xludf.XLOOKUP(C27,'01_Products'!A:A,'01_Products'!K:K,0))</f>
        <v>#NAME?</v>
      </c>
      <c r="T27" s="2" t="e">
        <f ca="1">IF(B27="","",_xludf.XLOOKUP(B27,'02_Features'!A:A,'02_Features'!L:L,0))</f>
        <v>#NAME?</v>
      </c>
      <c r="U27" s="2">
        <f>IF('03_Functionalities'!P27="","",'03_Functionalities'!P27)</f>
        <v>2</v>
      </c>
      <c r="V27" s="2" t="str">
        <f>IF('03_Functionalities'!Q27="","",'03_Functionalities'!Q27)</f>
        <v>Draft</v>
      </c>
      <c r="W27" s="2" t="str">
        <f>IF('03_Functionalities'!R27="","",'03_Functionalities'!R27)</f>
        <v>https://knowledge.broadcom.com/external/article/440630/upgrade-sequence-and-related-issues-for.html</v>
      </c>
      <c r="X27" s="2" t="str">
        <f>IF('03_Functionalities'!S27="","",'03_Functionalities'!S27)</f>
        <v>High</v>
      </c>
    </row>
    <row r="28" spans="1:24" ht="57">
      <c r="A28" s="2" t="str">
        <f>IF('03_Functionalities'!A28="","",'03_Functionalities'!A28)</f>
        <v>FN-LIFECYCLE-03-03</v>
      </c>
      <c r="B28" s="2" t="str">
        <f>IF('03_Functionalities'!B28="","",'03_Functionalities'!B28)</f>
        <v>FT-LIFECYCLE-03</v>
      </c>
      <c r="C28" s="2" t="str">
        <f>IF('03_Functionalities'!C28="","",'03_Functionalities'!C28)</f>
        <v>PC-LIFECYCLE</v>
      </c>
      <c r="D28" s="2" t="e">
        <f ca="1">IF(C28="","",_xludf.XLOOKUP(C28,'01_Products'!A:A,'01_Products'!B:B,"Missing Product"))</f>
        <v>#NAME?</v>
      </c>
      <c r="E28" s="2" t="e">
        <f ca="1">IF(C28="","",_xludf.XLOOKUP(C28,'01_Products'!A:A,'01_Products'!C:C,"Missing Type"))</f>
        <v>#NAME?</v>
      </c>
      <c r="F28" s="2" t="e">
        <f ca="1">IF(B28="","",_xludf.XLOOKUP(B28,'02_Features'!A:A,'02_Features'!C:C,"Missing Feature"))</f>
        <v>#NAME?</v>
      </c>
      <c r="G28" s="2" t="e">
        <f ca="1">IF(B28="","",_xludf.XLOOKUP(B28,'02_Features'!A:A,'02_Features'!E:E,"Missing Prompt"))</f>
        <v>#NAME?</v>
      </c>
      <c r="H28" s="2" t="str">
        <f>IF('03_Functionalities'!D28="","",'03_Functionalities'!D28)</f>
        <v>Pre-import compatibility validation</v>
      </c>
      <c r="I28" s="2" t="str">
        <f>IF('03_Functionalities'!E28="","",'03_Functionalities'!E28)</f>
        <v>Major functionality for pre-import compatibility validation.</v>
      </c>
      <c r="J28" s="2" t="str">
        <f>IF('03_Functionalities'!F28="","",'03_Functionalities'!F28)</f>
        <v>Includes major assessment behavior for pre-import compatibility validation in the context of converge and import workflows.</v>
      </c>
      <c r="K28" s="2" t="str">
        <f>IF('03_Functionalities'!G28="","",'03_Functionalities'!G28)</f>
        <v>Excludes low-level configuration toggles, cosmetic UI behavior, and implementation-specific inventory minutiae unless they materially affect parity or risk.</v>
      </c>
      <c r="L28" s="2" t="str">
        <f>IF('03_Functionalities'!I28="","",'03_Functionalities'!I28)</f>
        <v>Migration</v>
      </c>
      <c r="M28" s="2" t="str">
        <f>IF('03_Functionalities'!J28="","",'03_Functionalities'!J28)</f>
        <v>Import and Converge</v>
      </c>
      <c r="N28" s="2" t="str">
        <f>IF('03_Functionalities'!K28="","",'03_Functionalities'!K28)</f>
        <v>High</v>
      </c>
      <c r="O28" s="2" t="str">
        <f>IF('03_Functionalities'!L28="","",'03_Functionalities'!L28)</f>
        <v>Medium</v>
      </c>
      <c r="P28" s="2" t="str">
        <f>IF('03_Functionalities'!M28="","",'03_Functionalities'!M28)</f>
        <v>Official vendor documentation, release notes, validated KB/article, product guide, or architecture reference with version applicability.</v>
      </c>
      <c r="Q28" s="2" t="str">
        <f>IF('03_Functionalities'!N28="","",'03_Functionalities'!N28)</f>
        <v>VCF 9.1 Converge and import workflows Pre-import compatibility validation comparator parity evidence</v>
      </c>
      <c r="R28" s="2" t="str">
        <f>IF('03_Functionalities'!O28="","",'03_Functionalities'!O28)</f>
        <v>Yes</v>
      </c>
      <c r="S28" s="2" t="e">
        <f ca="1">IF(C28="","",_xludf.XLOOKUP(C28,'01_Products'!A:A,'01_Products'!K:K,0))</f>
        <v>#NAME?</v>
      </c>
      <c r="T28" s="2" t="e">
        <f ca="1">IF(B28="","",_xludf.XLOOKUP(B28,'02_Features'!A:A,'02_Features'!L:L,0))</f>
        <v>#NAME?</v>
      </c>
      <c r="U28" s="2">
        <f>IF('03_Functionalities'!P28="","",'03_Functionalities'!P28)</f>
        <v>3</v>
      </c>
      <c r="V28" s="2" t="str">
        <f>IF('03_Functionalities'!Q28="","",'03_Functionalities'!Q28)</f>
        <v>Draft</v>
      </c>
      <c r="W28" s="2" t="str">
        <f>IF('03_Functionalities'!R28="","",'03_Functionalities'!R28)</f>
        <v>https://knowledge.broadcom.com/external/article/440630/upgrade-sequence-and-related-issues-for.html</v>
      </c>
      <c r="X28" s="2" t="str">
        <f>IF('03_Functionalities'!S28="","",'03_Functionalities'!S28)</f>
        <v>High</v>
      </c>
    </row>
    <row r="29" spans="1:24" ht="57">
      <c r="A29" s="2" t="str">
        <f>IF('03_Functionalities'!A29="","",'03_Functionalities'!A29)</f>
        <v>FN-LIFECYCLE-04-01</v>
      </c>
      <c r="B29" s="2" t="str">
        <f>IF('03_Functionalities'!B29="","",'03_Functionalities'!B29)</f>
        <v>FT-LIFECYCLE-04</v>
      </c>
      <c r="C29" s="2" t="str">
        <f>IF('03_Functionalities'!C29="","",'03_Functionalities'!C29)</f>
        <v>PC-LIFECYCLE</v>
      </c>
      <c r="D29" s="2" t="e">
        <f ca="1">IF(C29="","",_xludf.XLOOKUP(C29,'01_Products'!A:A,'01_Products'!B:B,"Missing Product"))</f>
        <v>#NAME?</v>
      </c>
      <c r="E29" s="2" t="e">
        <f ca="1">IF(C29="","",_xludf.XLOOKUP(C29,'01_Products'!A:A,'01_Products'!C:C,"Missing Type"))</f>
        <v>#NAME?</v>
      </c>
      <c r="F29" s="2" t="e">
        <f ca="1">IF(B29="","",_xludf.XLOOKUP(B29,'02_Features'!A:A,'02_Features'!C:C,"Missing Feature"))</f>
        <v>#NAME?</v>
      </c>
      <c r="G29" s="2" t="e">
        <f ca="1">IF(B29="","",_xludf.XLOOKUP(B29,'02_Features'!A:A,'02_Features'!E:E,"Missing Prompt"))</f>
        <v>#NAME?</v>
      </c>
      <c r="H29" s="2" t="str">
        <f>IF('03_Functionalities'!D29="","",'03_Functionalities'!D29)</f>
        <v>Fleet lifecycle planning</v>
      </c>
      <c r="I29" s="2" t="str">
        <f>IF('03_Functionalities'!E29="","",'03_Functionalities'!E29)</f>
        <v>Major functionality for fleet lifecycle planning.</v>
      </c>
      <c r="J29" s="2" t="str">
        <f>IF('03_Functionalities'!F29="","",'03_Functionalities'!F29)</f>
        <v>Includes major assessment behavior for fleet lifecycle planning in the context of fleet and sddc lifecycle management.</v>
      </c>
      <c r="K29" s="2" t="str">
        <f>IF('03_Functionalities'!G29="","",'03_Functionalities'!G29)</f>
        <v>Excludes low-level configuration toggles, cosmetic UI behavior, and implementation-specific inventory minutiae unless they materially affect parity or risk.</v>
      </c>
      <c r="L29" s="2" t="str">
        <f>IF('03_Functionalities'!I29="","",'03_Functionalities'!I29)</f>
        <v>Lifecycle</v>
      </c>
      <c r="M29" s="2" t="str">
        <f>IF('03_Functionalities'!J29="","",'03_Functionalities'!J29)</f>
        <v>Lifecycle Orchestration</v>
      </c>
      <c r="N29" s="2" t="str">
        <f>IF('03_Functionalities'!K29="","",'03_Functionalities'!K29)</f>
        <v>Critical</v>
      </c>
      <c r="O29" s="2" t="str">
        <f>IF('03_Functionalities'!L29="","",'03_Functionalities'!L29)</f>
        <v>High</v>
      </c>
      <c r="P29" s="2" t="str">
        <f>IF('03_Functionalities'!M29="","",'03_Functionalities'!M29)</f>
        <v>Official vendor documentation, release notes, validated KB/article, product guide, or architecture reference with version applicability.</v>
      </c>
      <c r="Q29" s="2" t="str">
        <f>IF('03_Functionalities'!N29="","",'03_Functionalities'!N29)</f>
        <v>VCF 9.1 Fleet and SDDC lifecycle management Fleet lifecycle planning comparator parity evidence</v>
      </c>
      <c r="R29" s="2" t="str">
        <f>IF('03_Functionalities'!O29="","",'03_Functionalities'!O29)</f>
        <v>Yes</v>
      </c>
      <c r="S29" s="2" t="e">
        <f ca="1">IF(C29="","",_xludf.XLOOKUP(C29,'01_Products'!A:A,'01_Products'!K:K,0))</f>
        <v>#NAME?</v>
      </c>
      <c r="T29" s="2" t="e">
        <f ca="1">IF(B29="","",_xludf.XLOOKUP(B29,'02_Features'!A:A,'02_Features'!L:L,0))</f>
        <v>#NAME?</v>
      </c>
      <c r="U29" s="2">
        <f>IF('03_Functionalities'!P29="","",'03_Functionalities'!P29)</f>
        <v>1</v>
      </c>
      <c r="V29" s="2" t="str">
        <f>IF('03_Functionalities'!Q29="","",'03_Functionalities'!Q29)</f>
        <v>Draft</v>
      </c>
      <c r="W29" s="2" t="str">
        <f>IF('03_Functionalities'!R29="","",'03_Functionalities'!R29)</f>
        <v>https://knowledge.broadcom.com/external/article/425089/required-component-binaries-for-vcf-91.html</v>
      </c>
      <c r="X29" s="2" t="str">
        <f>IF('03_Functionalities'!S29="","",'03_Functionalities'!S29)</f>
        <v>High</v>
      </c>
    </row>
    <row r="30" spans="1:24" ht="57">
      <c r="A30" s="2" t="str">
        <f>IF('03_Functionalities'!A30="","",'03_Functionalities'!A30)</f>
        <v>FN-LIFECYCLE-04-02</v>
      </c>
      <c r="B30" s="2" t="str">
        <f>IF('03_Functionalities'!B30="","",'03_Functionalities'!B30)</f>
        <v>FT-LIFECYCLE-04</v>
      </c>
      <c r="C30" s="2" t="str">
        <f>IF('03_Functionalities'!C30="","",'03_Functionalities'!C30)</f>
        <v>PC-LIFECYCLE</v>
      </c>
      <c r="D30" s="2" t="e">
        <f ca="1">IF(C30="","",_xludf.XLOOKUP(C30,'01_Products'!A:A,'01_Products'!B:B,"Missing Product"))</f>
        <v>#NAME?</v>
      </c>
      <c r="E30" s="2" t="e">
        <f ca="1">IF(C30="","",_xludf.XLOOKUP(C30,'01_Products'!A:A,'01_Products'!C:C,"Missing Type"))</f>
        <v>#NAME?</v>
      </c>
      <c r="F30" s="2" t="e">
        <f ca="1">IF(B30="","",_xludf.XLOOKUP(B30,'02_Features'!A:A,'02_Features'!C:C,"Missing Feature"))</f>
        <v>#NAME?</v>
      </c>
      <c r="G30" s="2" t="e">
        <f ca="1">IF(B30="","",_xludf.XLOOKUP(B30,'02_Features'!A:A,'02_Features'!E:E,"Missing Prompt"))</f>
        <v>#NAME?</v>
      </c>
      <c r="H30" s="2" t="str">
        <f>IF('03_Functionalities'!D30="","",'03_Functionalities'!D30)</f>
        <v>SDDC lifecycle orchestration</v>
      </c>
      <c r="I30" s="2" t="str">
        <f>IF('03_Functionalities'!E30="","",'03_Functionalities'!E30)</f>
        <v>Major functionality for sddc lifecycle orchestration.</v>
      </c>
      <c r="J30" s="2" t="str">
        <f>IF('03_Functionalities'!F30="","",'03_Functionalities'!F30)</f>
        <v>Includes major assessment behavior for sddc lifecycle orchestration in the context of fleet and sddc lifecycle management.</v>
      </c>
      <c r="K30" s="2" t="str">
        <f>IF('03_Functionalities'!G30="","",'03_Functionalities'!G30)</f>
        <v>Excludes low-level configuration toggles, cosmetic UI behavior, and implementation-specific inventory minutiae unless they materially affect parity or risk.</v>
      </c>
      <c r="L30" s="2" t="str">
        <f>IF('03_Functionalities'!I30="","",'03_Functionalities'!I30)</f>
        <v>Lifecycle</v>
      </c>
      <c r="M30" s="2" t="str">
        <f>IF('03_Functionalities'!J30="","",'03_Functionalities'!J30)</f>
        <v>Lifecycle Orchestration</v>
      </c>
      <c r="N30" s="2" t="str">
        <f>IF('03_Functionalities'!K30="","",'03_Functionalities'!K30)</f>
        <v>Critical</v>
      </c>
      <c r="O30" s="2" t="str">
        <f>IF('03_Functionalities'!L30="","",'03_Functionalities'!L30)</f>
        <v>High</v>
      </c>
      <c r="P30" s="2" t="str">
        <f>IF('03_Functionalities'!M30="","",'03_Functionalities'!M30)</f>
        <v>Official vendor documentation, release notes, validated KB/article, product guide, or architecture reference with version applicability.</v>
      </c>
      <c r="Q30" s="2" t="str">
        <f>IF('03_Functionalities'!N30="","",'03_Functionalities'!N30)</f>
        <v>VCF 9.1 Fleet and SDDC lifecycle management SDDC lifecycle orchestration comparator parity evidence</v>
      </c>
      <c r="R30" s="2" t="str">
        <f>IF('03_Functionalities'!O30="","",'03_Functionalities'!O30)</f>
        <v>Yes</v>
      </c>
      <c r="S30" s="2" t="e">
        <f ca="1">IF(C30="","",_xludf.XLOOKUP(C30,'01_Products'!A:A,'01_Products'!K:K,0))</f>
        <v>#NAME?</v>
      </c>
      <c r="T30" s="2" t="e">
        <f ca="1">IF(B30="","",_xludf.XLOOKUP(B30,'02_Features'!A:A,'02_Features'!L:L,0))</f>
        <v>#NAME?</v>
      </c>
      <c r="U30" s="2">
        <f>IF('03_Functionalities'!P30="","",'03_Functionalities'!P30)</f>
        <v>2</v>
      </c>
      <c r="V30" s="2" t="str">
        <f>IF('03_Functionalities'!Q30="","",'03_Functionalities'!Q30)</f>
        <v>Draft</v>
      </c>
      <c r="W30" s="2" t="str">
        <f>IF('03_Functionalities'!R30="","",'03_Functionalities'!R30)</f>
        <v>https://knowledge.broadcom.com/external/article/425089/required-component-binaries-for-vcf-91.html</v>
      </c>
      <c r="X30" s="2" t="str">
        <f>IF('03_Functionalities'!S30="","",'03_Functionalities'!S30)</f>
        <v>High</v>
      </c>
    </row>
    <row r="31" spans="1:24" ht="57">
      <c r="A31" s="2" t="str">
        <f>IF('03_Functionalities'!A31="","",'03_Functionalities'!A31)</f>
        <v>FN-LIFECYCLE-04-03</v>
      </c>
      <c r="B31" s="2" t="str">
        <f>IF('03_Functionalities'!B31="","",'03_Functionalities'!B31)</f>
        <v>FT-LIFECYCLE-04</v>
      </c>
      <c r="C31" s="2" t="str">
        <f>IF('03_Functionalities'!C31="","",'03_Functionalities'!C31)</f>
        <v>PC-LIFECYCLE</v>
      </c>
      <c r="D31" s="2" t="e">
        <f ca="1">IF(C31="","",_xludf.XLOOKUP(C31,'01_Products'!A:A,'01_Products'!B:B,"Missing Product"))</f>
        <v>#NAME?</v>
      </c>
      <c r="E31" s="2" t="e">
        <f ca="1">IF(C31="","",_xludf.XLOOKUP(C31,'01_Products'!A:A,'01_Products'!C:C,"Missing Type"))</f>
        <v>#NAME?</v>
      </c>
      <c r="F31" s="2" t="e">
        <f ca="1">IF(B31="","",_xludf.XLOOKUP(B31,'02_Features'!A:A,'02_Features'!C:C,"Missing Feature"))</f>
        <v>#NAME?</v>
      </c>
      <c r="G31" s="2" t="e">
        <f ca="1">IF(B31="","",_xludf.XLOOKUP(B31,'02_Features'!A:A,'02_Features'!E:E,"Missing Prompt"))</f>
        <v>#NAME?</v>
      </c>
      <c r="H31" s="2" t="str">
        <f>IF('03_Functionalities'!D31="","",'03_Functionalities'!D31)</f>
        <v>Cross-component upgrade sequencing</v>
      </c>
      <c r="I31" s="2" t="str">
        <f>IF('03_Functionalities'!E31="","",'03_Functionalities'!E31)</f>
        <v>Major functionality for cross-component upgrade sequencing.</v>
      </c>
      <c r="J31" s="2" t="str">
        <f>IF('03_Functionalities'!F31="","",'03_Functionalities'!F31)</f>
        <v>Includes major assessment behavior for cross-component upgrade sequencing in the context of fleet and sddc lifecycle management.</v>
      </c>
      <c r="K31" s="2" t="str">
        <f>IF('03_Functionalities'!G31="","",'03_Functionalities'!G31)</f>
        <v>Excludes low-level configuration toggles, cosmetic UI behavior, and implementation-specific inventory minutiae unless they materially affect parity or risk.</v>
      </c>
      <c r="L31" s="2" t="str">
        <f>IF('03_Functionalities'!I31="","",'03_Functionalities'!I31)</f>
        <v>Lifecycle</v>
      </c>
      <c r="M31" s="2" t="str">
        <f>IF('03_Functionalities'!J31="","",'03_Functionalities'!J31)</f>
        <v>Lifecycle Orchestration</v>
      </c>
      <c r="N31" s="2" t="str">
        <f>IF('03_Functionalities'!K31="","",'03_Functionalities'!K31)</f>
        <v>Critical</v>
      </c>
      <c r="O31" s="2" t="str">
        <f>IF('03_Functionalities'!L31="","",'03_Functionalities'!L31)</f>
        <v>High</v>
      </c>
      <c r="P31" s="2" t="str">
        <f>IF('03_Functionalities'!M31="","",'03_Functionalities'!M31)</f>
        <v>Official vendor documentation, release notes, validated KB/article, product guide, or architecture reference with version applicability.</v>
      </c>
      <c r="Q31" s="2" t="str">
        <f>IF('03_Functionalities'!N31="","",'03_Functionalities'!N31)</f>
        <v>VCF 9.1 Fleet and SDDC lifecycle management Cross-component upgrade sequencing comparator parity evidence</v>
      </c>
      <c r="R31" s="2" t="str">
        <f>IF('03_Functionalities'!O31="","",'03_Functionalities'!O31)</f>
        <v>Yes</v>
      </c>
      <c r="S31" s="2" t="e">
        <f ca="1">IF(C31="","",_xludf.XLOOKUP(C31,'01_Products'!A:A,'01_Products'!K:K,0))</f>
        <v>#NAME?</v>
      </c>
      <c r="T31" s="2" t="e">
        <f ca="1">IF(B31="","",_xludf.XLOOKUP(B31,'02_Features'!A:A,'02_Features'!L:L,0))</f>
        <v>#NAME?</v>
      </c>
      <c r="U31" s="2">
        <f>IF('03_Functionalities'!P31="","",'03_Functionalities'!P31)</f>
        <v>3</v>
      </c>
      <c r="V31" s="2" t="str">
        <f>IF('03_Functionalities'!Q31="","",'03_Functionalities'!Q31)</f>
        <v>Draft</v>
      </c>
      <c r="W31" s="2" t="str">
        <f>IF('03_Functionalities'!R31="","",'03_Functionalities'!R31)</f>
        <v>https://knowledge.broadcom.com/external/article/425089/required-component-binaries-for-vcf-91.html</v>
      </c>
      <c r="X31" s="2" t="str">
        <f>IF('03_Functionalities'!S31="","",'03_Functionalities'!S31)</f>
        <v>High</v>
      </c>
    </row>
    <row r="32" spans="1:24" ht="57">
      <c r="A32" s="2" t="str">
        <f>IF('03_Functionalities'!A32="","",'03_Functionalities'!A32)</f>
        <v>FN-LIFECYCLE-05-01</v>
      </c>
      <c r="B32" s="2" t="str">
        <f>IF('03_Functionalities'!B32="","",'03_Functionalities'!B32)</f>
        <v>FT-LIFECYCLE-05</v>
      </c>
      <c r="C32" s="2" t="str">
        <f>IF('03_Functionalities'!C32="","",'03_Functionalities'!C32)</f>
        <v>PC-LIFECYCLE</v>
      </c>
      <c r="D32" s="2" t="e">
        <f ca="1">IF(C32="","",_xludf.XLOOKUP(C32,'01_Products'!A:A,'01_Products'!B:B,"Missing Product"))</f>
        <v>#NAME?</v>
      </c>
      <c r="E32" s="2" t="e">
        <f ca="1">IF(C32="","",_xludf.XLOOKUP(C32,'01_Products'!A:A,'01_Products'!C:C,"Missing Type"))</f>
        <v>#NAME?</v>
      </c>
      <c r="F32" s="2" t="e">
        <f ca="1">IF(B32="","",_xludf.XLOOKUP(B32,'02_Features'!A:A,'02_Features'!C:C,"Missing Feature"))</f>
        <v>#NAME?</v>
      </c>
      <c r="G32" s="2" t="e">
        <f ca="1">IF(B32="","",_xludf.XLOOKUP(B32,'02_Features'!A:A,'02_Features'!E:E,"Missing Prompt"))</f>
        <v>#NAME?</v>
      </c>
      <c r="H32" s="2" t="str">
        <f>IF('03_Functionalities'!D32="","",'03_Functionalities'!D32)</f>
        <v>Software depot configuration</v>
      </c>
      <c r="I32" s="2" t="str">
        <f>IF('03_Functionalities'!E32="","",'03_Functionalities'!E32)</f>
        <v>Major functionality for software depot configuration.</v>
      </c>
      <c r="J32" s="2" t="str">
        <f>IF('03_Functionalities'!F32="","",'03_Functionalities'!F32)</f>
        <v>Includes major assessment behavior for software depot configuration in the context of software depot and download tooling.</v>
      </c>
      <c r="K32" s="2" t="str">
        <f>IF('03_Functionalities'!G32="","",'03_Functionalities'!G32)</f>
        <v>Excludes low-level configuration toggles, cosmetic UI behavior, and implementation-specific inventory minutiae unless they materially affect parity or risk.</v>
      </c>
      <c r="L32" s="2" t="str">
        <f>IF('03_Functionalities'!I32="","",'03_Functionalities'!I32)</f>
        <v>Lifecycle</v>
      </c>
      <c r="M32" s="2" t="str">
        <f>IF('03_Functionalities'!J32="","",'03_Functionalities'!J32)</f>
        <v>Software Supply</v>
      </c>
      <c r="N32" s="2" t="str">
        <f>IF('03_Functionalities'!K32="","",'03_Functionalities'!K32)</f>
        <v>High</v>
      </c>
      <c r="O32" s="2" t="str">
        <f>IF('03_Functionalities'!L32="","",'03_Functionalities'!L32)</f>
        <v>High</v>
      </c>
      <c r="P32" s="2" t="str">
        <f>IF('03_Functionalities'!M32="","",'03_Functionalities'!M32)</f>
        <v>Official vendor documentation, release notes, validated KB/article, product guide, or architecture reference with version applicability.</v>
      </c>
      <c r="Q32" s="2" t="str">
        <f>IF('03_Functionalities'!N32="","",'03_Functionalities'!N32)</f>
        <v>VCF 9.1 Software depot and download tooling Software depot configuration comparator parity evidence</v>
      </c>
      <c r="R32" s="2" t="str">
        <f>IF('03_Functionalities'!O32="","",'03_Functionalities'!O32)</f>
        <v>Yes</v>
      </c>
      <c r="S32" s="2" t="e">
        <f ca="1">IF(C32="","",_xludf.XLOOKUP(C32,'01_Products'!A:A,'01_Products'!K:K,0))</f>
        <v>#NAME?</v>
      </c>
      <c r="T32" s="2" t="e">
        <f ca="1">IF(B32="","",_xludf.XLOOKUP(B32,'02_Features'!A:A,'02_Features'!L:L,0))</f>
        <v>#NAME?</v>
      </c>
      <c r="U32" s="2">
        <f>IF('03_Functionalities'!P32="","",'03_Functionalities'!P32)</f>
        <v>1</v>
      </c>
      <c r="V32" s="2" t="str">
        <f>IF('03_Functionalities'!Q32="","",'03_Functionalities'!Q32)</f>
        <v>Draft</v>
      </c>
      <c r="W32" s="2" t="str">
        <f>IF('03_Functionalities'!R32="","",'03_Functionalities'!R32)</f>
        <v>https://knowledge.broadcom.com/external/article/425089/required-component-binaries-for-vcf-91.html</v>
      </c>
      <c r="X32" s="2" t="str">
        <f>IF('03_Functionalities'!S32="","",'03_Functionalities'!S32)</f>
        <v>High</v>
      </c>
    </row>
    <row r="33" spans="1:24" ht="57">
      <c r="A33" s="2" t="str">
        <f>IF('03_Functionalities'!A33="","",'03_Functionalities'!A33)</f>
        <v>FN-LIFECYCLE-05-02</v>
      </c>
      <c r="B33" s="2" t="str">
        <f>IF('03_Functionalities'!B33="","",'03_Functionalities'!B33)</f>
        <v>FT-LIFECYCLE-05</v>
      </c>
      <c r="C33" s="2" t="str">
        <f>IF('03_Functionalities'!C33="","",'03_Functionalities'!C33)</f>
        <v>PC-LIFECYCLE</v>
      </c>
      <c r="D33" s="2" t="e">
        <f ca="1">IF(C33="","",_xludf.XLOOKUP(C33,'01_Products'!A:A,'01_Products'!B:B,"Missing Product"))</f>
        <v>#NAME?</v>
      </c>
      <c r="E33" s="2" t="e">
        <f ca="1">IF(C33="","",_xludf.XLOOKUP(C33,'01_Products'!A:A,'01_Products'!C:C,"Missing Type"))</f>
        <v>#NAME?</v>
      </c>
      <c r="F33" s="2" t="e">
        <f ca="1">IF(B33="","",_xludf.XLOOKUP(B33,'02_Features'!A:A,'02_Features'!C:C,"Missing Feature"))</f>
        <v>#NAME?</v>
      </c>
      <c r="G33" s="2" t="e">
        <f ca="1">IF(B33="","",_xludf.XLOOKUP(B33,'02_Features'!A:A,'02_Features'!E:E,"Missing Prompt"))</f>
        <v>#NAME?</v>
      </c>
      <c r="H33" s="2" t="str">
        <f>IF('03_Functionalities'!D33="","",'03_Functionalities'!D33)</f>
        <v>Binary download and metadata management</v>
      </c>
      <c r="I33" s="2" t="str">
        <f>IF('03_Functionalities'!E33="","",'03_Functionalities'!E33)</f>
        <v>Major functionality for binary download and metadata management.</v>
      </c>
      <c r="J33" s="2" t="str">
        <f>IF('03_Functionalities'!F33="","",'03_Functionalities'!F33)</f>
        <v>Includes major assessment behavior for binary download and metadata management in the context of software depot and download tooling.</v>
      </c>
      <c r="K33" s="2" t="str">
        <f>IF('03_Functionalities'!G33="","",'03_Functionalities'!G33)</f>
        <v>Excludes low-level configuration toggles, cosmetic UI behavior, and implementation-specific inventory minutiae unless they materially affect parity or risk.</v>
      </c>
      <c r="L33" s="2" t="str">
        <f>IF('03_Functionalities'!I33="","",'03_Functionalities'!I33)</f>
        <v>Lifecycle</v>
      </c>
      <c r="M33" s="2" t="str">
        <f>IF('03_Functionalities'!J33="","",'03_Functionalities'!J33)</f>
        <v>Software Supply</v>
      </c>
      <c r="N33" s="2" t="str">
        <f>IF('03_Functionalities'!K33="","",'03_Functionalities'!K33)</f>
        <v>High</v>
      </c>
      <c r="O33" s="2" t="str">
        <f>IF('03_Functionalities'!L33="","",'03_Functionalities'!L33)</f>
        <v>High</v>
      </c>
      <c r="P33" s="2" t="str">
        <f>IF('03_Functionalities'!M33="","",'03_Functionalities'!M33)</f>
        <v>Official vendor documentation, release notes, validated KB/article, product guide, or architecture reference with version applicability.</v>
      </c>
      <c r="Q33" s="2" t="str">
        <f>IF('03_Functionalities'!N33="","",'03_Functionalities'!N33)</f>
        <v>VCF 9.1 Software depot and download tooling Binary download and metadata management comparator parity evidence</v>
      </c>
      <c r="R33" s="2" t="str">
        <f>IF('03_Functionalities'!O33="","",'03_Functionalities'!O33)</f>
        <v>Yes</v>
      </c>
      <c r="S33" s="2" t="e">
        <f ca="1">IF(C33="","",_xludf.XLOOKUP(C33,'01_Products'!A:A,'01_Products'!K:K,0))</f>
        <v>#NAME?</v>
      </c>
      <c r="T33" s="2" t="e">
        <f ca="1">IF(B33="","",_xludf.XLOOKUP(B33,'02_Features'!A:A,'02_Features'!L:L,0))</f>
        <v>#NAME?</v>
      </c>
      <c r="U33" s="2">
        <f>IF('03_Functionalities'!P33="","",'03_Functionalities'!P33)</f>
        <v>2</v>
      </c>
      <c r="V33" s="2" t="str">
        <f>IF('03_Functionalities'!Q33="","",'03_Functionalities'!Q33)</f>
        <v>Draft</v>
      </c>
      <c r="W33" s="2" t="str">
        <f>IF('03_Functionalities'!R33="","",'03_Functionalities'!R33)</f>
        <v>https://knowledge.broadcom.com/external/article/425089/required-component-binaries-for-vcf-91.html</v>
      </c>
      <c r="X33" s="2" t="str">
        <f>IF('03_Functionalities'!S33="","",'03_Functionalities'!S33)</f>
        <v>High</v>
      </c>
    </row>
    <row r="34" spans="1:24" ht="57">
      <c r="A34" s="2" t="str">
        <f>IF('03_Functionalities'!A34="","",'03_Functionalities'!A34)</f>
        <v>FN-LIFECYCLE-05-03</v>
      </c>
      <c r="B34" s="2" t="str">
        <f>IF('03_Functionalities'!B34="","",'03_Functionalities'!B34)</f>
        <v>FT-LIFECYCLE-05</v>
      </c>
      <c r="C34" s="2" t="str">
        <f>IF('03_Functionalities'!C34="","",'03_Functionalities'!C34)</f>
        <v>PC-LIFECYCLE</v>
      </c>
      <c r="D34" s="2" t="e">
        <f ca="1">IF(C34="","",_xludf.XLOOKUP(C34,'01_Products'!A:A,'01_Products'!B:B,"Missing Product"))</f>
        <v>#NAME?</v>
      </c>
      <c r="E34" s="2" t="e">
        <f ca="1">IF(C34="","",_xludf.XLOOKUP(C34,'01_Products'!A:A,'01_Products'!C:C,"Missing Type"))</f>
        <v>#NAME?</v>
      </c>
      <c r="F34" s="2" t="e">
        <f ca="1">IF(B34="","",_xludf.XLOOKUP(B34,'02_Features'!A:A,'02_Features'!C:C,"Missing Feature"))</f>
        <v>#NAME?</v>
      </c>
      <c r="G34" s="2" t="e">
        <f ca="1">IF(B34="","",_xludf.XLOOKUP(B34,'02_Features'!A:A,'02_Features'!E:E,"Missing Prompt"))</f>
        <v>#NAME?</v>
      </c>
      <c r="H34" s="2" t="str">
        <f>IF('03_Functionalities'!D34="","",'03_Functionalities'!D34)</f>
        <v>Offline/air-gapped bundle handling</v>
      </c>
      <c r="I34" s="2" t="str">
        <f>IF('03_Functionalities'!E34="","",'03_Functionalities'!E34)</f>
        <v>Major functionality for offline/air-gapped bundle handling.</v>
      </c>
      <c r="J34" s="2" t="str">
        <f>IF('03_Functionalities'!F34="","",'03_Functionalities'!F34)</f>
        <v>Includes major assessment behavior for offline/air-gapped bundle handling in the context of software depot and download tooling.</v>
      </c>
      <c r="K34" s="2" t="str">
        <f>IF('03_Functionalities'!G34="","",'03_Functionalities'!G34)</f>
        <v>Excludes low-level configuration toggles, cosmetic UI behavior, and implementation-specific inventory minutiae unless they materially affect parity or risk.</v>
      </c>
      <c r="L34" s="2" t="str">
        <f>IF('03_Functionalities'!I34="","",'03_Functionalities'!I34)</f>
        <v>Lifecycle</v>
      </c>
      <c r="M34" s="2" t="str">
        <f>IF('03_Functionalities'!J34="","",'03_Functionalities'!J34)</f>
        <v>Software Supply</v>
      </c>
      <c r="N34" s="2" t="str">
        <f>IF('03_Functionalities'!K34="","",'03_Functionalities'!K34)</f>
        <v>High</v>
      </c>
      <c r="O34" s="2" t="str">
        <f>IF('03_Functionalities'!L34="","",'03_Functionalities'!L34)</f>
        <v>High</v>
      </c>
      <c r="P34" s="2" t="str">
        <f>IF('03_Functionalities'!M34="","",'03_Functionalities'!M34)</f>
        <v>Official vendor documentation, release notes, validated KB/article, product guide, or architecture reference with version applicability.</v>
      </c>
      <c r="Q34" s="2" t="str">
        <f>IF('03_Functionalities'!N34="","",'03_Functionalities'!N34)</f>
        <v>VCF 9.1 Software depot and download tooling Offline/air-gapped bundle handling comparator parity evidence</v>
      </c>
      <c r="R34" s="2" t="str">
        <f>IF('03_Functionalities'!O34="","",'03_Functionalities'!O34)</f>
        <v>Yes</v>
      </c>
      <c r="S34" s="2" t="e">
        <f ca="1">IF(C34="","",_xludf.XLOOKUP(C34,'01_Products'!A:A,'01_Products'!K:K,0))</f>
        <v>#NAME?</v>
      </c>
      <c r="T34" s="2" t="e">
        <f ca="1">IF(B34="","",_xludf.XLOOKUP(B34,'02_Features'!A:A,'02_Features'!L:L,0))</f>
        <v>#NAME?</v>
      </c>
      <c r="U34" s="2">
        <f>IF('03_Functionalities'!P34="","",'03_Functionalities'!P34)</f>
        <v>3</v>
      </c>
      <c r="V34" s="2" t="str">
        <f>IF('03_Functionalities'!Q34="","",'03_Functionalities'!Q34)</f>
        <v>Draft</v>
      </c>
      <c r="W34" s="2" t="str">
        <f>IF('03_Functionalities'!R34="","",'03_Functionalities'!R34)</f>
        <v>https://knowledge.broadcom.com/external/article/425089/required-component-binaries-for-vcf-91.html</v>
      </c>
      <c r="X34" s="2" t="str">
        <f>IF('03_Functionalities'!S34="","",'03_Functionalities'!S34)</f>
        <v>High</v>
      </c>
    </row>
    <row r="35" spans="1:24" ht="57">
      <c r="A35" s="2" t="str">
        <f>IF('03_Functionalities'!A35="","",'03_Functionalities'!A35)</f>
        <v>FN-LIFECYCLE-06-01</v>
      </c>
      <c r="B35" s="2" t="str">
        <f>IF('03_Functionalities'!B35="","",'03_Functionalities'!B35)</f>
        <v>FT-LIFECYCLE-06</v>
      </c>
      <c r="C35" s="2" t="str">
        <f>IF('03_Functionalities'!C35="","",'03_Functionalities'!C35)</f>
        <v>PC-LIFECYCLE</v>
      </c>
      <c r="D35" s="2" t="e">
        <f ca="1">IF(C35="","",_xludf.XLOOKUP(C35,'01_Products'!A:A,'01_Products'!B:B,"Missing Product"))</f>
        <v>#NAME?</v>
      </c>
      <c r="E35" s="2" t="e">
        <f ca="1">IF(C35="","",_xludf.XLOOKUP(C35,'01_Products'!A:A,'01_Products'!C:C,"Missing Type"))</f>
        <v>#NAME?</v>
      </c>
      <c r="F35" s="2" t="e">
        <f ca="1">IF(B35="","",_xludf.XLOOKUP(B35,'02_Features'!A:A,'02_Features'!C:C,"Missing Feature"))</f>
        <v>#NAME?</v>
      </c>
      <c r="G35" s="2" t="e">
        <f ca="1">IF(B35="","",_xludf.XLOOKUP(B35,'02_Features'!A:A,'02_Features'!E:E,"Missing Prompt"))</f>
        <v>#NAME?</v>
      </c>
      <c r="H35" s="2" t="str">
        <f>IF('03_Functionalities'!D35="","",'03_Functionalities'!D35)</f>
        <v>Lifecycle precheck execution</v>
      </c>
      <c r="I35" s="2" t="str">
        <f>IF('03_Functionalities'!E35="","",'03_Functionalities'!E35)</f>
        <v>Major functionality for lifecycle precheck execution.</v>
      </c>
      <c r="J35" s="2" t="str">
        <f>IF('03_Functionalities'!F35="","",'03_Functionalities'!F35)</f>
        <v>Includes major assessment behavior for lifecycle precheck execution in the context of lifecycle prechecks and remediation workflows.</v>
      </c>
      <c r="K35" s="2" t="str">
        <f>IF('03_Functionalities'!G35="","",'03_Functionalities'!G35)</f>
        <v>Excludes low-level configuration toggles, cosmetic UI behavior, and implementation-specific inventory minutiae unless they materially affect parity or risk.</v>
      </c>
      <c r="L35" s="2" t="str">
        <f>IF('03_Functionalities'!I35="","",'03_Functionalities'!I35)</f>
        <v>Lifecycle</v>
      </c>
      <c r="M35" s="2" t="str">
        <f>IF('03_Functionalities'!J35="","",'03_Functionalities'!J35)</f>
        <v>Risk Control</v>
      </c>
      <c r="N35" s="2" t="str">
        <f>IF('03_Functionalities'!K35="","",'03_Functionalities'!K35)</f>
        <v>Critical</v>
      </c>
      <c r="O35" s="2" t="str">
        <f>IF('03_Functionalities'!L35="","",'03_Functionalities'!L35)</f>
        <v>Medium</v>
      </c>
      <c r="P35" s="2" t="str">
        <f>IF('03_Functionalities'!M35="","",'03_Functionalities'!M35)</f>
        <v>Official vendor documentation, release notes, validated KB/article, product guide, or architecture reference with version applicability.</v>
      </c>
      <c r="Q35" s="2" t="str">
        <f>IF('03_Functionalities'!N35="","",'03_Functionalities'!N35)</f>
        <v>VCF 9.1 Lifecycle prechecks and remediation workflows Lifecycle precheck execution comparator parity evidence</v>
      </c>
      <c r="R35" s="2" t="str">
        <f>IF('03_Functionalities'!O35="","",'03_Functionalities'!O35)</f>
        <v>Yes</v>
      </c>
      <c r="S35" s="2" t="e">
        <f ca="1">IF(C35="","",_xludf.XLOOKUP(C35,'01_Products'!A:A,'01_Products'!K:K,0))</f>
        <v>#NAME?</v>
      </c>
      <c r="T35" s="2" t="e">
        <f ca="1">IF(B35="","",_xludf.XLOOKUP(B35,'02_Features'!A:A,'02_Features'!L:L,0))</f>
        <v>#NAME?</v>
      </c>
      <c r="U35" s="2">
        <f>IF('03_Functionalities'!P35="","",'03_Functionalities'!P35)</f>
        <v>1</v>
      </c>
      <c r="V35" s="2" t="str">
        <f>IF('03_Functionalities'!Q35="","",'03_Functionalities'!Q35)</f>
        <v>Draft</v>
      </c>
      <c r="W35" s="2" t="str">
        <f>IF('03_Functionalities'!R35="","",'03_Functionalities'!R35)</f>
        <v>https://knowledge.broadcom.com/external/article/440630/upgrade-sequence-and-related-issues-for.html</v>
      </c>
      <c r="X35" s="2" t="str">
        <f>IF('03_Functionalities'!S35="","",'03_Functionalities'!S35)</f>
        <v>High</v>
      </c>
    </row>
    <row r="36" spans="1:24" ht="57">
      <c r="A36" s="2" t="str">
        <f>IF('03_Functionalities'!A36="","",'03_Functionalities'!A36)</f>
        <v>FN-LIFECYCLE-06-02</v>
      </c>
      <c r="B36" s="2" t="str">
        <f>IF('03_Functionalities'!B36="","",'03_Functionalities'!B36)</f>
        <v>FT-LIFECYCLE-06</v>
      </c>
      <c r="C36" s="2" t="str">
        <f>IF('03_Functionalities'!C36="","",'03_Functionalities'!C36)</f>
        <v>PC-LIFECYCLE</v>
      </c>
      <c r="D36" s="2" t="e">
        <f ca="1">IF(C36="","",_xludf.XLOOKUP(C36,'01_Products'!A:A,'01_Products'!B:B,"Missing Product"))</f>
        <v>#NAME?</v>
      </c>
      <c r="E36" s="2" t="e">
        <f ca="1">IF(C36="","",_xludf.XLOOKUP(C36,'01_Products'!A:A,'01_Products'!C:C,"Missing Type"))</f>
        <v>#NAME?</v>
      </c>
      <c r="F36" s="2" t="e">
        <f ca="1">IF(B36="","",_xludf.XLOOKUP(B36,'02_Features'!A:A,'02_Features'!C:C,"Missing Feature"))</f>
        <v>#NAME?</v>
      </c>
      <c r="G36" s="2" t="e">
        <f ca="1">IF(B36="","",_xludf.XLOOKUP(B36,'02_Features'!A:A,'02_Features'!E:E,"Missing Prompt"))</f>
        <v>#NAME?</v>
      </c>
      <c r="H36" s="2" t="str">
        <f>IF('03_Functionalities'!D36="","",'03_Functionalities'!D36)</f>
        <v>Upgrade blocker identification</v>
      </c>
      <c r="I36" s="2" t="str">
        <f>IF('03_Functionalities'!E36="","",'03_Functionalities'!E36)</f>
        <v>Major functionality for upgrade blocker identification.</v>
      </c>
      <c r="J36" s="2" t="str">
        <f>IF('03_Functionalities'!F36="","",'03_Functionalities'!F36)</f>
        <v>Includes major assessment behavior for upgrade blocker identification in the context of lifecycle prechecks and remediation workflows.</v>
      </c>
      <c r="K36" s="2" t="str">
        <f>IF('03_Functionalities'!G36="","",'03_Functionalities'!G36)</f>
        <v>Excludes low-level configuration toggles, cosmetic UI behavior, and implementation-specific inventory minutiae unless they materially affect parity or risk.</v>
      </c>
      <c r="L36" s="2" t="str">
        <f>IF('03_Functionalities'!I36="","",'03_Functionalities'!I36)</f>
        <v>Lifecycle</v>
      </c>
      <c r="M36" s="2" t="str">
        <f>IF('03_Functionalities'!J36="","",'03_Functionalities'!J36)</f>
        <v>Risk Control</v>
      </c>
      <c r="N36" s="2" t="str">
        <f>IF('03_Functionalities'!K36="","",'03_Functionalities'!K36)</f>
        <v>Critical</v>
      </c>
      <c r="O36" s="2" t="str">
        <f>IF('03_Functionalities'!L36="","",'03_Functionalities'!L36)</f>
        <v>Medium</v>
      </c>
      <c r="P36" s="2" t="str">
        <f>IF('03_Functionalities'!M36="","",'03_Functionalities'!M36)</f>
        <v>Official vendor documentation, release notes, validated KB/article, product guide, or architecture reference with version applicability.</v>
      </c>
      <c r="Q36" s="2" t="str">
        <f>IF('03_Functionalities'!N36="","",'03_Functionalities'!N36)</f>
        <v>VCF 9.1 Lifecycle prechecks and remediation workflows Upgrade blocker identification comparator parity evidence</v>
      </c>
      <c r="R36" s="2" t="str">
        <f>IF('03_Functionalities'!O36="","",'03_Functionalities'!O36)</f>
        <v>Yes</v>
      </c>
      <c r="S36" s="2" t="e">
        <f ca="1">IF(C36="","",_xludf.XLOOKUP(C36,'01_Products'!A:A,'01_Products'!K:K,0))</f>
        <v>#NAME?</v>
      </c>
      <c r="T36" s="2" t="e">
        <f ca="1">IF(B36="","",_xludf.XLOOKUP(B36,'02_Features'!A:A,'02_Features'!L:L,0))</f>
        <v>#NAME?</v>
      </c>
      <c r="U36" s="2">
        <f>IF('03_Functionalities'!P36="","",'03_Functionalities'!P36)</f>
        <v>2</v>
      </c>
      <c r="V36" s="2" t="str">
        <f>IF('03_Functionalities'!Q36="","",'03_Functionalities'!Q36)</f>
        <v>Draft</v>
      </c>
      <c r="W36" s="2" t="str">
        <f>IF('03_Functionalities'!R36="","",'03_Functionalities'!R36)</f>
        <v>https://knowledge.broadcom.com/external/article/440630/upgrade-sequence-and-related-issues-for.html</v>
      </c>
      <c r="X36" s="2" t="str">
        <f>IF('03_Functionalities'!S36="","",'03_Functionalities'!S36)</f>
        <v>High</v>
      </c>
    </row>
    <row r="37" spans="1:24" ht="57">
      <c r="A37" s="2" t="str">
        <f>IF('03_Functionalities'!A37="","",'03_Functionalities'!A37)</f>
        <v>FN-LIFECYCLE-06-03</v>
      </c>
      <c r="B37" s="2" t="str">
        <f>IF('03_Functionalities'!B37="","",'03_Functionalities'!B37)</f>
        <v>FT-LIFECYCLE-06</v>
      </c>
      <c r="C37" s="2" t="str">
        <f>IF('03_Functionalities'!C37="","",'03_Functionalities'!C37)</f>
        <v>PC-LIFECYCLE</v>
      </c>
      <c r="D37" s="2" t="e">
        <f ca="1">IF(C37="","",_xludf.XLOOKUP(C37,'01_Products'!A:A,'01_Products'!B:B,"Missing Product"))</f>
        <v>#NAME?</v>
      </c>
      <c r="E37" s="2" t="e">
        <f ca="1">IF(C37="","",_xludf.XLOOKUP(C37,'01_Products'!A:A,'01_Products'!C:C,"Missing Type"))</f>
        <v>#NAME?</v>
      </c>
      <c r="F37" s="2" t="e">
        <f ca="1">IF(B37="","",_xludf.XLOOKUP(B37,'02_Features'!A:A,'02_Features'!C:C,"Missing Feature"))</f>
        <v>#NAME?</v>
      </c>
      <c r="G37" s="2" t="e">
        <f ca="1">IF(B37="","",_xludf.XLOOKUP(B37,'02_Features'!A:A,'02_Features'!E:E,"Missing Prompt"))</f>
        <v>#NAME?</v>
      </c>
      <c r="H37" s="2" t="str">
        <f>IF('03_Functionalities'!D37="","",'03_Functionalities'!D37)</f>
        <v>Remediation and retry workflow support</v>
      </c>
      <c r="I37" s="2" t="str">
        <f>IF('03_Functionalities'!E37="","",'03_Functionalities'!E37)</f>
        <v>Major functionality for remediation and retry workflow support.</v>
      </c>
      <c r="J37" s="2" t="str">
        <f>IF('03_Functionalities'!F37="","",'03_Functionalities'!F37)</f>
        <v>Includes major assessment behavior for remediation and retry workflow support in the context of lifecycle prechecks and remediation workflows.</v>
      </c>
      <c r="K37" s="2" t="str">
        <f>IF('03_Functionalities'!G37="","",'03_Functionalities'!G37)</f>
        <v>Excludes low-level configuration toggles, cosmetic UI behavior, and implementation-specific inventory minutiae unless they materially affect parity or risk.</v>
      </c>
      <c r="L37" s="2" t="str">
        <f>IF('03_Functionalities'!I37="","",'03_Functionalities'!I37)</f>
        <v>Lifecycle</v>
      </c>
      <c r="M37" s="2" t="str">
        <f>IF('03_Functionalities'!J37="","",'03_Functionalities'!J37)</f>
        <v>Risk Control</v>
      </c>
      <c r="N37" s="2" t="str">
        <f>IF('03_Functionalities'!K37="","",'03_Functionalities'!K37)</f>
        <v>Critical</v>
      </c>
      <c r="O37" s="2" t="str">
        <f>IF('03_Functionalities'!L37="","",'03_Functionalities'!L37)</f>
        <v>Medium</v>
      </c>
      <c r="P37" s="2" t="str">
        <f>IF('03_Functionalities'!M37="","",'03_Functionalities'!M37)</f>
        <v>Official vendor documentation, release notes, validated KB/article, product guide, or architecture reference with version applicability.</v>
      </c>
      <c r="Q37" s="2" t="str">
        <f>IF('03_Functionalities'!N37="","",'03_Functionalities'!N37)</f>
        <v>VCF 9.1 Lifecycle prechecks and remediation workflows Remediation and retry workflow support comparator parity evidence</v>
      </c>
      <c r="R37" s="2" t="str">
        <f>IF('03_Functionalities'!O37="","",'03_Functionalities'!O37)</f>
        <v>Yes</v>
      </c>
      <c r="S37" s="2" t="e">
        <f ca="1">IF(C37="","",_xludf.XLOOKUP(C37,'01_Products'!A:A,'01_Products'!K:K,0))</f>
        <v>#NAME?</v>
      </c>
      <c r="T37" s="2" t="e">
        <f ca="1">IF(B37="","",_xludf.XLOOKUP(B37,'02_Features'!A:A,'02_Features'!L:L,0))</f>
        <v>#NAME?</v>
      </c>
      <c r="U37" s="2">
        <f>IF('03_Functionalities'!P37="","",'03_Functionalities'!P37)</f>
        <v>3</v>
      </c>
      <c r="V37" s="2" t="str">
        <f>IF('03_Functionalities'!Q37="","",'03_Functionalities'!Q37)</f>
        <v>Draft</v>
      </c>
      <c r="W37" s="2" t="str">
        <f>IF('03_Functionalities'!R37="","",'03_Functionalities'!R37)</f>
        <v>https://knowledge.broadcom.com/external/article/440630/upgrade-sequence-and-related-issues-for.html</v>
      </c>
      <c r="X37" s="2" t="str">
        <f>IF('03_Functionalities'!S37="","",'03_Functionalities'!S37)</f>
        <v>High</v>
      </c>
    </row>
    <row r="38" spans="1:24" ht="71.25">
      <c r="A38" s="2" t="str">
        <f>IF('03_Functionalities'!A38="","",'03_Functionalities'!A38)</f>
        <v>FN-LIFECYCLE-07-01</v>
      </c>
      <c r="B38" s="2" t="str">
        <f>IF('03_Functionalities'!B38="","",'03_Functionalities'!B38)</f>
        <v>FT-LIFECYCLE-07</v>
      </c>
      <c r="C38" s="2" t="str">
        <f>IF('03_Functionalities'!C38="","",'03_Functionalities'!C38)</f>
        <v>PC-LIFECYCLE</v>
      </c>
      <c r="D38" s="2" t="e">
        <f ca="1">IF(C38="","",_xludf.XLOOKUP(C38,'01_Products'!A:A,'01_Products'!B:B,"Missing Product"))</f>
        <v>#NAME?</v>
      </c>
      <c r="E38" s="2" t="e">
        <f ca="1">IF(C38="","",_xludf.XLOOKUP(C38,'01_Products'!A:A,'01_Products'!C:C,"Missing Type"))</f>
        <v>#NAME?</v>
      </c>
      <c r="F38" s="2" t="e">
        <f ca="1">IF(B38="","",_xludf.XLOOKUP(B38,'02_Features'!A:A,'02_Features'!C:C,"Missing Feature"))</f>
        <v>#NAME?</v>
      </c>
      <c r="G38" s="2" t="e">
        <f ca="1">IF(B38="","",_xludf.XLOOKUP(B38,'02_Features'!A:A,'02_Features'!E:E,"Missing Prompt"))</f>
        <v>#NAME?</v>
      </c>
      <c r="H38" s="2" t="str">
        <f>IF('03_Functionalities'!D38="","",'03_Functionalities'!D38)</f>
        <v>Certificate lifecycle operations</v>
      </c>
      <c r="I38" s="2" t="str">
        <f>IF('03_Functionalities'!E38="","",'03_Functionalities'!E38)</f>
        <v>Major functionality for certificate lifecycle operations.</v>
      </c>
      <c r="J38" s="2" t="str">
        <f>IF('03_Functionalities'!F38="","",'03_Functionalities'!F38)</f>
        <v>Includes major assessment behavior for certificate lifecycle operations in the context of certificate and password lifecycle.</v>
      </c>
      <c r="K38" s="2" t="str">
        <f>IF('03_Functionalities'!G38="","",'03_Functionalities'!G38)</f>
        <v>Excludes low-level configuration toggles, cosmetic UI behavior, and implementation-specific inventory minutiae unless they materially affect parity or risk.</v>
      </c>
      <c r="L38" s="2" t="str">
        <f>IF('03_Functionalities'!I38="","",'03_Functionalities'!I38)</f>
        <v>Security</v>
      </c>
      <c r="M38" s="2" t="str">
        <f>IF('03_Functionalities'!J38="","",'03_Functionalities'!J38)</f>
        <v>Credential Lifecycle</v>
      </c>
      <c r="N38" s="2" t="str">
        <f>IF('03_Functionalities'!K38="","",'03_Functionalities'!K38)</f>
        <v>High</v>
      </c>
      <c r="O38" s="2" t="str">
        <f>IF('03_Functionalities'!L38="","",'03_Functionalities'!L38)</f>
        <v>High</v>
      </c>
      <c r="P38" s="2" t="str">
        <f>IF('03_Functionalities'!M38="","",'03_Functionalities'!M38)</f>
        <v>Official vendor documentation, release notes, validated KB/article, product guide, or architecture reference with version applicability.</v>
      </c>
      <c r="Q38" s="2" t="str">
        <f>IF('03_Functionalities'!N38="","",'03_Functionalities'!N38)</f>
        <v>VCF 9.1 Certificate and password lifecycle Certificate lifecycle operations comparator parity evidence</v>
      </c>
      <c r="R38" s="2" t="str">
        <f>IF('03_Functionalities'!O38="","",'03_Functionalities'!O38)</f>
        <v>Yes</v>
      </c>
      <c r="S38" s="2" t="e">
        <f ca="1">IF(C38="","",_xludf.XLOOKUP(C38,'01_Products'!A:A,'01_Products'!K:K,0))</f>
        <v>#NAME?</v>
      </c>
      <c r="T38" s="2" t="e">
        <f ca="1">IF(B38="","",_xludf.XLOOKUP(B38,'02_Features'!A:A,'02_Features'!L:L,0))</f>
        <v>#NAME?</v>
      </c>
      <c r="U38" s="2">
        <f>IF('03_Functionalities'!P38="","",'03_Functionalities'!P38)</f>
        <v>1</v>
      </c>
      <c r="V38" s="2" t="str">
        <f>IF('03_Functionalities'!Q38="","",'03_Functionalities'!Q38)</f>
        <v>Draft</v>
      </c>
      <c r="W38" s="2" t="str">
        <f>IF('03_Functionalities'!R38="","",'03_Functionalities'!R38)</f>
        <v>https://techdocs.broadcom.com/us/en/vmware-cis/vcf/vcf-9-0-and-later/9-1/release-notes/vmware-cloud-foundation-9-1-0-0-release-notes/what-s-new/whats-new-vcf-ops.html</v>
      </c>
      <c r="X38" s="2" t="str">
        <f>IF('03_Functionalities'!S38="","",'03_Functionalities'!S38)</f>
        <v>High</v>
      </c>
    </row>
    <row r="39" spans="1:24" ht="71.25">
      <c r="A39" s="2" t="str">
        <f>IF('03_Functionalities'!A39="","",'03_Functionalities'!A39)</f>
        <v>FN-LIFECYCLE-07-02</v>
      </c>
      <c r="B39" s="2" t="str">
        <f>IF('03_Functionalities'!B39="","",'03_Functionalities'!B39)</f>
        <v>FT-LIFECYCLE-07</v>
      </c>
      <c r="C39" s="2" t="str">
        <f>IF('03_Functionalities'!C39="","",'03_Functionalities'!C39)</f>
        <v>PC-LIFECYCLE</v>
      </c>
      <c r="D39" s="2" t="e">
        <f ca="1">IF(C39="","",_xludf.XLOOKUP(C39,'01_Products'!A:A,'01_Products'!B:B,"Missing Product"))</f>
        <v>#NAME?</v>
      </c>
      <c r="E39" s="2" t="e">
        <f ca="1">IF(C39="","",_xludf.XLOOKUP(C39,'01_Products'!A:A,'01_Products'!C:C,"Missing Type"))</f>
        <v>#NAME?</v>
      </c>
      <c r="F39" s="2" t="e">
        <f ca="1">IF(B39="","",_xludf.XLOOKUP(B39,'02_Features'!A:A,'02_Features'!C:C,"Missing Feature"))</f>
        <v>#NAME?</v>
      </c>
      <c r="G39" s="2" t="e">
        <f ca="1">IF(B39="","",_xludf.XLOOKUP(B39,'02_Features'!A:A,'02_Features'!E:E,"Missing Prompt"))</f>
        <v>#NAME?</v>
      </c>
      <c r="H39" s="2" t="str">
        <f>IF('03_Functionalities'!D39="","",'03_Functionalities'!D39)</f>
        <v>Password lifecycle operations</v>
      </c>
      <c r="I39" s="2" t="str">
        <f>IF('03_Functionalities'!E39="","",'03_Functionalities'!E39)</f>
        <v>Major functionality for password lifecycle operations.</v>
      </c>
      <c r="J39" s="2" t="str">
        <f>IF('03_Functionalities'!F39="","",'03_Functionalities'!F39)</f>
        <v>Includes major assessment behavior for password lifecycle operations in the context of certificate and password lifecycle.</v>
      </c>
      <c r="K39" s="2" t="str">
        <f>IF('03_Functionalities'!G39="","",'03_Functionalities'!G39)</f>
        <v>Excludes low-level configuration toggles, cosmetic UI behavior, and implementation-specific inventory minutiae unless they materially affect parity or risk.</v>
      </c>
      <c r="L39" s="2" t="str">
        <f>IF('03_Functionalities'!I39="","",'03_Functionalities'!I39)</f>
        <v>Security</v>
      </c>
      <c r="M39" s="2" t="str">
        <f>IF('03_Functionalities'!J39="","",'03_Functionalities'!J39)</f>
        <v>Credential Lifecycle</v>
      </c>
      <c r="N39" s="2" t="str">
        <f>IF('03_Functionalities'!K39="","",'03_Functionalities'!K39)</f>
        <v>High</v>
      </c>
      <c r="O39" s="2" t="str">
        <f>IF('03_Functionalities'!L39="","",'03_Functionalities'!L39)</f>
        <v>High</v>
      </c>
      <c r="P39" s="2" t="str">
        <f>IF('03_Functionalities'!M39="","",'03_Functionalities'!M39)</f>
        <v>Official vendor documentation, release notes, validated KB/article, product guide, or architecture reference with version applicability.</v>
      </c>
      <c r="Q39" s="2" t="str">
        <f>IF('03_Functionalities'!N39="","",'03_Functionalities'!N39)</f>
        <v>VCF 9.1 Certificate and password lifecycle Password lifecycle operations comparator parity evidence</v>
      </c>
      <c r="R39" s="2" t="str">
        <f>IF('03_Functionalities'!O39="","",'03_Functionalities'!O39)</f>
        <v>Yes</v>
      </c>
      <c r="S39" s="2" t="e">
        <f ca="1">IF(C39="","",_xludf.XLOOKUP(C39,'01_Products'!A:A,'01_Products'!K:K,0))</f>
        <v>#NAME?</v>
      </c>
      <c r="T39" s="2" t="e">
        <f ca="1">IF(B39="","",_xludf.XLOOKUP(B39,'02_Features'!A:A,'02_Features'!L:L,0))</f>
        <v>#NAME?</v>
      </c>
      <c r="U39" s="2">
        <f>IF('03_Functionalities'!P39="","",'03_Functionalities'!P39)</f>
        <v>2</v>
      </c>
      <c r="V39" s="2" t="str">
        <f>IF('03_Functionalities'!Q39="","",'03_Functionalities'!Q39)</f>
        <v>Draft</v>
      </c>
      <c r="W39" s="2" t="str">
        <f>IF('03_Functionalities'!R39="","",'03_Functionalities'!R39)</f>
        <v>https://techdocs.broadcom.com/us/en/vmware-cis/vcf/vcf-9-0-and-later/9-1/release-notes/vmware-cloud-foundation-9-1-0-0-release-notes/what-s-new/whats-new-vcf-ops.html</v>
      </c>
      <c r="X39" s="2" t="str">
        <f>IF('03_Functionalities'!S39="","",'03_Functionalities'!S39)</f>
        <v>High</v>
      </c>
    </row>
    <row r="40" spans="1:24" ht="71.25">
      <c r="A40" s="2" t="str">
        <f>IF('03_Functionalities'!A40="","",'03_Functionalities'!A40)</f>
        <v>FN-LIFECYCLE-07-03</v>
      </c>
      <c r="B40" s="2" t="str">
        <f>IF('03_Functionalities'!B40="","",'03_Functionalities'!B40)</f>
        <v>FT-LIFECYCLE-07</v>
      </c>
      <c r="C40" s="2" t="str">
        <f>IF('03_Functionalities'!C40="","",'03_Functionalities'!C40)</f>
        <v>PC-LIFECYCLE</v>
      </c>
      <c r="D40" s="2" t="e">
        <f ca="1">IF(C40="","",_xludf.XLOOKUP(C40,'01_Products'!A:A,'01_Products'!B:B,"Missing Product"))</f>
        <v>#NAME?</v>
      </c>
      <c r="E40" s="2" t="e">
        <f ca="1">IF(C40="","",_xludf.XLOOKUP(C40,'01_Products'!A:A,'01_Products'!C:C,"Missing Type"))</f>
        <v>#NAME?</v>
      </c>
      <c r="F40" s="2" t="e">
        <f ca="1">IF(B40="","",_xludf.XLOOKUP(B40,'02_Features'!A:A,'02_Features'!C:C,"Missing Feature"))</f>
        <v>#NAME?</v>
      </c>
      <c r="G40" s="2" t="e">
        <f ca="1">IF(B40="","",_xludf.XLOOKUP(B40,'02_Features'!A:A,'02_Features'!E:E,"Missing Prompt"))</f>
        <v>#NAME?</v>
      </c>
      <c r="H40" s="2" t="str">
        <f>IF('03_Functionalities'!D40="","",'03_Functionalities'!D40)</f>
        <v>Credential trust and rotation evidence</v>
      </c>
      <c r="I40" s="2" t="str">
        <f>IF('03_Functionalities'!E40="","",'03_Functionalities'!E40)</f>
        <v>Major functionality for credential trust and rotation evidence.</v>
      </c>
      <c r="J40" s="2" t="str">
        <f>IF('03_Functionalities'!F40="","",'03_Functionalities'!F40)</f>
        <v>Includes major assessment behavior for credential trust and rotation evidence in the context of certificate and password lifecycle.</v>
      </c>
      <c r="K40" s="2" t="str">
        <f>IF('03_Functionalities'!G40="","",'03_Functionalities'!G40)</f>
        <v>Excludes low-level configuration toggles, cosmetic UI behavior, and implementation-specific inventory minutiae unless they materially affect parity or risk.</v>
      </c>
      <c r="L40" s="2" t="str">
        <f>IF('03_Functionalities'!I40="","",'03_Functionalities'!I40)</f>
        <v>Security</v>
      </c>
      <c r="M40" s="2" t="str">
        <f>IF('03_Functionalities'!J40="","",'03_Functionalities'!J40)</f>
        <v>Credential Lifecycle</v>
      </c>
      <c r="N40" s="2" t="str">
        <f>IF('03_Functionalities'!K40="","",'03_Functionalities'!K40)</f>
        <v>High</v>
      </c>
      <c r="O40" s="2" t="str">
        <f>IF('03_Functionalities'!L40="","",'03_Functionalities'!L40)</f>
        <v>High</v>
      </c>
      <c r="P40" s="2" t="str">
        <f>IF('03_Functionalities'!M40="","",'03_Functionalities'!M40)</f>
        <v>Official vendor documentation, release notes, validated KB/article, product guide, or architecture reference with version applicability.</v>
      </c>
      <c r="Q40" s="2" t="str">
        <f>IF('03_Functionalities'!N40="","",'03_Functionalities'!N40)</f>
        <v>VCF 9.1 Certificate and password lifecycle Credential trust and rotation evidence comparator parity evidence</v>
      </c>
      <c r="R40" s="2" t="str">
        <f>IF('03_Functionalities'!O40="","",'03_Functionalities'!O40)</f>
        <v>Yes</v>
      </c>
      <c r="S40" s="2" t="e">
        <f ca="1">IF(C40="","",_xludf.XLOOKUP(C40,'01_Products'!A:A,'01_Products'!K:K,0))</f>
        <v>#NAME?</v>
      </c>
      <c r="T40" s="2" t="e">
        <f ca="1">IF(B40="","",_xludf.XLOOKUP(B40,'02_Features'!A:A,'02_Features'!L:L,0))</f>
        <v>#NAME?</v>
      </c>
      <c r="U40" s="2">
        <f>IF('03_Functionalities'!P40="","",'03_Functionalities'!P40)</f>
        <v>3</v>
      </c>
      <c r="V40" s="2" t="str">
        <f>IF('03_Functionalities'!Q40="","",'03_Functionalities'!Q40)</f>
        <v>Draft</v>
      </c>
      <c r="W40" s="2" t="str">
        <f>IF('03_Functionalities'!R40="","",'03_Functionalities'!R40)</f>
        <v>https://techdocs.broadcom.com/us/en/vmware-cis/vcf/vcf-9-0-and-later/9-1/release-notes/vmware-cloud-foundation-9-1-0-0-release-notes/what-s-new/whats-new-vcf-ops.html</v>
      </c>
      <c r="X40" s="2" t="str">
        <f>IF('03_Functionalities'!S40="","",'03_Functionalities'!S40)</f>
        <v>High</v>
      </c>
    </row>
    <row r="41" spans="1:24" ht="71.25">
      <c r="A41" s="2" t="str">
        <f>IF('03_Functionalities'!A41="","",'03_Functionalities'!A41)</f>
        <v>FN-LIFECYCLE-08-01</v>
      </c>
      <c r="B41" s="2" t="str">
        <f>IF('03_Functionalities'!B41="","",'03_Functionalities'!B41)</f>
        <v>FT-LIFECYCLE-08</v>
      </c>
      <c r="C41" s="2" t="str">
        <f>IF('03_Functionalities'!C41="","",'03_Functionalities'!C41)</f>
        <v>PC-LIFECYCLE</v>
      </c>
      <c r="D41" s="2" t="e">
        <f ca="1">IF(C41="","",_xludf.XLOOKUP(C41,'01_Products'!A:A,'01_Products'!B:B,"Missing Product"))</f>
        <v>#NAME?</v>
      </c>
      <c r="E41" s="2" t="e">
        <f ca="1">IF(C41="","",_xludf.XLOOKUP(C41,'01_Products'!A:A,'01_Products'!C:C,"Missing Type"))</f>
        <v>#NAME?</v>
      </c>
      <c r="F41" s="2" t="e">
        <f ca="1">IF(B41="","",_xludf.XLOOKUP(B41,'02_Features'!A:A,'02_Features'!C:C,"Missing Feature"))</f>
        <v>#NAME?</v>
      </c>
      <c r="G41" s="2" t="e">
        <f ca="1">IF(B41="","",_xludf.XLOOKUP(B41,'02_Features'!A:A,'02_Features'!E:E,"Missing Prompt"))</f>
        <v>#NAME?</v>
      </c>
      <c r="H41" s="2" t="str">
        <f>IF('03_Functionalities'!D41="","",'03_Functionalities'!D41)</f>
        <v>SDDC Manager API lifecycle operations</v>
      </c>
      <c r="I41" s="2" t="str">
        <f>IF('03_Functionalities'!E41="","",'03_Functionalities'!E41)</f>
        <v>Major functionality for sddc manager api lifecycle operations.</v>
      </c>
      <c r="J41" s="2" t="str">
        <f>IF('03_Functionalities'!F41="","",'03_Functionalities'!F41)</f>
        <v>Includes major assessment behavior for sddc manager api lifecycle operations in the context of api and cli lifecycle automation.</v>
      </c>
      <c r="K41" s="2" t="str">
        <f>IF('03_Functionalities'!G41="","",'03_Functionalities'!G41)</f>
        <v>Excludes low-level configuration toggles, cosmetic UI behavior, and implementation-specific inventory minutiae unless they materially affect parity or risk.</v>
      </c>
      <c r="L41" s="2" t="str">
        <f>IF('03_Functionalities'!I41="","",'03_Functionalities'!I41)</f>
        <v>Automation</v>
      </c>
      <c r="M41" s="2" t="str">
        <f>IF('03_Functionalities'!J41="","",'03_Functionalities'!J41)</f>
        <v>Lifecycle API</v>
      </c>
      <c r="N41" s="2" t="str">
        <f>IF('03_Functionalities'!K41="","",'03_Functionalities'!K41)</f>
        <v>Medium</v>
      </c>
      <c r="O41" s="2" t="str">
        <f>IF('03_Functionalities'!L41="","",'03_Functionalities'!L41)</f>
        <v>Medium</v>
      </c>
      <c r="P41" s="2" t="str">
        <f>IF('03_Functionalities'!M41="","",'03_Functionalities'!M41)</f>
        <v>Official vendor documentation, release notes, validated KB/article, product guide, or architecture reference with version applicability.</v>
      </c>
      <c r="Q41" s="2" t="str">
        <f>IF('03_Functionalities'!N41="","",'03_Functionalities'!N41)</f>
        <v>VCF 9.1 API and CLI lifecycle automation SDDC Manager API lifecycle operations comparator parity evidence</v>
      </c>
      <c r="R41" s="2" t="str">
        <f>IF('03_Functionalities'!O41="","",'03_Functionalities'!O41)</f>
        <v>Yes</v>
      </c>
      <c r="S41" s="2" t="e">
        <f ca="1">IF(C41="","",_xludf.XLOOKUP(C41,'01_Products'!A:A,'01_Products'!K:K,0))</f>
        <v>#NAME?</v>
      </c>
      <c r="T41" s="2" t="e">
        <f ca="1">IF(B41="","",_xludf.XLOOKUP(B41,'02_Features'!A:A,'02_Features'!L:L,0))</f>
        <v>#NAME?</v>
      </c>
      <c r="U41" s="2">
        <f>IF('03_Functionalities'!P41="","",'03_Functionalities'!P41)</f>
        <v>1</v>
      </c>
      <c r="V41" s="2" t="str">
        <f>IF('03_Functionalities'!Q41="","",'03_Functionalities'!Q41)</f>
        <v>Draft</v>
      </c>
      <c r="W41" s="2" t="str">
        <f>IF('03_Functionalities'!R41="","",'03_Functionalities'!R41)</f>
        <v>https://techdocs.broadcom.com/us/en/vmware-cis/vcf/vcf-9-0-and-later/9-1/release-notes/vmware-cloud-foundation-9-1-0-0-release-notes/what-s-new/whats-new-vcf-cli-api-sdk/vcf-changelog.html</v>
      </c>
      <c r="X41" s="2" t="str">
        <f>IF('03_Functionalities'!S41="","",'03_Functionalities'!S41)</f>
        <v>High</v>
      </c>
    </row>
    <row r="42" spans="1:24" ht="71.25">
      <c r="A42" s="2" t="str">
        <f>IF('03_Functionalities'!A42="","",'03_Functionalities'!A42)</f>
        <v>FN-LIFECYCLE-08-02</v>
      </c>
      <c r="B42" s="2" t="str">
        <f>IF('03_Functionalities'!B42="","",'03_Functionalities'!B42)</f>
        <v>FT-LIFECYCLE-08</v>
      </c>
      <c r="C42" s="2" t="str">
        <f>IF('03_Functionalities'!C42="","",'03_Functionalities'!C42)</f>
        <v>PC-LIFECYCLE</v>
      </c>
      <c r="D42" s="2" t="e">
        <f ca="1">IF(C42="","",_xludf.XLOOKUP(C42,'01_Products'!A:A,'01_Products'!B:B,"Missing Product"))</f>
        <v>#NAME?</v>
      </c>
      <c r="E42" s="2" t="e">
        <f ca="1">IF(C42="","",_xludf.XLOOKUP(C42,'01_Products'!A:A,'01_Products'!C:C,"Missing Type"))</f>
        <v>#NAME?</v>
      </c>
      <c r="F42" s="2" t="e">
        <f ca="1">IF(B42="","",_xludf.XLOOKUP(B42,'02_Features'!A:A,'02_Features'!C:C,"Missing Feature"))</f>
        <v>#NAME?</v>
      </c>
      <c r="G42" s="2" t="e">
        <f ca="1">IF(B42="","",_xludf.XLOOKUP(B42,'02_Features'!A:A,'02_Features'!E:E,"Missing Prompt"))</f>
        <v>#NAME?</v>
      </c>
      <c r="H42" s="2" t="str">
        <f>IF('03_Functionalities'!D42="","",'03_Functionalities'!D42)</f>
        <v>VCF Installer API operations</v>
      </c>
      <c r="I42" s="2" t="str">
        <f>IF('03_Functionalities'!E42="","",'03_Functionalities'!E42)</f>
        <v>Major functionality for vcf installer api operations.</v>
      </c>
      <c r="J42" s="2" t="str">
        <f>IF('03_Functionalities'!F42="","",'03_Functionalities'!F42)</f>
        <v>Includes major assessment behavior for vcf installer api operations in the context of api and cli lifecycle automation.</v>
      </c>
      <c r="K42" s="2" t="str">
        <f>IF('03_Functionalities'!G42="","",'03_Functionalities'!G42)</f>
        <v>Excludes low-level configuration toggles, cosmetic UI behavior, and implementation-specific inventory minutiae unless they materially affect parity or risk.</v>
      </c>
      <c r="L42" s="2" t="str">
        <f>IF('03_Functionalities'!I42="","",'03_Functionalities'!I42)</f>
        <v>Automation</v>
      </c>
      <c r="M42" s="2" t="str">
        <f>IF('03_Functionalities'!J42="","",'03_Functionalities'!J42)</f>
        <v>Lifecycle API</v>
      </c>
      <c r="N42" s="2" t="str">
        <f>IF('03_Functionalities'!K42="","",'03_Functionalities'!K42)</f>
        <v>Medium</v>
      </c>
      <c r="O42" s="2" t="str">
        <f>IF('03_Functionalities'!L42="","",'03_Functionalities'!L42)</f>
        <v>Medium</v>
      </c>
      <c r="P42" s="2" t="str">
        <f>IF('03_Functionalities'!M42="","",'03_Functionalities'!M42)</f>
        <v>Official vendor documentation, release notes, validated KB/article, product guide, or architecture reference with version applicability.</v>
      </c>
      <c r="Q42" s="2" t="str">
        <f>IF('03_Functionalities'!N42="","",'03_Functionalities'!N42)</f>
        <v>VCF 9.1 API and CLI lifecycle automation VCF Installer API operations comparator parity evidence</v>
      </c>
      <c r="R42" s="2" t="str">
        <f>IF('03_Functionalities'!O42="","",'03_Functionalities'!O42)</f>
        <v>Yes</v>
      </c>
      <c r="S42" s="2" t="e">
        <f ca="1">IF(C42="","",_xludf.XLOOKUP(C42,'01_Products'!A:A,'01_Products'!K:K,0))</f>
        <v>#NAME?</v>
      </c>
      <c r="T42" s="2" t="e">
        <f ca="1">IF(B42="","",_xludf.XLOOKUP(B42,'02_Features'!A:A,'02_Features'!L:L,0))</f>
        <v>#NAME?</v>
      </c>
      <c r="U42" s="2">
        <f>IF('03_Functionalities'!P42="","",'03_Functionalities'!P42)</f>
        <v>2</v>
      </c>
      <c r="V42" s="2" t="str">
        <f>IF('03_Functionalities'!Q42="","",'03_Functionalities'!Q42)</f>
        <v>Draft</v>
      </c>
      <c r="W42" s="2" t="str">
        <f>IF('03_Functionalities'!R42="","",'03_Functionalities'!R42)</f>
        <v>https://techdocs.broadcom.com/us/en/vmware-cis/vcf/vcf-9-0-and-later/9-1/release-notes/vmware-cloud-foundation-9-1-0-0-release-notes/what-s-new/whats-new-vcf-cli-api-sdk/vcf-changelog.html</v>
      </c>
      <c r="X42" s="2" t="str">
        <f>IF('03_Functionalities'!S42="","",'03_Functionalities'!S42)</f>
        <v>High</v>
      </c>
    </row>
    <row r="43" spans="1:24" ht="71.25">
      <c r="A43" s="2" t="str">
        <f>IF('03_Functionalities'!A43="","",'03_Functionalities'!A43)</f>
        <v>FN-LIFECYCLE-08-03</v>
      </c>
      <c r="B43" s="2" t="str">
        <f>IF('03_Functionalities'!B43="","",'03_Functionalities'!B43)</f>
        <v>FT-LIFECYCLE-08</v>
      </c>
      <c r="C43" s="2" t="str">
        <f>IF('03_Functionalities'!C43="","",'03_Functionalities'!C43)</f>
        <v>PC-LIFECYCLE</v>
      </c>
      <c r="D43" s="2" t="e">
        <f ca="1">IF(C43="","",_xludf.XLOOKUP(C43,'01_Products'!A:A,'01_Products'!B:B,"Missing Product"))</f>
        <v>#NAME?</v>
      </c>
      <c r="E43" s="2" t="e">
        <f ca="1">IF(C43="","",_xludf.XLOOKUP(C43,'01_Products'!A:A,'01_Products'!C:C,"Missing Type"))</f>
        <v>#NAME?</v>
      </c>
      <c r="F43" s="2" t="e">
        <f ca="1">IF(B43="","",_xludf.XLOOKUP(B43,'02_Features'!A:A,'02_Features'!C:C,"Missing Feature"))</f>
        <v>#NAME?</v>
      </c>
      <c r="G43" s="2" t="e">
        <f ca="1">IF(B43="","",_xludf.XLOOKUP(B43,'02_Features'!A:A,'02_Features'!E:E,"Missing Prompt"))</f>
        <v>#NAME?</v>
      </c>
      <c r="H43" s="2" t="str">
        <f>IF('03_Functionalities'!D43="","",'03_Functionalities'!D43)</f>
        <v>Lifecycle CLI and scripted workflows</v>
      </c>
      <c r="I43" s="2" t="str">
        <f>IF('03_Functionalities'!E43="","",'03_Functionalities'!E43)</f>
        <v>Major functionality for lifecycle cli and scripted workflows.</v>
      </c>
      <c r="J43" s="2" t="str">
        <f>IF('03_Functionalities'!F43="","",'03_Functionalities'!F43)</f>
        <v>Includes major assessment behavior for lifecycle cli and scripted workflows in the context of api and cli lifecycle automation.</v>
      </c>
      <c r="K43" s="2" t="str">
        <f>IF('03_Functionalities'!G43="","",'03_Functionalities'!G43)</f>
        <v>Excludes low-level configuration toggles, cosmetic UI behavior, and implementation-specific inventory minutiae unless they materially affect parity or risk.</v>
      </c>
      <c r="L43" s="2" t="str">
        <f>IF('03_Functionalities'!I43="","",'03_Functionalities'!I43)</f>
        <v>Automation</v>
      </c>
      <c r="M43" s="2" t="str">
        <f>IF('03_Functionalities'!J43="","",'03_Functionalities'!J43)</f>
        <v>Lifecycle API</v>
      </c>
      <c r="N43" s="2" t="str">
        <f>IF('03_Functionalities'!K43="","",'03_Functionalities'!K43)</f>
        <v>Medium</v>
      </c>
      <c r="O43" s="2" t="str">
        <f>IF('03_Functionalities'!L43="","",'03_Functionalities'!L43)</f>
        <v>Medium</v>
      </c>
      <c r="P43" s="2" t="str">
        <f>IF('03_Functionalities'!M43="","",'03_Functionalities'!M43)</f>
        <v>Official vendor documentation, release notes, validated KB/article, product guide, or architecture reference with version applicability.</v>
      </c>
      <c r="Q43" s="2" t="str">
        <f>IF('03_Functionalities'!N43="","",'03_Functionalities'!N43)</f>
        <v>VCF 9.1 API and CLI lifecycle automation Lifecycle CLI and scripted workflows comparator parity evidence</v>
      </c>
      <c r="R43" s="2" t="str">
        <f>IF('03_Functionalities'!O43="","",'03_Functionalities'!O43)</f>
        <v>Yes</v>
      </c>
      <c r="S43" s="2" t="e">
        <f ca="1">IF(C43="","",_xludf.XLOOKUP(C43,'01_Products'!A:A,'01_Products'!K:K,0))</f>
        <v>#NAME?</v>
      </c>
      <c r="T43" s="2" t="e">
        <f ca="1">IF(B43="","",_xludf.XLOOKUP(B43,'02_Features'!A:A,'02_Features'!L:L,0))</f>
        <v>#NAME?</v>
      </c>
      <c r="U43" s="2">
        <f>IF('03_Functionalities'!P43="","",'03_Functionalities'!P43)</f>
        <v>3</v>
      </c>
      <c r="V43" s="2" t="str">
        <f>IF('03_Functionalities'!Q43="","",'03_Functionalities'!Q43)</f>
        <v>Draft</v>
      </c>
      <c r="W43" s="2" t="str">
        <f>IF('03_Functionalities'!R43="","",'03_Functionalities'!R43)</f>
        <v>https://techdocs.broadcom.com/us/en/vmware-cis/vcf/vcf-9-0-and-later/9-1/release-notes/vmware-cloud-foundation-9-1-0-0-release-notes/what-s-new/whats-new-vcf-cli-api-sdk/vcf-changelog.html</v>
      </c>
      <c r="X43" s="2" t="str">
        <f>IF('03_Functionalities'!S43="","",'03_Functionalities'!S43)</f>
        <v>High</v>
      </c>
    </row>
    <row r="44" spans="1:24" ht="71.25">
      <c r="A44" s="2" t="str">
        <f>IF('03_Functionalities'!A44="","",'03_Functionalities'!A44)</f>
        <v>FN-VSPHERE-01-01</v>
      </c>
      <c r="B44" s="2" t="str">
        <f>IF('03_Functionalities'!B44="","",'03_Functionalities'!B44)</f>
        <v>FT-VSPHERE-01</v>
      </c>
      <c r="C44" s="2" t="str">
        <f>IF('03_Functionalities'!C44="","",'03_Functionalities'!C44)</f>
        <v>PC-VSPHERE</v>
      </c>
      <c r="D44" s="2" t="e">
        <f ca="1">IF(C44="","",_xludf.XLOOKUP(C44,'01_Products'!A:A,'01_Products'!B:B,"Missing Product"))</f>
        <v>#NAME?</v>
      </c>
      <c r="E44" s="2" t="e">
        <f ca="1">IF(C44="","",_xludf.XLOOKUP(C44,'01_Products'!A:A,'01_Products'!C:C,"Missing Type"))</f>
        <v>#NAME?</v>
      </c>
      <c r="F44" s="2" t="e">
        <f ca="1">IF(B44="","",_xludf.XLOOKUP(B44,'02_Features'!A:A,'02_Features'!C:C,"Missing Feature"))</f>
        <v>#NAME?</v>
      </c>
      <c r="G44" s="2" t="e">
        <f ca="1">IF(B44="","",_xludf.XLOOKUP(B44,'02_Features'!A:A,'02_Features'!E:E,"Missing Prompt"))</f>
        <v>#NAME?</v>
      </c>
      <c r="H44" s="2" t="str">
        <f>IF('03_Functionalities'!D44="","",'03_Functionalities'!D44)</f>
        <v>vCenter object inventory hierarchy</v>
      </c>
      <c r="I44" s="2" t="str">
        <f>IF('03_Functionalities'!E44="","",'03_Functionalities'!E44)</f>
        <v>Major functionality for vcenter object inventory hierarchy.</v>
      </c>
      <c r="J44" s="2" t="str">
        <f>IF('03_Functionalities'!F44="","",'03_Functionalities'!F44)</f>
        <v>Includes major assessment behavior for vcenter object inventory hierarchy in the context of vcenter inventory and object management.</v>
      </c>
      <c r="K44" s="2" t="str">
        <f>IF('03_Functionalities'!G44="","",'03_Functionalities'!G44)</f>
        <v>Excludes low-level configuration toggles, cosmetic UI behavior, and implementation-specific inventory minutiae unless they materially affect parity or risk.</v>
      </c>
      <c r="L44" s="2" t="str">
        <f>IF('03_Functionalities'!I44="","",'03_Functionalities'!I44)</f>
        <v>Compute</v>
      </c>
      <c r="M44" s="2" t="str">
        <f>IF('03_Functionalities'!J44="","",'03_Functionalities'!J44)</f>
        <v>Management Plane</v>
      </c>
      <c r="N44" s="2" t="str">
        <f>IF('03_Functionalities'!K44="","",'03_Functionalities'!K44)</f>
        <v>High</v>
      </c>
      <c r="O44" s="2" t="str">
        <f>IF('03_Functionalities'!L44="","",'03_Functionalities'!L44)</f>
        <v>Medium</v>
      </c>
      <c r="P44" s="2" t="str">
        <f>IF('03_Functionalities'!M44="","",'03_Functionalities'!M44)</f>
        <v>Official vendor documentation, release notes, validated KB/article, product guide, or architecture reference with version applicability.</v>
      </c>
      <c r="Q44" s="2" t="str">
        <f>IF('03_Functionalities'!N44="","",'03_Functionalities'!N44)</f>
        <v>VCF 9.1 vCenter inventory and object management vCenter object inventory hierarchy comparator parity evidence</v>
      </c>
      <c r="R44" s="2" t="str">
        <f>IF('03_Functionalities'!O44="","",'03_Functionalities'!O44)</f>
        <v>Yes</v>
      </c>
      <c r="S44" s="2" t="e">
        <f ca="1">IF(C44="","",_xludf.XLOOKUP(C44,'01_Products'!A:A,'01_Products'!K:K,0))</f>
        <v>#NAME?</v>
      </c>
      <c r="T44" s="2" t="e">
        <f ca="1">IF(B44="","",_xludf.XLOOKUP(B44,'02_Features'!A:A,'02_Features'!L:L,0))</f>
        <v>#NAME?</v>
      </c>
      <c r="U44" s="2">
        <f>IF('03_Functionalities'!P44="","",'03_Functionalities'!P44)</f>
        <v>1</v>
      </c>
      <c r="V44" s="2" t="str">
        <f>IF('03_Functionalities'!Q44="","",'03_Functionalities'!Q44)</f>
        <v>Draft</v>
      </c>
      <c r="W44" s="2" t="str">
        <f>IF('03_Functionalities'!R44="","",'03_Functionalities'!R44)</f>
        <v>https://techdocs.broadcom.com/us/en/vmware-cis/vcf/vcf-9-0-and-later/9-1/release-notes/vmware-cloud-foundation-9-1-0-0-release-notes/vmware-cloud-foundation-bill-of-materials.html</v>
      </c>
      <c r="X44" s="2" t="str">
        <f>IF('03_Functionalities'!S44="","",'03_Functionalities'!S44)</f>
        <v>High</v>
      </c>
    </row>
    <row r="45" spans="1:24" ht="71.25">
      <c r="A45" s="2" t="str">
        <f>IF('03_Functionalities'!A45="","",'03_Functionalities'!A45)</f>
        <v>FN-VSPHERE-01-02</v>
      </c>
      <c r="B45" s="2" t="str">
        <f>IF('03_Functionalities'!B45="","",'03_Functionalities'!B45)</f>
        <v>FT-VSPHERE-01</v>
      </c>
      <c r="C45" s="2" t="str">
        <f>IF('03_Functionalities'!C45="","",'03_Functionalities'!C45)</f>
        <v>PC-VSPHERE</v>
      </c>
      <c r="D45" s="2" t="e">
        <f ca="1">IF(C45="","",_xludf.XLOOKUP(C45,'01_Products'!A:A,'01_Products'!B:B,"Missing Product"))</f>
        <v>#NAME?</v>
      </c>
      <c r="E45" s="2" t="e">
        <f ca="1">IF(C45="","",_xludf.XLOOKUP(C45,'01_Products'!A:A,'01_Products'!C:C,"Missing Type"))</f>
        <v>#NAME?</v>
      </c>
      <c r="F45" s="2" t="e">
        <f ca="1">IF(B45="","",_xludf.XLOOKUP(B45,'02_Features'!A:A,'02_Features'!C:C,"Missing Feature"))</f>
        <v>#NAME?</v>
      </c>
      <c r="G45" s="2" t="e">
        <f ca="1">IF(B45="","",_xludf.XLOOKUP(B45,'02_Features'!A:A,'02_Features'!E:E,"Missing Prompt"))</f>
        <v>#NAME?</v>
      </c>
      <c r="H45" s="2" t="str">
        <f>IF('03_Functionalities'!D45="","",'03_Functionalities'!D45)</f>
        <v>Datacenter/cluster/folder organization</v>
      </c>
      <c r="I45" s="2" t="str">
        <f>IF('03_Functionalities'!E45="","",'03_Functionalities'!E45)</f>
        <v>Major functionality for datacenter/cluster/folder organization.</v>
      </c>
      <c r="J45" s="2" t="str">
        <f>IF('03_Functionalities'!F45="","",'03_Functionalities'!F45)</f>
        <v>Includes major assessment behavior for datacenter/cluster/folder organization in the context of vcenter inventory and object management.</v>
      </c>
      <c r="K45" s="2" t="str">
        <f>IF('03_Functionalities'!G45="","",'03_Functionalities'!G45)</f>
        <v>Excludes low-level configuration toggles, cosmetic UI behavior, and implementation-specific inventory minutiae unless they materially affect parity or risk.</v>
      </c>
      <c r="L45" s="2" t="str">
        <f>IF('03_Functionalities'!I45="","",'03_Functionalities'!I45)</f>
        <v>Compute</v>
      </c>
      <c r="M45" s="2" t="str">
        <f>IF('03_Functionalities'!J45="","",'03_Functionalities'!J45)</f>
        <v>Management Plane</v>
      </c>
      <c r="N45" s="2" t="str">
        <f>IF('03_Functionalities'!K45="","",'03_Functionalities'!K45)</f>
        <v>High</v>
      </c>
      <c r="O45" s="2" t="str">
        <f>IF('03_Functionalities'!L45="","",'03_Functionalities'!L45)</f>
        <v>Medium</v>
      </c>
      <c r="P45" s="2" t="str">
        <f>IF('03_Functionalities'!M45="","",'03_Functionalities'!M45)</f>
        <v>Official vendor documentation, release notes, validated KB/article, product guide, or architecture reference with version applicability.</v>
      </c>
      <c r="Q45" s="2" t="str">
        <f>IF('03_Functionalities'!N45="","",'03_Functionalities'!N45)</f>
        <v>VCF 9.1 vCenter inventory and object management Datacenter/cluster/folder organization comparator parity evidence</v>
      </c>
      <c r="R45" s="2" t="str">
        <f>IF('03_Functionalities'!O45="","",'03_Functionalities'!O45)</f>
        <v>Yes</v>
      </c>
      <c r="S45" s="2" t="e">
        <f ca="1">IF(C45="","",_xludf.XLOOKUP(C45,'01_Products'!A:A,'01_Products'!K:K,0))</f>
        <v>#NAME?</v>
      </c>
      <c r="T45" s="2" t="e">
        <f ca="1">IF(B45="","",_xludf.XLOOKUP(B45,'02_Features'!A:A,'02_Features'!L:L,0))</f>
        <v>#NAME?</v>
      </c>
      <c r="U45" s="2">
        <f>IF('03_Functionalities'!P45="","",'03_Functionalities'!P45)</f>
        <v>2</v>
      </c>
      <c r="V45" s="2" t="str">
        <f>IF('03_Functionalities'!Q45="","",'03_Functionalities'!Q45)</f>
        <v>Draft</v>
      </c>
      <c r="W45" s="2" t="str">
        <f>IF('03_Functionalities'!R45="","",'03_Functionalities'!R45)</f>
        <v>https://techdocs.broadcom.com/us/en/vmware-cis/vcf/vcf-9-0-and-later/9-1/release-notes/vmware-cloud-foundation-9-1-0-0-release-notes/vmware-cloud-foundation-bill-of-materials.html</v>
      </c>
      <c r="X45" s="2" t="str">
        <f>IF('03_Functionalities'!S45="","",'03_Functionalities'!S45)</f>
        <v>High</v>
      </c>
    </row>
    <row r="46" spans="1:24" ht="71.25">
      <c r="A46" s="2" t="str">
        <f>IF('03_Functionalities'!A46="","",'03_Functionalities'!A46)</f>
        <v>FN-VSPHERE-01-03</v>
      </c>
      <c r="B46" s="2" t="str">
        <f>IF('03_Functionalities'!B46="","",'03_Functionalities'!B46)</f>
        <v>FT-VSPHERE-01</v>
      </c>
      <c r="C46" s="2" t="str">
        <f>IF('03_Functionalities'!C46="","",'03_Functionalities'!C46)</f>
        <v>PC-VSPHERE</v>
      </c>
      <c r="D46" s="2" t="e">
        <f ca="1">IF(C46="","",_xludf.XLOOKUP(C46,'01_Products'!A:A,'01_Products'!B:B,"Missing Product"))</f>
        <v>#NAME?</v>
      </c>
      <c r="E46" s="2" t="e">
        <f ca="1">IF(C46="","",_xludf.XLOOKUP(C46,'01_Products'!A:A,'01_Products'!C:C,"Missing Type"))</f>
        <v>#NAME?</v>
      </c>
      <c r="F46" s="2" t="e">
        <f ca="1">IF(B46="","",_xludf.XLOOKUP(B46,'02_Features'!A:A,'02_Features'!C:C,"Missing Feature"))</f>
        <v>#NAME?</v>
      </c>
      <c r="G46" s="2" t="e">
        <f ca="1">IF(B46="","",_xludf.XLOOKUP(B46,'02_Features'!A:A,'02_Features'!E:E,"Missing Prompt"))</f>
        <v>#NAME?</v>
      </c>
      <c r="H46" s="2" t="str">
        <f>IF('03_Functionalities'!D46="","",'03_Functionalities'!D46)</f>
        <v>Tagging and object metadata governance</v>
      </c>
      <c r="I46" s="2" t="str">
        <f>IF('03_Functionalities'!E46="","",'03_Functionalities'!E46)</f>
        <v>Major functionality for tagging and object metadata governance.</v>
      </c>
      <c r="J46" s="2" t="str">
        <f>IF('03_Functionalities'!F46="","",'03_Functionalities'!F46)</f>
        <v>Includes major assessment behavior for tagging and object metadata governance in the context of vcenter inventory and object management.</v>
      </c>
      <c r="K46" s="2" t="str">
        <f>IF('03_Functionalities'!G46="","",'03_Functionalities'!G46)</f>
        <v>Excludes low-level configuration toggles, cosmetic UI behavior, and implementation-specific inventory minutiae unless they materially affect parity or risk.</v>
      </c>
      <c r="L46" s="2" t="str">
        <f>IF('03_Functionalities'!I46="","",'03_Functionalities'!I46)</f>
        <v>Compute</v>
      </c>
      <c r="M46" s="2" t="str">
        <f>IF('03_Functionalities'!J46="","",'03_Functionalities'!J46)</f>
        <v>Management Plane</v>
      </c>
      <c r="N46" s="2" t="str">
        <f>IF('03_Functionalities'!K46="","",'03_Functionalities'!K46)</f>
        <v>High</v>
      </c>
      <c r="O46" s="2" t="str">
        <f>IF('03_Functionalities'!L46="","",'03_Functionalities'!L46)</f>
        <v>Medium</v>
      </c>
      <c r="P46" s="2" t="str">
        <f>IF('03_Functionalities'!M46="","",'03_Functionalities'!M46)</f>
        <v>Official vendor documentation, release notes, validated KB/article, product guide, or architecture reference with version applicability.</v>
      </c>
      <c r="Q46" s="2" t="str">
        <f>IF('03_Functionalities'!N46="","",'03_Functionalities'!N46)</f>
        <v>VCF 9.1 vCenter inventory and object management Tagging and object metadata governance comparator parity evidence</v>
      </c>
      <c r="R46" s="2" t="str">
        <f>IF('03_Functionalities'!O46="","",'03_Functionalities'!O46)</f>
        <v>Yes</v>
      </c>
      <c r="S46" s="2" t="e">
        <f ca="1">IF(C46="","",_xludf.XLOOKUP(C46,'01_Products'!A:A,'01_Products'!K:K,0))</f>
        <v>#NAME?</v>
      </c>
      <c r="T46" s="2" t="e">
        <f ca="1">IF(B46="","",_xludf.XLOOKUP(B46,'02_Features'!A:A,'02_Features'!L:L,0))</f>
        <v>#NAME?</v>
      </c>
      <c r="U46" s="2">
        <f>IF('03_Functionalities'!P46="","",'03_Functionalities'!P46)</f>
        <v>3</v>
      </c>
      <c r="V46" s="2" t="str">
        <f>IF('03_Functionalities'!Q46="","",'03_Functionalities'!Q46)</f>
        <v>Draft</v>
      </c>
      <c r="W46" s="2" t="str">
        <f>IF('03_Functionalities'!R46="","",'03_Functionalities'!R46)</f>
        <v>https://techdocs.broadcom.com/us/en/vmware-cis/vcf/vcf-9-0-and-later/9-1/release-notes/vmware-cloud-foundation-9-1-0-0-release-notes/vmware-cloud-foundation-bill-of-materials.html</v>
      </c>
      <c r="X46" s="2" t="str">
        <f>IF('03_Functionalities'!S46="","",'03_Functionalities'!S46)</f>
        <v>High</v>
      </c>
    </row>
    <row r="47" spans="1:24" ht="71.25">
      <c r="A47" s="2" t="str">
        <f>IF('03_Functionalities'!A47="","",'03_Functionalities'!A47)</f>
        <v>FN-VSPHERE-02-01</v>
      </c>
      <c r="B47" s="2" t="str">
        <f>IF('03_Functionalities'!B47="","",'03_Functionalities'!B47)</f>
        <v>FT-VSPHERE-02</v>
      </c>
      <c r="C47" s="2" t="str">
        <f>IF('03_Functionalities'!C47="","",'03_Functionalities'!C47)</f>
        <v>PC-VSPHERE</v>
      </c>
      <c r="D47" s="2" t="e">
        <f ca="1">IF(C47="","",_xludf.XLOOKUP(C47,'01_Products'!A:A,'01_Products'!B:B,"Missing Product"))</f>
        <v>#NAME?</v>
      </c>
      <c r="E47" s="2" t="e">
        <f ca="1">IF(C47="","",_xludf.XLOOKUP(C47,'01_Products'!A:A,'01_Products'!C:C,"Missing Type"))</f>
        <v>#NAME?</v>
      </c>
      <c r="F47" s="2" t="e">
        <f ca="1">IF(B47="","",_xludf.XLOOKUP(B47,'02_Features'!A:A,'02_Features'!C:C,"Missing Feature"))</f>
        <v>#NAME?</v>
      </c>
      <c r="G47" s="2" t="e">
        <f ca="1">IF(B47="","",_xludf.XLOOKUP(B47,'02_Features'!A:A,'02_Features'!E:E,"Missing Prompt"))</f>
        <v>#NAME?</v>
      </c>
      <c r="H47" s="2" t="str">
        <f>IF('03_Functionalities'!D47="","",'03_Functionalities'!D47)</f>
        <v>ESX host onboarding and maintenance</v>
      </c>
      <c r="I47" s="2" t="str">
        <f>IF('03_Functionalities'!E47="","",'03_Functionalities'!E47)</f>
        <v>Major functionality for esx host onboarding and maintenance.</v>
      </c>
      <c r="J47" s="2" t="str">
        <f>IF('03_Functionalities'!F47="","",'03_Functionalities'!F47)</f>
        <v>Includes major assessment behavior for esx host onboarding and maintenance in the context of esx host lifecycle and cluster management.</v>
      </c>
      <c r="K47" s="2" t="str">
        <f>IF('03_Functionalities'!G47="","",'03_Functionalities'!G47)</f>
        <v>Excludes low-level configuration toggles, cosmetic UI behavior, and implementation-specific inventory minutiae unless they materially affect parity or risk.</v>
      </c>
      <c r="L47" s="2" t="str">
        <f>IF('03_Functionalities'!I47="","",'03_Functionalities'!I47)</f>
        <v>Compute</v>
      </c>
      <c r="M47" s="2" t="str">
        <f>IF('03_Functionalities'!J47="","",'03_Functionalities'!J47)</f>
        <v>Cluster Operations</v>
      </c>
      <c r="N47" s="2" t="str">
        <f>IF('03_Functionalities'!K47="","",'03_Functionalities'!K47)</f>
        <v>Critical</v>
      </c>
      <c r="O47" s="2" t="str">
        <f>IF('03_Functionalities'!L47="","",'03_Functionalities'!L47)</f>
        <v>Medium</v>
      </c>
      <c r="P47" s="2" t="str">
        <f>IF('03_Functionalities'!M47="","",'03_Functionalities'!M47)</f>
        <v>Official vendor documentation, release notes, validated KB/article, product guide, or architecture reference with version applicability.</v>
      </c>
      <c r="Q47" s="2" t="str">
        <f>IF('03_Functionalities'!N47="","",'03_Functionalities'!N47)</f>
        <v>VCF 9.1 ESX host lifecycle and cluster management ESX host onboarding and maintenance comparator parity evidence</v>
      </c>
      <c r="R47" s="2" t="str">
        <f>IF('03_Functionalities'!O47="","",'03_Functionalities'!O47)</f>
        <v>Yes</v>
      </c>
      <c r="S47" s="2" t="e">
        <f ca="1">IF(C47="","",_xludf.XLOOKUP(C47,'01_Products'!A:A,'01_Products'!K:K,0))</f>
        <v>#NAME?</v>
      </c>
      <c r="T47" s="2" t="e">
        <f ca="1">IF(B47="","",_xludf.XLOOKUP(B47,'02_Features'!A:A,'02_Features'!L:L,0))</f>
        <v>#NAME?</v>
      </c>
      <c r="U47" s="2">
        <f>IF('03_Functionalities'!P47="","",'03_Functionalities'!P47)</f>
        <v>1</v>
      </c>
      <c r="V47" s="2" t="str">
        <f>IF('03_Functionalities'!Q47="","",'03_Functionalities'!Q47)</f>
        <v>Draft</v>
      </c>
      <c r="W47" s="2" t="str">
        <f>IF('03_Functionalities'!R47="","",'03_Functionalities'!R47)</f>
        <v>https://techdocs.broadcom.com/us/en/vmware-cis/vcf/vcf-9-0-and-later/9-1/release-notes/vmware-cloud-foundation-9-1-0-0-release-notes/vmware-cloud-foundation-bill-of-materials.html</v>
      </c>
      <c r="X47" s="2" t="str">
        <f>IF('03_Functionalities'!S47="","",'03_Functionalities'!S47)</f>
        <v>High</v>
      </c>
    </row>
    <row r="48" spans="1:24" ht="71.25">
      <c r="A48" s="2" t="str">
        <f>IF('03_Functionalities'!A48="","",'03_Functionalities'!A48)</f>
        <v>FN-VSPHERE-02-02</v>
      </c>
      <c r="B48" s="2" t="str">
        <f>IF('03_Functionalities'!B48="","",'03_Functionalities'!B48)</f>
        <v>FT-VSPHERE-02</v>
      </c>
      <c r="C48" s="2" t="str">
        <f>IF('03_Functionalities'!C48="","",'03_Functionalities'!C48)</f>
        <v>PC-VSPHERE</v>
      </c>
      <c r="D48" s="2" t="e">
        <f ca="1">IF(C48="","",_xludf.XLOOKUP(C48,'01_Products'!A:A,'01_Products'!B:B,"Missing Product"))</f>
        <v>#NAME?</v>
      </c>
      <c r="E48" s="2" t="e">
        <f ca="1">IF(C48="","",_xludf.XLOOKUP(C48,'01_Products'!A:A,'01_Products'!C:C,"Missing Type"))</f>
        <v>#NAME?</v>
      </c>
      <c r="F48" s="2" t="e">
        <f ca="1">IF(B48="","",_xludf.XLOOKUP(B48,'02_Features'!A:A,'02_Features'!C:C,"Missing Feature"))</f>
        <v>#NAME?</v>
      </c>
      <c r="G48" s="2" t="e">
        <f ca="1">IF(B48="","",_xludf.XLOOKUP(B48,'02_Features'!A:A,'02_Features'!E:E,"Missing Prompt"))</f>
        <v>#NAME?</v>
      </c>
      <c r="H48" s="2" t="str">
        <f>IF('03_Functionalities'!D48="","",'03_Functionalities'!D48)</f>
        <v>Cluster configuration and membership</v>
      </c>
      <c r="I48" s="2" t="str">
        <f>IF('03_Functionalities'!E48="","",'03_Functionalities'!E48)</f>
        <v>Major functionality for cluster configuration and membership.</v>
      </c>
      <c r="J48" s="2" t="str">
        <f>IF('03_Functionalities'!F48="","",'03_Functionalities'!F48)</f>
        <v>Includes major assessment behavior for cluster configuration and membership in the context of esx host lifecycle and cluster management.</v>
      </c>
      <c r="K48" s="2" t="str">
        <f>IF('03_Functionalities'!G48="","",'03_Functionalities'!G48)</f>
        <v>Excludes low-level configuration toggles, cosmetic UI behavior, and implementation-specific inventory minutiae unless they materially affect parity or risk.</v>
      </c>
      <c r="L48" s="2" t="str">
        <f>IF('03_Functionalities'!I48="","",'03_Functionalities'!I48)</f>
        <v>Compute</v>
      </c>
      <c r="M48" s="2" t="str">
        <f>IF('03_Functionalities'!J48="","",'03_Functionalities'!J48)</f>
        <v>Cluster Operations</v>
      </c>
      <c r="N48" s="2" t="str">
        <f>IF('03_Functionalities'!K48="","",'03_Functionalities'!K48)</f>
        <v>Critical</v>
      </c>
      <c r="O48" s="2" t="str">
        <f>IF('03_Functionalities'!L48="","",'03_Functionalities'!L48)</f>
        <v>Medium</v>
      </c>
      <c r="P48" s="2" t="str">
        <f>IF('03_Functionalities'!M48="","",'03_Functionalities'!M48)</f>
        <v>Official vendor documentation, release notes, validated KB/article, product guide, or architecture reference with version applicability.</v>
      </c>
      <c r="Q48" s="2" t="str">
        <f>IF('03_Functionalities'!N48="","",'03_Functionalities'!N48)</f>
        <v>VCF 9.1 ESX host lifecycle and cluster management Cluster configuration and membership comparator parity evidence</v>
      </c>
      <c r="R48" s="2" t="str">
        <f>IF('03_Functionalities'!O48="","",'03_Functionalities'!O48)</f>
        <v>Yes</v>
      </c>
      <c r="S48" s="2" t="e">
        <f ca="1">IF(C48="","",_xludf.XLOOKUP(C48,'01_Products'!A:A,'01_Products'!K:K,0))</f>
        <v>#NAME?</v>
      </c>
      <c r="T48" s="2" t="e">
        <f ca="1">IF(B48="","",_xludf.XLOOKUP(B48,'02_Features'!A:A,'02_Features'!L:L,0))</f>
        <v>#NAME?</v>
      </c>
      <c r="U48" s="2">
        <f>IF('03_Functionalities'!P48="","",'03_Functionalities'!P48)</f>
        <v>2</v>
      </c>
      <c r="V48" s="2" t="str">
        <f>IF('03_Functionalities'!Q48="","",'03_Functionalities'!Q48)</f>
        <v>Draft</v>
      </c>
      <c r="W48" s="2" t="str">
        <f>IF('03_Functionalities'!R48="","",'03_Functionalities'!R48)</f>
        <v>https://techdocs.broadcom.com/us/en/vmware-cis/vcf/vcf-9-0-and-later/9-1/release-notes/vmware-cloud-foundation-9-1-0-0-release-notes/vmware-cloud-foundation-bill-of-materials.html</v>
      </c>
      <c r="X48" s="2" t="str">
        <f>IF('03_Functionalities'!S48="","",'03_Functionalities'!S48)</f>
        <v>High</v>
      </c>
    </row>
    <row r="49" spans="1:24" ht="71.25">
      <c r="A49" s="2" t="str">
        <f>IF('03_Functionalities'!A49="","",'03_Functionalities'!A49)</f>
        <v>FN-VSPHERE-02-03</v>
      </c>
      <c r="B49" s="2" t="str">
        <f>IF('03_Functionalities'!B49="","",'03_Functionalities'!B49)</f>
        <v>FT-VSPHERE-02</v>
      </c>
      <c r="C49" s="2" t="str">
        <f>IF('03_Functionalities'!C49="","",'03_Functionalities'!C49)</f>
        <v>PC-VSPHERE</v>
      </c>
      <c r="D49" s="2" t="e">
        <f ca="1">IF(C49="","",_xludf.XLOOKUP(C49,'01_Products'!A:A,'01_Products'!B:B,"Missing Product"))</f>
        <v>#NAME?</v>
      </c>
      <c r="E49" s="2" t="e">
        <f ca="1">IF(C49="","",_xludf.XLOOKUP(C49,'01_Products'!A:A,'01_Products'!C:C,"Missing Type"))</f>
        <v>#NAME?</v>
      </c>
      <c r="F49" s="2" t="e">
        <f ca="1">IF(B49="","",_xludf.XLOOKUP(B49,'02_Features'!A:A,'02_Features'!C:C,"Missing Feature"))</f>
        <v>#NAME?</v>
      </c>
      <c r="G49" s="2" t="e">
        <f ca="1">IF(B49="","",_xludf.XLOOKUP(B49,'02_Features'!A:A,'02_Features'!E:E,"Missing Prompt"))</f>
        <v>#NAME?</v>
      </c>
      <c r="H49" s="2" t="str">
        <f>IF('03_Functionalities'!D49="","",'03_Functionalities'!D49)</f>
        <v>Hardware compatibility and host lifecycle evidence</v>
      </c>
      <c r="I49" s="2" t="str">
        <f>IF('03_Functionalities'!E49="","",'03_Functionalities'!E49)</f>
        <v>Major functionality for hardware compatibility and host lifecycle evidence.</v>
      </c>
      <c r="J49" s="2" t="str">
        <f>IF('03_Functionalities'!F49="","",'03_Functionalities'!F49)</f>
        <v>Includes major assessment behavior for hardware compatibility and host lifecycle evidence in the context of esx host lifecycle and cluster management.</v>
      </c>
      <c r="K49" s="2" t="str">
        <f>IF('03_Functionalities'!G49="","",'03_Functionalities'!G49)</f>
        <v>Excludes low-level configuration toggles, cosmetic UI behavior, and implementation-specific inventory minutiae unless they materially affect parity or risk.</v>
      </c>
      <c r="L49" s="2" t="str">
        <f>IF('03_Functionalities'!I49="","",'03_Functionalities'!I49)</f>
        <v>Compute</v>
      </c>
      <c r="M49" s="2" t="str">
        <f>IF('03_Functionalities'!J49="","",'03_Functionalities'!J49)</f>
        <v>Cluster Operations</v>
      </c>
      <c r="N49" s="2" t="str">
        <f>IF('03_Functionalities'!K49="","",'03_Functionalities'!K49)</f>
        <v>Critical</v>
      </c>
      <c r="O49" s="2" t="str">
        <f>IF('03_Functionalities'!L49="","",'03_Functionalities'!L49)</f>
        <v>Medium</v>
      </c>
      <c r="P49" s="2" t="str">
        <f>IF('03_Functionalities'!M49="","",'03_Functionalities'!M49)</f>
        <v>Official vendor documentation, release notes, validated KB/article, product guide, or architecture reference with version applicability.</v>
      </c>
      <c r="Q49" s="2" t="str">
        <f>IF('03_Functionalities'!N49="","",'03_Functionalities'!N49)</f>
        <v>VCF 9.1 ESX host lifecycle and cluster management Hardware compatibility and host lifecycle evidence comparator parity evidence</v>
      </c>
      <c r="R49" s="2" t="str">
        <f>IF('03_Functionalities'!O49="","",'03_Functionalities'!O49)</f>
        <v>Yes</v>
      </c>
      <c r="S49" s="2" t="e">
        <f ca="1">IF(C49="","",_xludf.XLOOKUP(C49,'01_Products'!A:A,'01_Products'!K:K,0))</f>
        <v>#NAME?</v>
      </c>
      <c r="T49" s="2" t="e">
        <f ca="1">IF(B49="","",_xludf.XLOOKUP(B49,'02_Features'!A:A,'02_Features'!L:L,0))</f>
        <v>#NAME?</v>
      </c>
      <c r="U49" s="2">
        <f>IF('03_Functionalities'!P49="","",'03_Functionalities'!P49)</f>
        <v>3</v>
      </c>
      <c r="V49" s="2" t="str">
        <f>IF('03_Functionalities'!Q49="","",'03_Functionalities'!Q49)</f>
        <v>Draft</v>
      </c>
      <c r="W49" s="2" t="str">
        <f>IF('03_Functionalities'!R49="","",'03_Functionalities'!R49)</f>
        <v>https://techdocs.broadcom.com/us/en/vmware-cis/vcf/vcf-9-0-and-later/9-1/release-notes/vmware-cloud-foundation-9-1-0-0-release-notes/vmware-cloud-foundation-bill-of-materials.html</v>
      </c>
      <c r="X49" s="2" t="str">
        <f>IF('03_Functionalities'!S49="","",'03_Functionalities'!S49)</f>
        <v>High</v>
      </c>
    </row>
    <row r="50" spans="1:24" ht="57">
      <c r="A50" s="2" t="str">
        <f>IF('03_Functionalities'!A50="","",'03_Functionalities'!A50)</f>
        <v>FN-VSPHERE-03-01</v>
      </c>
      <c r="B50" s="2" t="str">
        <f>IF('03_Functionalities'!B50="","",'03_Functionalities'!B50)</f>
        <v>FT-VSPHERE-03</v>
      </c>
      <c r="C50" s="2" t="str">
        <f>IF('03_Functionalities'!C50="","",'03_Functionalities'!C50)</f>
        <v>PC-VSPHERE</v>
      </c>
      <c r="D50" s="2" t="e">
        <f ca="1">IF(C50="","",_xludf.XLOOKUP(C50,'01_Products'!A:A,'01_Products'!B:B,"Missing Product"))</f>
        <v>#NAME?</v>
      </c>
      <c r="E50" s="2" t="e">
        <f ca="1">IF(C50="","",_xludf.XLOOKUP(C50,'01_Products'!A:A,'01_Products'!C:C,"Missing Type"))</f>
        <v>#NAME?</v>
      </c>
      <c r="F50" s="2" t="e">
        <f ca="1">IF(B50="","",_xludf.XLOOKUP(B50,'02_Features'!A:A,'02_Features'!C:C,"Missing Feature"))</f>
        <v>#NAME?</v>
      </c>
      <c r="G50" s="2" t="e">
        <f ca="1">IF(B50="","",_xludf.XLOOKUP(B50,'02_Features'!A:A,'02_Features'!E:E,"Missing Prompt"))</f>
        <v>#NAME?</v>
      </c>
      <c r="H50" s="2" t="str">
        <f>IF('03_Functionalities'!D50="","",'03_Functionalities'!D50)</f>
        <v>VM provisioning and cloning</v>
      </c>
      <c r="I50" s="2" t="str">
        <f>IF('03_Functionalities'!E50="","",'03_Functionalities'!E50)</f>
        <v>Major functionality for vm provisioning and cloning.</v>
      </c>
      <c r="J50" s="2" t="str">
        <f>IF('03_Functionalities'!F50="","",'03_Functionalities'!F50)</f>
        <v>Includes major assessment behavior for vm provisioning and cloning in the context of vm lifecycle and templates.</v>
      </c>
      <c r="K50" s="2" t="str">
        <f>IF('03_Functionalities'!G50="","",'03_Functionalities'!G50)</f>
        <v>Excludes low-level configuration toggles, cosmetic UI behavior, and implementation-specific inventory minutiae unless they materially affect parity or risk.</v>
      </c>
      <c r="L50" s="2" t="str">
        <f>IF('03_Functionalities'!I50="","",'03_Functionalities'!I50)</f>
        <v>Compute</v>
      </c>
      <c r="M50" s="2" t="str">
        <f>IF('03_Functionalities'!J50="","",'03_Functionalities'!J50)</f>
        <v>VM Lifecycle</v>
      </c>
      <c r="N50" s="2" t="str">
        <f>IF('03_Functionalities'!K50="","",'03_Functionalities'!K50)</f>
        <v>Critical</v>
      </c>
      <c r="O50" s="2" t="str">
        <f>IF('03_Functionalities'!L50="","",'03_Functionalities'!L50)</f>
        <v>Medium</v>
      </c>
      <c r="P50" s="2" t="str">
        <f>IF('03_Functionalities'!M50="","",'03_Functionalities'!M50)</f>
        <v>Official vendor documentation, release notes, validated KB/article, product guide, or architecture reference with version applicability.</v>
      </c>
      <c r="Q50" s="2" t="str">
        <f>IF('03_Functionalities'!N50="","",'03_Functionalities'!N50)</f>
        <v>VCF 9.1 VM lifecycle and templates VM provisioning and cloning comparator parity evidence</v>
      </c>
      <c r="R50" s="2" t="str">
        <f>IF('03_Functionalities'!O50="","",'03_Functionalities'!O50)</f>
        <v>Yes</v>
      </c>
      <c r="S50" s="2" t="e">
        <f ca="1">IF(C50="","",_xludf.XLOOKUP(C50,'01_Products'!A:A,'01_Products'!K:K,0))</f>
        <v>#NAME?</v>
      </c>
      <c r="T50" s="2" t="e">
        <f ca="1">IF(B50="","",_xludf.XLOOKUP(B50,'02_Features'!A:A,'02_Features'!L:L,0))</f>
        <v>#NAME?</v>
      </c>
      <c r="U50" s="2">
        <f>IF('03_Functionalities'!P50="","",'03_Functionalities'!P50)</f>
        <v>1</v>
      </c>
      <c r="V50" s="2" t="str">
        <f>IF('03_Functionalities'!Q50="","",'03_Functionalities'!Q50)</f>
        <v>Draft</v>
      </c>
      <c r="W50" s="2" t="str">
        <f>IF('03_Functionalities'!R50="","",'03_Functionalities'!R50)</f>
        <v>https://techdocs.broadcom.com/us/en/vmware-cis/vcf/vcf-9-0-and-later/9-1/release-notes/vmware-cloud-foundation-9-1-0-0-release-notes/what-s-new.html</v>
      </c>
      <c r="X50" s="2" t="str">
        <f>IF('03_Functionalities'!S50="","",'03_Functionalities'!S50)</f>
        <v>High</v>
      </c>
    </row>
    <row r="51" spans="1:24" ht="57">
      <c r="A51" s="2" t="str">
        <f>IF('03_Functionalities'!A51="","",'03_Functionalities'!A51)</f>
        <v>FN-VSPHERE-03-02</v>
      </c>
      <c r="B51" s="2" t="str">
        <f>IF('03_Functionalities'!B51="","",'03_Functionalities'!B51)</f>
        <v>FT-VSPHERE-03</v>
      </c>
      <c r="C51" s="2" t="str">
        <f>IF('03_Functionalities'!C51="","",'03_Functionalities'!C51)</f>
        <v>PC-VSPHERE</v>
      </c>
      <c r="D51" s="2" t="e">
        <f ca="1">IF(C51="","",_xludf.XLOOKUP(C51,'01_Products'!A:A,'01_Products'!B:B,"Missing Product"))</f>
        <v>#NAME?</v>
      </c>
      <c r="E51" s="2" t="e">
        <f ca="1">IF(C51="","",_xludf.XLOOKUP(C51,'01_Products'!A:A,'01_Products'!C:C,"Missing Type"))</f>
        <v>#NAME?</v>
      </c>
      <c r="F51" s="2" t="e">
        <f ca="1">IF(B51="","",_xludf.XLOOKUP(B51,'02_Features'!A:A,'02_Features'!C:C,"Missing Feature"))</f>
        <v>#NAME?</v>
      </c>
      <c r="G51" s="2" t="e">
        <f ca="1">IF(B51="","",_xludf.XLOOKUP(B51,'02_Features'!A:A,'02_Features'!E:E,"Missing Prompt"))</f>
        <v>#NAME?</v>
      </c>
      <c r="H51" s="2" t="str">
        <f>IF('03_Functionalities'!D51="","",'03_Functionalities'!D51)</f>
        <v>Template and image management</v>
      </c>
      <c r="I51" s="2" t="str">
        <f>IF('03_Functionalities'!E51="","",'03_Functionalities'!E51)</f>
        <v>Major functionality for template and image management.</v>
      </c>
      <c r="J51" s="2" t="str">
        <f>IF('03_Functionalities'!F51="","",'03_Functionalities'!F51)</f>
        <v>Includes major assessment behavior for template and image management in the context of vm lifecycle and templates.</v>
      </c>
      <c r="K51" s="2" t="str">
        <f>IF('03_Functionalities'!G51="","",'03_Functionalities'!G51)</f>
        <v>Excludes low-level configuration toggles, cosmetic UI behavior, and implementation-specific inventory minutiae unless they materially affect parity or risk.</v>
      </c>
      <c r="L51" s="2" t="str">
        <f>IF('03_Functionalities'!I51="","",'03_Functionalities'!I51)</f>
        <v>Compute</v>
      </c>
      <c r="M51" s="2" t="str">
        <f>IF('03_Functionalities'!J51="","",'03_Functionalities'!J51)</f>
        <v>VM Lifecycle</v>
      </c>
      <c r="N51" s="2" t="str">
        <f>IF('03_Functionalities'!K51="","",'03_Functionalities'!K51)</f>
        <v>Critical</v>
      </c>
      <c r="O51" s="2" t="str">
        <f>IF('03_Functionalities'!L51="","",'03_Functionalities'!L51)</f>
        <v>Medium</v>
      </c>
      <c r="P51" s="2" t="str">
        <f>IF('03_Functionalities'!M51="","",'03_Functionalities'!M51)</f>
        <v>Official vendor documentation, release notes, validated KB/article, product guide, or architecture reference with version applicability.</v>
      </c>
      <c r="Q51" s="2" t="str">
        <f>IF('03_Functionalities'!N51="","",'03_Functionalities'!N51)</f>
        <v>VCF 9.1 VM lifecycle and templates Template and image management comparator parity evidence</v>
      </c>
      <c r="R51" s="2" t="str">
        <f>IF('03_Functionalities'!O51="","",'03_Functionalities'!O51)</f>
        <v>Yes</v>
      </c>
      <c r="S51" s="2" t="e">
        <f ca="1">IF(C51="","",_xludf.XLOOKUP(C51,'01_Products'!A:A,'01_Products'!K:K,0))</f>
        <v>#NAME?</v>
      </c>
      <c r="T51" s="2" t="e">
        <f ca="1">IF(B51="","",_xludf.XLOOKUP(B51,'02_Features'!A:A,'02_Features'!L:L,0))</f>
        <v>#NAME?</v>
      </c>
      <c r="U51" s="2">
        <f>IF('03_Functionalities'!P51="","",'03_Functionalities'!P51)</f>
        <v>2</v>
      </c>
      <c r="V51" s="2" t="str">
        <f>IF('03_Functionalities'!Q51="","",'03_Functionalities'!Q51)</f>
        <v>Draft</v>
      </c>
      <c r="W51" s="2" t="str">
        <f>IF('03_Functionalities'!R51="","",'03_Functionalities'!R51)</f>
        <v>https://techdocs.broadcom.com/us/en/vmware-cis/vcf/vcf-9-0-and-later/9-1/release-notes/vmware-cloud-foundation-9-1-0-0-release-notes/what-s-new.html</v>
      </c>
      <c r="X51" s="2" t="str">
        <f>IF('03_Functionalities'!S51="","",'03_Functionalities'!S51)</f>
        <v>High</v>
      </c>
    </row>
    <row r="52" spans="1:24" ht="57">
      <c r="A52" s="2" t="str">
        <f>IF('03_Functionalities'!A52="","",'03_Functionalities'!A52)</f>
        <v>FN-VSPHERE-03-03</v>
      </c>
      <c r="B52" s="2" t="str">
        <f>IF('03_Functionalities'!B52="","",'03_Functionalities'!B52)</f>
        <v>FT-VSPHERE-03</v>
      </c>
      <c r="C52" s="2" t="str">
        <f>IF('03_Functionalities'!C52="","",'03_Functionalities'!C52)</f>
        <v>PC-VSPHERE</v>
      </c>
      <c r="D52" s="2" t="e">
        <f ca="1">IF(C52="","",_xludf.XLOOKUP(C52,'01_Products'!A:A,'01_Products'!B:B,"Missing Product"))</f>
        <v>#NAME?</v>
      </c>
      <c r="E52" s="2" t="e">
        <f ca="1">IF(C52="","",_xludf.XLOOKUP(C52,'01_Products'!A:A,'01_Products'!C:C,"Missing Type"))</f>
        <v>#NAME?</v>
      </c>
      <c r="F52" s="2" t="e">
        <f ca="1">IF(B52="","",_xludf.XLOOKUP(B52,'02_Features'!A:A,'02_Features'!C:C,"Missing Feature"))</f>
        <v>#NAME?</v>
      </c>
      <c r="G52" s="2" t="e">
        <f ca="1">IF(B52="","",_xludf.XLOOKUP(B52,'02_Features'!A:A,'02_Features'!E:E,"Missing Prompt"))</f>
        <v>#NAME?</v>
      </c>
      <c r="H52" s="2" t="str">
        <f>IF('03_Functionalities'!D52="","",'03_Functionalities'!D52)</f>
        <v>VM placement and configuration policy</v>
      </c>
      <c r="I52" s="2" t="str">
        <f>IF('03_Functionalities'!E52="","",'03_Functionalities'!E52)</f>
        <v>Major functionality for vm placement and configuration policy.</v>
      </c>
      <c r="J52" s="2" t="str">
        <f>IF('03_Functionalities'!F52="","",'03_Functionalities'!F52)</f>
        <v>Includes major assessment behavior for vm placement and configuration policy in the context of vm lifecycle and templates.</v>
      </c>
      <c r="K52" s="2" t="str">
        <f>IF('03_Functionalities'!G52="","",'03_Functionalities'!G52)</f>
        <v>Excludes low-level configuration toggles, cosmetic UI behavior, and implementation-specific inventory minutiae unless they materially affect parity or risk.</v>
      </c>
      <c r="L52" s="2" t="str">
        <f>IF('03_Functionalities'!I52="","",'03_Functionalities'!I52)</f>
        <v>Compute</v>
      </c>
      <c r="M52" s="2" t="str">
        <f>IF('03_Functionalities'!J52="","",'03_Functionalities'!J52)</f>
        <v>VM Lifecycle</v>
      </c>
      <c r="N52" s="2" t="str">
        <f>IF('03_Functionalities'!K52="","",'03_Functionalities'!K52)</f>
        <v>Critical</v>
      </c>
      <c r="O52" s="2" t="str">
        <f>IF('03_Functionalities'!L52="","",'03_Functionalities'!L52)</f>
        <v>Medium</v>
      </c>
      <c r="P52" s="2" t="str">
        <f>IF('03_Functionalities'!M52="","",'03_Functionalities'!M52)</f>
        <v>Official vendor documentation, release notes, validated KB/article, product guide, or architecture reference with version applicability.</v>
      </c>
      <c r="Q52" s="2" t="str">
        <f>IF('03_Functionalities'!N52="","",'03_Functionalities'!N52)</f>
        <v>VCF 9.1 VM lifecycle and templates VM placement and configuration policy comparator parity evidence</v>
      </c>
      <c r="R52" s="2" t="str">
        <f>IF('03_Functionalities'!O52="","",'03_Functionalities'!O52)</f>
        <v>Yes</v>
      </c>
      <c r="S52" s="2" t="e">
        <f ca="1">IF(C52="","",_xludf.XLOOKUP(C52,'01_Products'!A:A,'01_Products'!K:K,0))</f>
        <v>#NAME?</v>
      </c>
      <c r="T52" s="2" t="e">
        <f ca="1">IF(B52="","",_xludf.XLOOKUP(B52,'02_Features'!A:A,'02_Features'!L:L,0))</f>
        <v>#NAME?</v>
      </c>
      <c r="U52" s="2">
        <f>IF('03_Functionalities'!P52="","",'03_Functionalities'!P52)</f>
        <v>3</v>
      </c>
      <c r="V52" s="2" t="str">
        <f>IF('03_Functionalities'!Q52="","",'03_Functionalities'!Q52)</f>
        <v>Draft</v>
      </c>
      <c r="W52" s="2" t="str">
        <f>IF('03_Functionalities'!R52="","",'03_Functionalities'!R52)</f>
        <v>https://techdocs.broadcom.com/us/en/vmware-cis/vcf/vcf-9-0-and-later/9-1/release-notes/vmware-cloud-foundation-9-1-0-0-release-notes/what-s-new.html</v>
      </c>
      <c r="X52" s="2" t="str">
        <f>IF('03_Functionalities'!S52="","",'03_Functionalities'!S52)</f>
        <v>High</v>
      </c>
    </row>
    <row r="53" spans="1:24" ht="57">
      <c r="A53" s="2" t="str">
        <f>IF('03_Functionalities'!A53="","",'03_Functionalities'!A53)</f>
        <v>FN-VSPHERE-04-01</v>
      </c>
      <c r="B53" s="2" t="str">
        <f>IF('03_Functionalities'!B53="","",'03_Functionalities'!B53)</f>
        <v>FT-VSPHERE-04</v>
      </c>
      <c r="C53" s="2" t="str">
        <f>IF('03_Functionalities'!C53="","",'03_Functionalities'!C53)</f>
        <v>PC-VSPHERE</v>
      </c>
      <c r="D53" s="2" t="e">
        <f ca="1">IF(C53="","",_xludf.XLOOKUP(C53,'01_Products'!A:A,'01_Products'!B:B,"Missing Product"))</f>
        <v>#NAME?</v>
      </c>
      <c r="E53" s="2" t="e">
        <f ca="1">IF(C53="","",_xludf.XLOOKUP(C53,'01_Products'!A:A,'01_Products'!C:C,"Missing Type"))</f>
        <v>#NAME?</v>
      </c>
      <c r="F53" s="2" t="e">
        <f ca="1">IF(B53="","",_xludf.XLOOKUP(B53,'02_Features'!A:A,'02_Features'!C:C,"Missing Feature"))</f>
        <v>#NAME?</v>
      </c>
      <c r="G53" s="2" t="e">
        <f ca="1">IF(B53="","",_xludf.XLOOKUP(B53,'02_Features'!A:A,'02_Features'!E:E,"Missing Prompt"))</f>
        <v>#NAME?</v>
      </c>
      <c r="H53" s="2" t="str">
        <f>IF('03_Functionalities'!D53="","",'03_Functionalities'!D53)</f>
        <v>Live VM migration</v>
      </c>
      <c r="I53" s="2" t="str">
        <f>IF('03_Functionalities'!E53="","",'03_Functionalities'!E53)</f>
        <v>Major functionality for live vm migration.</v>
      </c>
      <c r="J53" s="2" t="str">
        <f>IF('03_Functionalities'!F53="","",'03_Functionalities'!F53)</f>
        <v>Includes major assessment behavior for live vm migration in the context of vmotion and live workload mobility.</v>
      </c>
      <c r="K53" s="2" t="str">
        <f>IF('03_Functionalities'!G53="","",'03_Functionalities'!G53)</f>
        <v>Excludes low-level configuration toggles, cosmetic UI behavior, and implementation-specific inventory minutiae unless they materially affect parity or risk.</v>
      </c>
      <c r="L53" s="2" t="str">
        <f>IF('03_Functionalities'!I53="","",'03_Functionalities'!I53)</f>
        <v>Compute</v>
      </c>
      <c r="M53" s="2" t="str">
        <f>IF('03_Functionalities'!J53="","",'03_Functionalities'!J53)</f>
        <v>Live Mobility</v>
      </c>
      <c r="N53" s="2" t="str">
        <f>IF('03_Functionalities'!K53="","",'03_Functionalities'!K53)</f>
        <v>Critical</v>
      </c>
      <c r="O53" s="2" t="str">
        <f>IF('03_Functionalities'!L53="","",'03_Functionalities'!L53)</f>
        <v>Low</v>
      </c>
      <c r="P53" s="2" t="str">
        <f>IF('03_Functionalities'!M53="","",'03_Functionalities'!M53)</f>
        <v>Official vendor documentation, release notes, validated KB/article, product guide, or architecture reference with version applicability.</v>
      </c>
      <c r="Q53" s="2" t="str">
        <f>IF('03_Functionalities'!N53="","",'03_Functionalities'!N53)</f>
        <v>VCF 9.1 vMotion and live workload mobility Live VM migration comparator parity evidence</v>
      </c>
      <c r="R53" s="2" t="str">
        <f>IF('03_Functionalities'!O53="","",'03_Functionalities'!O53)</f>
        <v>Yes</v>
      </c>
      <c r="S53" s="2" t="e">
        <f ca="1">IF(C53="","",_xludf.XLOOKUP(C53,'01_Products'!A:A,'01_Products'!K:K,0))</f>
        <v>#NAME?</v>
      </c>
      <c r="T53" s="2" t="e">
        <f ca="1">IF(B53="","",_xludf.XLOOKUP(B53,'02_Features'!A:A,'02_Features'!L:L,0))</f>
        <v>#NAME?</v>
      </c>
      <c r="U53" s="2">
        <f>IF('03_Functionalities'!P53="","",'03_Functionalities'!P53)</f>
        <v>1</v>
      </c>
      <c r="V53" s="2" t="str">
        <f>IF('03_Functionalities'!Q53="","",'03_Functionalities'!Q53)</f>
        <v>Draft</v>
      </c>
      <c r="W53" s="2" t="str">
        <f>IF('03_Functionalities'!R53="","",'03_Functionalities'!R53)</f>
        <v>https://techdocs.broadcom.com/us/en/vmware-cis/vcf/vcf-9-0-and-later/9-1/release-notes/vmware-cloud-foundation-9-1-0-0-release-notes/what-s-new.html</v>
      </c>
      <c r="X53" s="2" t="str">
        <f>IF('03_Functionalities'!S53="","",'03_Functionalities'!S53)</f>
        <v>High</v>
      </c>
    </row>
    <row r="54" spans="1:24" ht="57">
      <c r="A54" s="2" t="str">
        <f>IF('03_Functionalities'!A54="","",'03_Functionalities'!A54)</f>
        <v>FN-VSPHERE-04-02</v>
      </c>
      <c r="B54" s="2" t="str">
        <f>IF('03_Functionalities'!B54="","",'03_Functionalities'!B54)</f>
        <v>FT-VSPHERE-04</v>
      </c>
      <c r="C54" s="2" t="str">
        <f>IF('03_Functionalities'!C54="","",'03_Functionalities'!C54)</f>
        <v>PC-VSPHERE</v>
      </c>
      <c r="D54" s="2" t="e">
        <f ca="1">IF(C54="","",_xludf.XLOOKUP(C54,'01_Products'!A:A,'01_Products'!B:B,"Missing Product"))</f>
        <v>#NAME?</v>
      </c>
      <c r="E54" s="2" t="e">
        <f ca="1">IF(C54="","",_xludf.XLOOKUP(C54,'01_Products'!A:A,'01_Products'!C:C,"Missing Type"))</f>
        <v>#NAME?</v>
      </c>
      <c r="F54" s="2" t="e">
        <f ca="1">IF(B54="","",_xludf.XLOOKUP(B54,'02_Features'!A:A,'02_Features'!C:C,"Missing Feature"))</f>
        <v>#NAME?</v>
      </c>
      <c r="G54" s="2" t="e">
        <f ca="1">IF(B54="","",_xludf.XLOOKUP(B54,'02_Features'!A:A,'02_Features'!E:E,"Missing Prompt"))</f>
        <v>#NAME?</v>
      </c>
      <c r="H54" s="2" t="str">
        <f>IF('03_Functionalities'!D54="","",'03_Functionalities'!D54)</f>
        <v>Maintenance evacuation workflow</v>
      </c>
      <c r="I54" s="2" t="str">
        <f>IF('03_Functionalities'!E54="","",'03_Functionalities'!E54)</f>
        <v>Major functionality for maintenance evacuation workflow.</v>
      </c>
      <c r="J54" s="2" t="str">
        <f>IF('03_Functionalities'!F54="","",'03_Functionalities'!F54)</f>
        <v>Includes major assessment behavior for maintenance evacuation workflow in the context of vmotion and live workload mobility.</v>
      </c>
      <c r="K54" s="2" t="str">
        <f>IF('03_Functionalities'!G54="","",'03_Functionalities'!G54)</f>
        <v>Excludes low-level configuration toggles, cosmetic UI behavior, and implementation-specific inventory minutiae unless they materially affect parity or risk.</v>
      </c>
      <c r="L54" s="2" t="str">
        <f>IF('03_Functionalities'!I54="","",'03_Functionalities'!I54)</f>
        <v>Compute</v>
      </c>
      <c r="M54" s="2" t="str">
        <f>IF('03_Functionalities'!J54="","",'03_Functionalities'!J54)</f>
        <v>Live Mobility</v>
      </c>
      <c r="N54" s="2" t="str">
        <f>IF('03_Functionalities'!K54="","",'03_Functionalities'!K54)</f>
        <v>Critical</v>
      </c>
      <c r="O54" s="2" t="str">
        <f>IF('03_Functionalities'!L54="","",'03_Functionalities'!L54)</f>
        <v>Low</v>
      </c>
      <c r="P54" s="2" t="str">
        <f>IF('03_Functionalities'!M54="","",'03_Functionalities'!M54)</f>
        <v>Official vendor documentation, release notes, validated KB/article, product guide, or architecture reference with version applicability.</v>
      </c>
      <c r="Q54" s="2" t="str">
        <f>IF('03_Functionalities'!N54="","",'03_Functionalities'!N54)</f>
        <v>VCF 9.1 vMotion and live workload mobility Maintenance evacuation workflow comparator parity evidence</v>
      </c>
      <c r="R54" s="2" t="str">
        <f>IF('03_Functionalities'!O54="","",'03_Functionalities'!O54)</f>
        <v>Yes</v>
      </c>
      <c r="S54" s="2" t="e">
        <f ca="1">IF(C54="","",_xludf.XLOOKUP(C54,'01_Products'!A:A,'01_Products'!K:K,0))</f>
        <v>#NAME?</v>
      </c>
      <c r="T54" s="2" t="e">
        <f ca="1">IF(B54="","",_xludf.XLOOKUP(B54,'02_Features'!A:A,'02_Features'!L:L,0))</f>
        <v>#NAME?</v>
      </c>
      <c r="U54" s="2">
        <f>IF('03_Functionalities'!P54="","",'03_Functionalities'!P54)</f>
        <v>2</v>
      </c>
      <c r="V54" s="2" t="str">
        <f>IF('03_Functionalities'!Q54="","",'03_Functionalities'!Q54)</f>
        <v>Draft</v>
      </c>
      <c r="W54" s="2" t="str">
        <f>IF('03_Functionalities'!R54="","",'03_Functionalities'!R54)</f>
        <v>https://techdocs.broadcom.com/us/en/vmware-cis/vcf/vcf-9-0-and-later/9-1/release-notes/vmware-cloud-foundation-9-1-0-0-release-notes/what-s-new.html</v>
      </c>
      <c r="X54" s="2" t="str">
        <f>IF('03_Functionalities'!S54="","",'03_Functionalities'!S54)</f>
        <v>High</v>
      </c>
    </row>
    <row r="55" spans="1:24" ht="57">
      <c r="A55" s="2" t="str">
        <f>IF('03_Functionalities'!A55="","",'03_Functionalities'!A55)</f>
        <v>FN-VSPHERE-04-03</v>
      </c>
      <c r="B55" s="2" t="str">
        <f>IF('03_Functionalities'!B55="","",'03_Functionalities'!B55)</f>
        <v>FT-VSPHERE-04</v>
      </c>
      <c r="C55" s="2" t="str">
        <f>IF('03_Functionalities'!C55="","",'03_Functionalities'!C55)</f>
        <v>PC-VSPHERE</v>
      </c>
      <c r="D55" s="2" t="e">
        <f ca="1">IF(C55="","",_xludf.XLOOKUP(C55,'01_Products'!A:A,'01_Products'!B:B,"Missing Product"))</f>
        <v>#NAME?</v>
      </c>
      <c r="E55" s="2" t="e">
        <f ca="1">IF(C55="","",_xludf.XLOOKUP(C55,'01_Products'!A:A,'01_Products'!C:C,"Missing Type"))</f>
        <v>#NAME?</v>
      </c>
      <c r="F55" s="2" t="e">
        <f ca="1">IF(B55="","",_xludf.XLOOKUP(B55,'02_Features'!A:A,'02_Features'!C:C,"Missing Feature"))</f>
        <v>#NAME?</v>
      </c>
      <c r="G55" s="2" t="e">
        <f ca="1">IF(B55="","",_xludf.XLOOKUP(B55,'02_Features'!A:A,'02_Features'!E:E,"Missing Prompt"))</f>
        <v>#NAME?</v>
      </c>
      <c r="H55" s="2" t="str">
        <f>IF('03_Functionalities'!D55="","",'03_Functionalities'!D55)</f>
        <v>Migration compatibility validation</v>
      </c>
      <c r="I55" s="2" t="str">
        <f>IF('03_Functionalities'!E55="","",'03_Functionalities'!E55)</f>
        <v>Major functionality for migration compatibility validation.</v>
      </c>
      <c r="J55" s="2" t="str">
        <f>IF('03_Functionalities'!F55="","",'03_Functionalities'!F55)</f>
        <v>Includes major assessment behavior for migration compatibility validation in the context of vmotion and live workload mobility.</v>
      </c>
      <c r="K55" s="2" t="str">
        <f>IF('03_Functionalities'!G55="","",'03_Functionalities'!G55)</f>
        <v>Excludes low-level configuration toggles, cosmetic UI behavior, and implementation-specific inventory minutiae unless they materially affect parity or risk.</v>
      </c>
      <c r="L55" s="2" t="str">
        <f>IF('03_Functionalities'!I55="","",'03_Functionalities'!I55)</f>
        <v>Compute</v>
      </c>
      <c r="M55" s="2" t="str">
        <f>IF('03_Functionalities'!J55="","",'03_Functionalities'!J55)</f>
        <v>Live Mobility</v>
      </c>
      <c r="N55" s="2" t="str">
        <f>IF('03_Functionalities'!K55="","",'03_Functionalities'!K55)</f>
        <v>Critical</v>
      </c>
      <c r="O55" s="2" t="str">
        <f>IF('03_Functionalities'!L55="","",'03_Functionalities'!L55)</f>
        <v>Low</v>
      </c>
      <c r="P55" s="2" t="str">
        <f>IF('03_Functionalities'!M55="","",'03_Functionalities'!M55)</f>
        <v>Official vendor documentation, release notes, validated KB/article, product guide, or architecture reference with version applicability.</v>
      </c>
      <c r="Q55" s="2" t="str">
        <f>IF('03_Functionalities'!N55="","",'03_Functionalities'!N55)</f>
        <v>VCF 9.1 vMotion and live workload mobility Migration compatibility validation comparator parity evidence</v>
      </c>
      <c r="R55" s="2" t="str">
        <f>IF('03_Functionalities'!O55="","",'03_Functionalities'!O55)</f>
        <v>Yes</v>
      </c>
      <c r="S55" s="2" t="e">
        <f ca="1">IF(C55="","",_xludf.XLOOKUP(C55,'01_Products'!A:A,'01_Products'!K:K,0))</f>
        <v>#NAME?</v>
      </c>
      <c r="T55" s="2" t="e">
        <f ca="1">IF(B55="","",_xludf.XLOOKUP(B55,'02_Features'!A:A,'02_Features'!L:L,0))</f>
        <v>#NAME?</v>
      </c>
      <c r="U55" s="2">
        <f>IF('03_Functionalities'!P55="","",'03_Functionalities'!P55)</f>
        <v>3</v>
      </c>
      <c r="V55" s="2" t="str">
        <f>IF('03_Functionalities'!Q55="","",'03_Functionalities'!Q55)</f>
        <v>Draft</v>
      </c>
      <c r="W55" s="2" t="str">
        <f>IF('03_Functionalities'!R55="","",'03_Functionalities'!R55)</f>
        <v>https://techdocs.broadcom.com/us/en/vmware-cis/vcf/vcf-9-0-and-later/9-1/release-notes/vmware-cloud-foundation-9-1-0-0-release-notes/what-s-new.html</v>
      </c>
      <c r="X55" s="2" t="str">
        <f>IF('03_Functionalities'!S55="","",'03_Functionalities'!S55)</f>
        <v>High</v>
      </c>
    </row>
    <row r="56" spans="1:24" ht="57">
      <c r="A56" s="2" t="str">
        <f>IF('03_Functionalities'!A56="","",'03_Functionalities'!A56)</f>
        <v>FN-VSPHERE-05-01</v>
      </c>
      <c r="B56" s="2" t="str">
        <f>IF('03_Functionalities'!B56="","",'03_Functionalities'!B56)</f>
        <v>FT-VSPHERE-05</v>
      </c>
      <c r="C56" s="2" t="str">
        <f>IF('03_Functionalities'!C56="","",'03_Functionalities'!C56)</f>
        <v>PC-VSPHERE</v>
      </c>
      <c r="D56" s="2" t="e">
        <f ca="1">IF(C56="","",_xludf.XLOOKUP(C56,'01_Products'!A:A,'01_Products'!B:B,"Missing Product"))</f>
        <v>#NAME?</v>
      </c>
      <c r="E56" s="2" t="e">
        <f ca="1">IF(C56="","",_xludf.XLOOKUP(C56,'01_Products'!A:A,'01_Products'!C:C,"Missing Type"))</f>
        <v>#NAME?</v>
      </c>
      <c r="F56" s="2" t="e">
        <f ca="1">IF(B56="","",_xludf.XLOOKUP(B56,'02_Features'!A:A,'02_Features'!C:C,"Missing Feature"))</f>
        <v>#NAME?</v>
      </c>
      <c r="G56" s="2" t="e">
        <f ca="1">IF(B56="","",_xludf.XLOOKUP(B56,'02_Features'!A:A,'02_Features'!E:E,"Missing Prompt"))</f>
        <v>#NAME?</v>
      </c>
      <c r="H56" s="2" t="str">
        <f>IF('03_Functionalities'!D56="","",'03_Functionalities'!D56)</f>
        <v>Cluster HA admission and restart policy</v>
      </c>
      <c r="I56" s="2" t="str">
        <f>IF('03_Functionalities'!E56="","",'03_Functionalities'!E56)</f>
        <v>Major functionality for cluster ha admission and restart policy.</v>
      </c>
      <c r="J56" s="2" t="str">
        <f>IF('03_Functionalities'!F56="","",'03_Functionalities'!F56)</f>
        <v>Includes major assessment behavior for cluster ha admission and restart policy in the context of high availability and failure response.</v>
      </c>
      <c r="K56" s="2" t="str">
        <f>IF('03_Functionalities'!G56="","",'03_Functionalities'!G56)</f>
        <v>Excludes low-level configuration toggles, cosmetic UI behavior, and implementation-specific inventory minutiae unless they materially affect parity or risk.</v>
      </c>
      <c r="L56" s="2" t="str">
        <f>IF('03_Functionalities'!I56="","",'03_Functionalities'!I56)</f>
        <v>Compute</v>
      </c>
      <c r="M56" s="2" t="str">
        <f>IF('03_Functionalities'!J56="","",'03_Functionalities'!J56)</f>
        <v>Availability</v>
      </c>
      <c r="N56" s="2" t="str">
        <f>IF('03_Functionalities'!K56="","",'03_Functionalities'!K56)</f>
        <v>Critical</v>
      </c>
      <c r="O56" s="2" t="str">
        <f>IF('03_Functionalities'!L56="","",'03_Functionalities'!L56)</f>
        <v>Medium</v>
      </c>
      <c r="P56" s="2" t="str">
        <f>IF('03_Functionalities'!M56="","",'03_Functionalities'!M56)</f>
        <v>Official vendor documentation, release notes, validated KB/article, product guide, or architecture reference with version applicability.</v>
      </c>
      <c r="Q56" s="2" t="str">
        <f>IF('03_Functionalities'!N56="","",'03_Functionalities'!N56)</f>
        <v>VCF 9.1 High availability and failure response Cluster HA admission and restart policy comparator parity evidence</v>
      </c>
      <c r="R56" s="2" t="str">
        <f>IF('03_Functionalities'!O56="","",'03_Functionalities'!O56)</f>
        <v>Yes</v>
      </c>
      <c r="S56" s="2" t="e">
        <f ca="1">IF(C56="","",_xludf.XLOOKUP(C56,'01_Products'!A:A,'01_Products'!K:K,0))</f>
        <v>#NAME?</v>
      </c>
      <c r="T56" s="2" t="e">
        <f ca="1">IF(B56="","",_xludf.XLOOKUP(B56,'02_Features'!A:A,'02_Features'!L:L,0))</f>
        <v>#NAME?</v>
      </c>
      <c r="U56" s="2">
        <f>IF('03_Functionalities'!P56="","",'03_Functionalities'!P56)</f>
        <v>1</v>
      </c>
      <c r="V56" s="2" t="str">
        <f>IF('03_Functionalities'!Q56="","",'03_Functionalities'!Q56)</f>
        <v>Draft</v>
      </c>
      <c r="W56" s="2" t="str">
        <f>IF('03_Functionalities'!R56="","",'03_Functionalities'!R56)</f>
        <v>https://techdocs.broadcom.com/us/en/vmware-cis/vcf/vcf-9-0-and-later/9-1/release-notes/vmware-cloud-foundation-9-1-0-0-release-notes/what-s-new.html</v>
      </c>
      <c r="X56" s="2" t="str">
        <f>IF('03_Functionalities'!S56="","",'03_Functionalities'!S56)</f>
        <v>High</v>
      </c>
    </row>
    <row r="57" spans="1:24" ht="57">
      <c r="A57" s="2" t="str">
        <f>IF('03_Functionalities'!A57="","",'03_Functionalities'!A57)</f>
        <v>FN-VSPHERE-05-02</v>
      </c>
      <c r="B57" s="2" t="str">
        <f>IF('03_Functionalities'!B57="","",'03_Functionalities'!B57)</f>
        <v>FT-VSPHERE-05</v>
      </c>
      <c r="C57" s="2" t="str">
        <f>IF('03_Functionalities'!C57="","",'03_Functionalities'!C57)</f>
        <v>PC-VSPHERE</v>
      </c>
      <c r="D57" s="2" t="e">
        <f ca="1">IF(C57="","",_xludf.XLOOKUP(C57,'01_Products'!A:A,'01_Products'!B:B,"Missing Product"))</f>
        <v>#NAME?</v>
      </c>
      <c r="E57" s="2" t="e">
        <f ca="1">IF(C57="","",_xludf.XLOOKUP(C57,'01_Products'!A:A,'01_Products'!C:C,"Missing Type"))</f>
        <v>#NAME?</v>
      </c>
      <c r="F57" s="2" t="e">
        <f ca="1">IF(B57="","",_xludf.XLOOKUP(B57,'02_Features'!A:A,'02_Features'!C:C,"Missing Feature"))</f>
        <v>#NAME?</v>
      </c>
      <c r="G57" s="2" t="e">
        <f ca="1">IF(B57="","",_xludf.XLOOKUP(B57,'02_Features'!A:A,'02_Features'!E:E,"Missing Prompt"))</f>
        <v>#NAME?</v>
      </c>
      <c r="H57" s="2" t="str">
        <f>IF('03_Functionalities'!D57="","",'03_Functionalities'!D57)</f>
        <v>Host failure detection and response</v>
      </c>
      <c r="I57" s="2" t="str">
        <f>IF('03_Functionalities'!E57="","",'03_Functionalities'!E57)</f>
        <v>Major functionality for host failure detection and response.</v>
      </c>
      <c r="J57" s="2" t="str">
        <f>IF('03_Functionalities'!F57="","",'03_Functionalities'!F57)</f>
        <v>Includes major assessment behavior for host failure detection and response in the context of high availability and failure response.</v>
      </c>
      <c r="K57" s="2" t="str">
        <f>IF('03_Functionalities'!G57="","",'03_Functionalities'!G57)</f>
        <v>Excludes low-level configuration toggles, cosmetic UI behavior, and implementation-specific inventory minutiae unless they materially affect parity or risk.</v>
      </c>
      <c r="L57" s="2" t="str">
        <f>IF('03_Functionalities'!I57="","",'03_Functionalities'!I57)</f>
        <v>Compute</v>
      </c>
      <c r="M57" s="2" t="str">
        <f>IF('03_Functionalities'!J57="","",'03_Functionalities'!J57)</f>
        <v>Availability</v>
      </c>
      <c r="N57" s="2" t="str">
        <f>IF('03_Functionalities'!K57="","",'03_Functionalities'!K57)</f>
        <v>Critical</v>
      </c>
      <c r="O57" s="2" t="str">
        <f>IF('03_Functionalities'!L57="","",'03_Functionalities'!L57)</f>
        <v>Medium</v>
      </c>
      <c r="P57" s="2" t="str">
        <f>IF('03_Functionalities'!M57="","",'03_Functionalities'!M57)</f>
        <v>Official vendor documentation, release notes, validated KB/article, product guide, or architecture reference with version applicability.</v>
      </c>
      <c r="Q57" s="2" t="str">
        <f>IF('03_Functionalities'!N57="","",'03_Functionalities'!N57)</f>
        <v>VCF 9.1 High availability and failure response Host failure detection and response comparator parity evidence</v>
      </c>
      <c r="R57" s="2" t="str">
        <f>IF('03_Functionalities'!O57="","",'03_Functionalities'!O57)</f>
        <v>Yes</v>
      </c>
      <c r="S57" s="2" t="e">
        <f ca="1">IF(C57="","",_xludf.XLOOKUP(C57,'01_Products'!A:A,'01_Products'!K:K,0))</f>
        <v>#NAME?</v>
      </c>
      <c r="T57" s="2" t="e">
        <f ca="1">IF(B57="","",_xludf.XLOOKUP(B57,'02_Features'!A:A,'02_Features'!L:L,0))</f>
        <v>#NAME?</v>
      </c>
      <c r="U57" s="2">
        <f>IF('03_Functionalities'!P57="","",'03_Functionalities'!P57)</f>
        <v>2</v>
      </c>
      <c r="V57" s="2" t="str">
        <f>IF('03_Functionalities'!Q57="","",'03_Functionalities'!Q57)</f>
        <v>Draft</v>
      </c>
      <c r="W57" s="2" t="str">
        <f>IF('03_Functionalities'!R57="","",'03_Functionalities'!R57)</f>
        <v>https://techdocs.broadcom.com/us/en/vmware-cis/vcf/vcf-9-0-and-later/9-1/release-notes/vmware-cloud-foundation-9-1-0-0-release-notes/what-s-new.html</v>
      </c>
      <c r="X57" s="2" t="str">
        <f>IF('03_Functionalities'!S57="","",'03_Functionalities'!S57)</f>
        <v>High</v>
      </c>
    </row>
    <row r="58" spans="1:24" ht="57">
      <c r="A58" s="2" t="str">
        <f>IF('03_Functionalities'!A58="","",'03_Functionalities'!A58)</f>
        <v>FN-VSPHERE-05-03</v>
      </c>
      <c r="B58" s="2" t="str">
        <f>IF('03_Functionalities'!B58="","",'03_Functionalities'!B58)</f>
        <v>FT-VSPHERE-05</v>
      </c>
      <c r="C58" s="2" t="str">
        <f>IF('03_Functionalities'!C58="","",'03_Functionalities'!C58)</f>
        <v>PC-VSPHERE</v>
      </c>
      <c r="D58" s="2" t="e">
        <f ca="1">IF(C58="","",_xludf.XLOOKUP(C58,'01_Products'!A:A,'01_Products'!B:B,"Missing Product"))</f>
        <v>#NAME?</v>
      </c>
      <c r="E58" s="2" t="e">
        <f ca="1">IF(C58="","",_xludf.XLOOKUP(C58,'01_Products'!A:A,'01_Products'!C:C,"Missing Type"))</f>
        <v>#NAME?</v>
      </c>
      <c r="F58" s="2" t="e">
        <f ca="1">IF(B58="","",_xludf.XLOOKUP(B58,'02_Features'!A:A,'02_Features'!C:C,"Missing Feature"))</f>
        <v>#NAME?</v>
      </c>
      <c r="G58" s="2" t="e">
        <f ca="1">IF(B58="","",_xludf.XLOOKUP(B58,'02_Features'!A:A,'02_Features'!E:E,"Missing Prompt"))</f>
        <v>#NAME?</v>
      </c>
      <c r="H58" s="2" t="str">
        <f>IF('03_Functionalities'!D58="","",'03_Functionalities'!D58)</f>
        <v>Application-aware availability context</v>
      </c>
      <c r="I58" s="2" t="str">
        <f>IF('03_Functionalities'!E58="","",'03_Functionalities'!E58)</f>
        <v>Major functionality for application-aware availability context.</v>
      </c>
      <c r="J58" s="2" t="str">
        <f>IF('03_Functionalities'!F58="","",'03_Functionalities'!F58)</f>
        <v>Includes major assessment behavior for application-aware availability context in the context of high availability and failure response.</v>
      </c>
      <c r="K58" s="2" t="str">
        <f>IF('03_Functionalities'!G58="","",'03_Functionalities'!G58)</f>
        <v>Excludes low-level configuration toggles, cosmetic UI behavior, and implementation-specific inventory minutiae unless they materially affect parity or risk.</v>
      </c>
      <c r="L58" s="2" t="str">
        <f>IF('03_Functionalities'!I58="","",'03_Functionalities'!I58)</f>
        <v>Compute</v>
      </c>
      <c r="M58" s="2" t="str">
        <f>IF('03_Functionalities'!J58="","",'03_Functionalities'!J58)</f>
        <v>Availability</v>
      </c>
      <c r="N58" s="2" t="str">
        <f>IF('03_Functionalities'!K58="","",'03_Functionalities'!K58)</f>
        <v>Critical</v>
      </c>
      <c r="O58" s="2" t="str">
        <f>IF('03_Functionalities'!L58="","",'03_Functionalities'!L58)</f>
        <v>Medium</v>
      </c>
      <c r="P58" s="2" t="str">
        <f>IF('03_Functionalities'!M58="","",'03_Functionalities'!M58)</f>
        <v>Official vendor documentation, release notes, validated KB/article, product guide, or architecture reference with version applicability.</v>
      </c>
      <c r="Q58" s="2" t="str">
        <f>IF('03_Functionalities'!N58="","",'03_Functionalities'!N58)</f>
        <v>VCF 9.1 High availability and failure response Application-aware availability context comparator parity evidence</v>
      </c>
      <c r="R58" s="2" t="str">
        <f>IF('03_Functionalities'!O58="","",'03_Functionalities'!O58)</f>
        <v>Yes</v>
      </c>
      <c r="S58" s="2" t="e">
        <f ca="1">IF(C58="","",_xludf.XLOOKUP(C58,'01_Products'!A:A,'01_Products'!K:K,0))</f>
        <v>#NAME?</v>
      </c>
      <c r="T58" s="2" t="e">
        <f ca="1">IF(B58="","",_xludf.XLOOKUP(B58,'02_Features'!A:A,'02_Features'!L:L,0))</f>
        <v>#NAME?</v>
      </c>
      <c r="U58" s="2">
        <f>IF('03_Functionalities'!P58="","",'03_Functionalities'!P58)</f>
        <v>3</v>
      </c>
      <c r="V58" s="2" t="str">
        <f>IF('03_Functionalities'!Q58="","",'03_Functionalities'!Q58)</f>
        <v>Draft</v>
      </c>
      <c r="W58" s="2" t="str">
        <f>IF('03_Functionalities'!R58="","",'03_Functionalities'!R58)</f>
        <v>https://techdocs.broadcom.com/us/en/vmware-cis/vcf/vcf-9-0-and-later/9-1/release-notes/vmware-cloud-foundation-9-1-0-0-release-notes/what-s-new.html</v>
      </c>
      <c r="X58" s="2" t="str">
        <f>IF('03_Functionalities'!S58="","",'03_Functionalities'!S58)</f>
        <v>High</v>
      </c>
    </row>
    <row r="59" spans="1:24" ht="57">
      <c r="A59" s="2" t="str">
        <f>IF('03_Functionalities'!A59="","",'03_Functionalities'!A59)</f>
        <v>FN-VSPHERE-06-01</v>
      </c>
      <c r="B59" s="2" t="str">
        <f>IF('03_Functionalities'!B59="","",'03_Functionalities'!B59)</f>
        <v>FT-VSPHERE-06</v>
      </c>
      <c r="C59" s="2" t="str">
        <f>IF('03_Functionalities'!C59="","",'03_Functionalities'!C59)</f>
        <v>PC-VSPHERE</v>
      </c>
      <c r="D59" s="2" t="e">
        <f ca="1">IF(C59="","",_xludf.XLOOKUP(C59,'01_Products'!A:A,'01_Products'!B:B,"Missing Product"))</f>
        <v>#NAME?</v>
      </c>
      <c r="E59" s="2" t="e">
        <f ca="1">IF(C59="","",_xludf.XLOOKUP(C59,'01_Products'!A:A,'01_Products'!C:C,"Missing Type"))</f>
        <v>#NAME?</v>
      </c>
      <c r="F59" s="2" t="e">
        <f ca="1">IF(B59="","",_xludf.XLOOKUP(B59,'02_Features'!A:A,'02_Features'!C:C,"Missing Feature"))</f>
        <v>#NAME?</v>
      </c>
      <c r="G59" s="2" t="e">
        <f ca="1">IF(B59="","",_xludf.XLOOKUP(B59,'02_Features'!A:A,'02_Features'!E:E,"Missing Prompt"))</f>
        <v>#NAME?</v>
      </c>
      <c r="H59" s="2" t="str">
        <f>IF('03_Functionalities'!D59="","",'03_Functionalities'!D59)</f>
        <v>Resource balancing recommendations</v>
      </c>
      <c r="I59" s="2" t="str">
        <f>IF('03_Functionalities'!E59="","",'03_Functionalities'!E59)</f>
        <v>Major functionality for resource balancing recommendations.</v>
      </c>
      <c r="J59" s="2" t="str">
        <f>IF('03_Functionalities'!F59="","",'03_Functionalities'!F59)</f>
        <v>Includes major assessment behavior for resource balancing recommendations in the context of drs and resource optimization.</v>
      </c>
      <c r="K59" s="2" t="str">
        <f>IF('03_Functionalities'!G59="","",'03_Functionalities'!G59)</f>
        <v>Excludes low-level configuration toggles, cosmetic UI behavior, and implementation-specific inventory minutiae unless they materially affect parity or risk.</v>
      </c>
      <c r="L59" s="2" t="str">
        <f>IF('03_Functionalities'!I59="","",'03_Functionalities'!I59)</f>
        <v>Compute</v>
      </c>
      <c r="M59" s="2" t="str">
        <f>IF('03_Functionalities'!J59="","",'03_Functionalities'!J59)</f>
        <v>Resource Optimization</v>
      </c>
      <c r="N59" s="2" t="str">
        <f>IF('03_Functionalities'!K59="","",'03_Functionalities'!K59)</f>
        <v>High</v>
      </c>
      <c r="O59" s="2" t="str">
        <f>IF('03_Functionalities'!L59="","",'03_Functionalities'!L59)</f>
        <v>Low</v>
      </c>
      <c r="P59" s="2" t="str">
        <f>IF('03_Functionalities'!M59="","",'03_Functionalities'!M59)</f>
        <v>Official vendor documentation, release notes, validated KB/article, product guide, or architecture reference with version applicability.</v>
      </c>
      <c r="Q59" s="2" t="str">
        <f>IF('03_Functionalities'!N59="","",'03_Functionalities'!N59)</f>
        <v>VCF 9.1 DRS and resource optimization Resource balancing recommendations comparator parity evidence</v>
      </c>
      <c r="R59" s="2" t="str">
        <f>IF('03_Functionalities'!O59="","",'03_Functionalities'!O59)</f>
        <v>Yes</v>
      </c>
      <c r="S59" s="2" t="e">
        <f ca="1">IF(C59="","",_xludf.XLOOKUP(C59,'01_Products'!A:A,'01_Products'!K:K,0))</f>
        <v>#NAME?</v>
      </c>
      <c r="T59" s="2" t="e">
        <f ca="1">IF(B59="","",_xludf.XLOOKUP(B59,'02_Features'!A:A,'02_Features'!L:L,0))</f>
        <v>#NAME?</v>
      </c>
      <c r="U59" s="2">
        <f>IF('03_Functionalities'!P59="","",'03_Functionalities'!P59)</f>
        <v>1</v>
      </c>
      <c r="V59" s="2" t="str">
        <f>IF('03_Functionalities'!Q59="","",'03_Functionalities'!Q59)</f>
        <v>Draft</v>
      </c>
      <c r="W59" s="2" t="str">
        <f>IF('03_Functionalities'!R59="","",'03_Functionalities'!R59)</f>
        <v>https://techdocs.broadcom.com/us/en/vmware-cis/vcf/vcf-9-0-and-later/9-1/release-notes/vmware-cloud-foundation-9-1-0-0-release-notes/what-s-new.html</v>
      </c>
      <c r="X59" s="2" t="str">
        <f>IF('03_Functionalities'!S59="","",'03_Functionalities'!S59)</f>
        <v>High</v>
      </c>
    </row>
    <row r="60" spans="1:24" ht="57">
      <c r="A60" s="2" t="str">
        <f>IF('03_Functionalities'!A60="","",'03_Functionalities'!A60)</f>
        <v>FN-VSPHERE-06-02</v>
      </c>
      <c r="B60" s="2" t="str">
        <f>IF('03_Functionalities'!B60="","",'03_Functionalities'!B60)</f>
        <v>FT-VSPHERE-06</v>
      </c>
      <c r="C60" s="2" t="str">
        <f>IF('03_Functionalities'!C60="","",'03_Functionalities'!C60)</f>
        <v>PC-VSPHERE</v>
      </c>
      <c r="D60" s="2" t="e">
        <f ca="1">IF(C60="","",_xludf.XLOOKUP(C60,'01_Products'!A:A,'01_Products'!B:B,"Missing Product"))</f>
        <v>#NAME?</v>
      </c>
      <c r="E60" s="2" t="e">
        <f ca="1">IF(C60="","",_xludf.XLOOKUP(C60,'01_Products'!A:A,'01_Products'!C:C,"Missing Type"))</f>
        <v>#NAME?</v>
      </c>
      <c r="F60" s="2" t="e">
        <f ca="1">IF(B60="","",_xludf.XLOOKUP(B60,'02_Features'!A:A,'02_Features'!C:C,"Missing Feature"))</f>
        <v>#NAME?</v>
      </c>
      <c r="G60" s="2" t="e">
        <f ca="1">IF(B60="","",_xludf.XLOOKUP(B60,'02_Features'!A:A,'02_Features'!E:E,"Missing Prompt"))</f>
        <v>#NAME?</v>
      </c>
      <c r="H60" s="2" t="str">
        <f>IF('03_Functionalities'!D60="","",'03_Functionalities'!D60)</f>
        <v>Automated placement optimization</v>
      </c>
      <c r="I60" s="2" t="str">
        <f>IF('03_Functionalities'!E60="","",'03_Functionalities'!E60)</f>
        <v>Major functionality for automated placement optimization.</v>
      </c>
      <c r="J60" s="2" t="str">
        <f>IF('03_Functionalities'!F60="","",'03_Functionalities'!F60)</f>
        <v>Includes major assessment behavior for automated placement optimization in the context of drs and resource optimization.</v>
      </c>
      <c r="K60" s="2" t="str">
        <f>IF('03_Functionalities'!G60="","",'03_Functionalities'!G60)</f>
        <v>Excludes low-level configuration toggles, cosmetic UI behavior, and implementation-specific inventory minutiae unless they materially affect parity or risk.</v>
      </c>
      <c r="L60" s="2" t="str">
        <f>IF('03_Functionalities'!I60="","",'03_Functionalities'!I60)</f>
        <v>Compute</v>
      </c>
      <c r="M60" s="2" t="str">
        <f>IF('03_Functionalities'!J60="","",'03_Functionalities'!J60)</f>
        <v>Resource Optimization</v>
      </c>
      <c r="N60" s="2" t="str">
        <f>IF('03_Functionalities'!K60="","",'03_Functionalities'!K60)</f>
        <v>High</v>
      </c>
      <c r="O60" s="2" t="str">
        <f>IF('03_Functionalities'!L60="","",'03_Functionalities'!L60)</f>
        <v>Low</v>
      </c>
      <c r="P60" s="2" t="str">
        <f>IF('03_Functionalities'!M60="","",'03_Functionalities'!M60)</f>
        <v>Official vendor documentation, release notes, validated KB/article, product guide, or architecture reference with version applicability.</v>
      </c>
      <c r="Q60" s="2" t="str">
        <f>IF('03_Functionalities'!N60="","",'03_Functionalities'!N60)</f>
        <v>VCF 9.1 DRS and resource optimization Automated placement optimization comparator parity evidence</v>
      </c>
      <c r="R60" s="2" t="str">
        <f>IF('03_Functionalities'!O60="","",'03_Functionalities'!O60)</f>
        <v>Yes</v>
      </c>
      <c r="S60" s="2" t="e">
        <f ca="1">IF(C60="","",_xludf.XLOOKUP(C60,'01_Products'!A:A,'01_Products'!K:K,0))</f>
        <v>#NAME?</v>
      </c>
      <c r="T60" s="2" t="e">
        <f ca="1">IF(B60="","",_xludf.XLOOKUP(B60,'02_Features'!A:A,'02_Features'!L:L,0))</f>
        <v>#NAME?</v>
      </c>
      <c r="U60" s="2">
        <f>IF('03_Functionalities'!P60="","",'03_Functionalities'!P60)</f>
        <v>2</v>
      </c>
      <c r="V60" s="2" t="str">
        <f>IF('03_Functionalities'!Q60="","",'03_Functionalities'!Q60)</f>
        <v>Draft</v>
      </c>
      <c r="W60" s="2" t="str">
        <f>IF('03_Functionalities'!R60="","",'03_Functionalities'!R60)</f>
        <v>https://techdocs.broadcom.com/us/en/vmware-cis/vcf/vcf-9-0-and-later/9-1/release-notes/vmware-cloud-foundation-9-1-0-0-release-notes/what-s-new.html</v>
      </c>
      <c r="X60" s="2" t="str">
        <f>IF('03_Functionalities'!S60="","",'03_Functionalities'!S60)</f>
        <v>High</v>
      </c>
    </row>
    <row r="61" spans="1:24" ht="57">
      <c r="A61" s="2" t="str">
        <f>IF('03_Functionalities'!A61="","",'03_Functionalities'!A61)</f>
        <v>FN-VSPHERE-06-03</v>
      </c>
      <c r="B61" s="2" t="str">
        <f>IF('03_Functionalities'!B61="","",'03_Functionalities'!B61)</f>
        <v>FT-VSPHERE-06</v>
      </c>
      <c r="C61" s="2" t="str">
        <f>IF('03_Functionalities'!C61="","",'03_Functionalities'!C61)</f>
        <v>PC-VSPHERE</v>
      </c>
      <c r="D61" s="2" t="e">
        <f ca="1">IF(C61="","",_xludf.XLOOKUP(C61,'01_Products'!A:A,'01_Products'!B:B,"Missing Product"))</f>
        <v>#NAME?</v>
      </c>
      <c r="E61" s="2" t="e">
        <f ca="1">IF(C61="","",_xludf.XLOOKUP(C61,'01_Products'!A:A,'01_Products'!C:C,"Missing Type"))</f>
        <v>#NAME?</v>
      </c>
      <c r="F61" s="2" t="e">
        <f ca="1">IF(B61="","",_xludf.XLOOKUP(B61,'02_Features'!A:A,'02_Features'!C:C,"Missing Feature"))</f>
        <v>#NAME?</v>
      </c>
      <c r="G61" s="2" t="e">
        <f ca="1">IF(B61="","",_xludf.XLOOKUP(B61,'02_Features'!A:A,'02_Features'!E:E,"Missing Prompt"))</f>
        <v>#NAME?</v>
      </c>
      <c r="H61" s="2" t="str">
        <f>IF('03_Functionalities'!D61="","",'03_Functionalities'!D61)</f>
        <v>Resource pool and reservation governance</v>
      </c>
      <c r="I61" s="2" t="str">
        <f>IF('03_Functionalities'!E61="","",'03_Functionalities'!E61)</f>
        <v>Major functionality for resource pool and reservation governance.</v>
      </c>
      <c r="J61" s="2" t="str">
        <f>IF('03_Functionalities'!F61="","",'03_Functionalities'!F61)</f>
        <v>Includes major assessment behavior for resource pool and reservation governance in the context of drs and resource optimization.</v>
      </c>
      <c r="K61" s="2" t="str">
        <f>IF('03_Functionalities'!G61="","",'03_Functionalities'!G61)</f>
        <v>Excludes low-level configuration toggles, cosmetic UI behavior, and implementation-specific inventory minutiae unless they materially affect parity or risk.</v>
      </c>
      <c r="L61" s="2" t="str">
        <f>IF('03_Functionalities'!I61="","",'03_Functionalities'!I61)</f>
        <v>Compute</v>
      </c>
      <c r="M61" s="2" t="str">
        <f>IF('03_Functionalities'!J61="","",'03_Functionalities'!J61)</f>
        <v>Resource Optimization</v>
      </c>
      <c r="N61" s="2" t="str">
        <f>IF('03_Functionalities'!K61="","",'03_Functionalities'!K61)</f>
        <v>High</v>
      </c>
      <c r="O61" s="2" t="str">
        <f>IF('03_Functionalities'!L61="","",'03_Functionalities'!L61)</f>
        <v>Low</v>
      </c>
      <c r="P61" s="2" t="str">
        <f>IF('03_Functionalities'!M61="","",'03_Functionalities'!M61)</f>
        <v>Official vendor documentation, release notes, validated KB/article, product guide, or architecture reference with version applicability.</v>
      </c>
      <c r="Q61" s="2" t="str">
        <f>IF('03_Functionalities'!N61="","",'03_Functionalities'!N61)</f>
        <v>VCF 9.1 DRS and resource optimization Resource pool and reservation governance comparator parity evidence</v>
      </c>
      <c r="R61" s="2" t="str">
        <f>IF('03_Functionalities'!O61="","",'03_Functionalities'!O61)</f>
        <v>Yes</v>
      </c>
      <c r="S61" s="2" t="e">
        <f ca="1">IF(C61="","",_xludf.XLOOKUP(C61,'01_Products'!A:A,'01_Products'!K:K,0))</f>
        <v>#NAME?</v>
      </c>
      <c r="T61" s="2" t="e">
        <f ca="1">IF(B61="","",_xludf.XLOOKUP(B61,'02_Features'!A:A,'02_Features'!L:L,0))</f>
        <v>#NAME?</v>
      </c>
      <c r="U61" s="2">
        <f>IF('03_Functionalities'!P61="","",'03_Functionalities'!P61)</f>
        <v>3</v>
      </c>
      <c r="V61" s="2" t="str">
        <f>IF('03_Functionalities'!Q61="","",'03_Functionalities'!Q61)</f>
        <v>Draft</v>
      </c>
      <c r="W61" s="2" t="str">
        <f>IF('03_Functionalities'!R61="","",'03_Functionalities'!R61)</f>
        <v>https://techdocs.broadcom.com/us/en/vmware-cis/vcf/vcf-9-0-and-later/9-1/release-notes/vmware-cloud-foundation-9-1-0-0-release-notes/what-s-new.html</v>
      </c>
      <c r="X61" s="2" t="str">
        <f>IF('03_Functionalities'!S61="","",'03_Functionalities'!S61)</f>
        <v>High</v>
      </c>
    </row>
    <row r="62" spans="1:24" ht="57">
      <c r="A62" s="2" t="str">
        <f>IF('03_Functionalities'!A62="","",'03_Functionalities'!A62)</f>
        <v>FN-VSPHERE-07-01</v>
      </c>
      <c r="B62" s="2" t="str">
        <f>IF('03_Functionalities'!B62="","",'03_Functionalities'!B62)</f>
        <v>FT-VSPHERE-07</v>
      </c>
      <c r="C62" s="2" t="str">
        <f>IF('03_Functionalities'!C62="","",'03_Functionalities'!C62)</f>
        <v>PC-VSPHERE</v>
      </c>
      <c r="D62" s="2" t="e">
        <f ca="1">IF(C62="","",_xludf.XLOOKUP(C62,'01_Products'!A:A,'01_Products'!B:B,"Missing Product"))</f>
        <v>#NAME?</v>
      </c>
      <c r="E62" s="2" t="e">
        <f ca="1">IF(C62="","",_xludf.XLOOKUP(C62,'01_Products'!A:A,'01_Products'!C:C,"Missing Type"))</f>
        <v>#NAME?</v>
      </c>
      <c r="F62" s="2" t="e">
        <f ca="1">IF(B62="","",_xludf.XLOOKUP(B62,'02_Features'!A:A,'02_Features'!C:C,"Missing Feature"))</f>
        <v>#NAME?</v>
      </c>
      <c r="G62" s="2" t="e">
        <f ca="1">IF(B62="","",_xludf.XLOOKUP(B62,'02_Features'!A:A,'02_Features'!E:E,"Missing Prompt"))</f>
        <v>#NAME?</v>
      </c>
      <c r="H62" s="2" t="str">
        <f>IF('03_Functionalities'!D62="","",'03_Functionalities'!D62)</f>
        <v>vSphere role-based access control</v>
      </c>
      <c r="I62" s="2" t="str">
        <f>IF('03_Functionalities'!E62="","",'03_Functionalities'!E62)</f>
        <v>Major functionality for vsphere role-based access control.</v>
      </c>
      <c r="J62" s="2" t="str">
        <f>IF('03_Functionalities'!F62="","",'03_Functionalities'!F62)</f>
        <v>Includes major assessment behavior for vsphere role-based access control in the context of vsphere security and access control.</v>
      </c>
      <c r="K62" s="2" t="str">
        <f>IF('03_Functionalities'!G62="","",'03_Functionalities'!G62)</f>
        <v>Excludes low-level configuration toggles, cosmetic UI behavior, and implementation-specific inventory minutiae unless they materially affect parity or risk.</v>
      </c>
      <c r="L62" s="2" t="str">
        <f>IF('03_Functionalities'!I62="","",'03_Functionalities'!I62)</f>
        <v>Security</v>
      </c>
      <c r="M62" s="2" t="str">
        <f>IF('03_Functionalities'!J62="","",'03_Functionalities'!J62)</f>
        <v>Compute Security</v>
      </c>
      <c r="N62" s="2" t="str">
        <f>IF('03_Functionalities'!K62="","",'03_Functionalities'!K62)</f>
        <v>High</v>
      </c>
      <c r="O62" s="2" t="str">
        <f>IF('03_Functionalities'!L62="","",'03_Functionalities'!L62)</f>
        <v>High</v>
      </c>
      <c r="P62" s="2" t="str">
        <f>IF('03_Functionalities'!M62="","",'03_Functionalities'!M62)</f>
        <v>Official vendor documentation, release notes, validated KB/article, product guide, or architecture reference with version applicability.</v>
      </c>
      <c r="Q62" s="2" t="str">
        <f>IF('03_Functionalities'!N62="","",'03_Functionalities'!N62)</f>
        <v>VCF 9.1 vSphere security and access control vSphere role-based access control comparator parity evidence</v>
      </c>
      <c r="R62" s="2" t="str">
        <f>IF('03_Functionalities'!O62="","",'03_Functionalities'!O62)</f>
        <v>Yes</v>
      </c>
      <c r="S62" s="2" t="e">
        <f ca="1">IF(C62="","",_xludf.XLOOKUP(C62,'01_Products'!A:A,'01_Products'!K:K,0))</f>
        <v>#NAME?</v>
      </c>
      <c r="T62" s="2" t="e">
        <f ca="1">IF(B62="","",_xludf.XLOOKUP(B62,'02_Features'!A:A,'02_Features'!L:L,0))</f>
        <v>#NAME?</v>
      </c>
      <c r="U62" s="2">
        <f>IF('03_Functionalities'!P62="","",'03_Functionalities'!P62)</f>
        <v>1</v>
      </c>
      <c r="V62" s="2" t="str">
        <f>IF('03_Functionalities'!Q62="","",'03_Functionalities'!Q62)</f>
        <v>Draft</v>
      </c>
      <c r="W62" s="2" t="str">
        <f>IF('03_Functionalities'!R62="","",'03_Functionalities'!R62)</f>
        <v>https://techdocs.broadcom.com/us/en/vmware-cis/vcf/vcf-9-0-and-later/9-1/release-notes/vmware-cloud-foundation-9-1-0-0-release-notes/what-s-new.html</v>
      </c>
      <c r="X62" s="2" t="str">
        <f>IF('03_Functionalities'!S62="","",'03_Functionalities'!S62)</f>
        <v>High</v>
      </c>
    </row>
    <row r="63" spans="1:24" ht="57">
      <c r="A63" s="2" t="str">
        <f>IF('03_Functionalities'!A63="","",'03_Functionalities'!A63)</f>
        <v>FN-VSPHERE-07-02</v>
      </c>
      <c r="B63" s="2" t="str">
        <f>IF('03_Functionalities'!B63="","",'03_Functionalities'!B63)</f>
        <v>FT-VSPHERE-07</v>
      </c>
      <c r="C63" s="2" t="str">
        <f>IF('03_Functionalities'!C63="","",'03_Functionalities'!C63)</f>
        <v>PC-VSPHERE</v>
      </c>
      <c r="D63" s="2" t="e">
        <f ca="1">IF(C63="","",_xludf.XLOOKUP(C63,'01_Products'!A:A,'01_Products'!B:B,"Missing Product"))</f>
        <v>#NAME?</v>
      </c>
      <c r="E63" s="2" t="e">
        <f ca="1">IF(C63="","",_xludf.XLOOKUP(C63,'01_Products'!A:A,'01_Products'!C:C,"Missing Type"))</f>
        <v>#NAME?</v>
      </c>
      <c r="F63" s="2" t="e">
        <f ca="1">IF(B63="","",_xludf.XLOOKUP(B63,'02_Features'!A:A,'02_Features'!C:C,"Missing Feature"))</f>
        <v>#NAME?</v>
      </c>
      <c r="G63" s="2" t="e">
        <f ca="1">IF(B63="","",_xludf.XLOOKUP(B63,'02_Features'!A:A,'02_Features'!E:E,"Missing Prompt"))</f>
        <v>#NAME?</v>
      </c>
      <c r="H63" s="2" t="str">
        <f>IF('03_Functionalities'!D63="","",'03_Functionalities'!D63)</f>
        <v>Host/vCenter secure configuration</v>
      </c>
      <c r="I63" s="2" t="str">
        <f>IF('03_Functionalities'!E63="","",'03_Functionalities'!E63)</f>
        <v>Major functionality for host/vcenter secure configuration.</v>
      </c>
      <c r="J63" s="2" t="str">
        <f>IF('03_Functionalities'!F63="","",'03_Functionalities'!F63)</f>
        <v>Includes major assessment behavior for host/vcenter secure configuration in the context of vsphere security and access control.</v>
      </c>
      <c r="K63" s="2" t="str">
        <f>IF('03_Functionalities'!G63="","",'03_Functionalities'!G63)</f>
        <v>Excludes low-level configuration toggles, cosmetic UI behavior, and implementation-specific inventory minutiae unless they materially affect parity or risk.</v>
      </c>
      <c r="L63" s="2" t="str">
        <f>IF('03_Functionalities'!I63="","",'03_Functionalities'!I63)</f>
        <v>Security</v>
      </c>
      <c r="M63" s="2" t="str">
        <f>IF('03_Functionalities'!J63="","",'03_Functionalities'!J63)</f>
        <v>Compute Security</v>
      </c>
      <c r="N63" s="2" t="str">
        <f>IF('03_Functionalities'!K63="","",'03_Functionalities'!K63)</f>
        <v>High</v>
      </c>
      <c r="O63" s="2" t="str">
        <f>IF('03_Functionalities'!L63="","",'03_Functionalities'!L63)</f>
        <v>High</v>
      </c>
      <c r="P63" s="2" t="str">
        <f>IF('03_Functionalities'!M63="","",'03_Functionalities'!M63)</f>
        <v>Official vendor documentation, release notes, validated KB/article, product guide, or architecture reference with version applicability.</v>
      </c>
      <c r="Q63" s="2" t="str">
        <f>IF('03_Functionalities'!N63="","",'03_Functionalities'!N63)</f>
        <v>VCF 9.1 vSphere security and access control Host/vCenter secure configuration comparator parity evidence</v>
      </c>
      <c r="R63" s="2" t="str">
        <f>IF('03_Functionalities'!O63="","",'03_Functionalities'!O63)</f>
        <v>Yes</v>
      </c>
      <c r="S63" s="2" t="e">
        <f ca="1">IF(C63="","",_xludf.XLOOKUP(C63,'01_Products'!A:A,'01_Products'!K:K,0))</f>
        <v>#NAME?</v>
      </c>
      <c r="T63" s="2" t="e">
        <f ca="1">IF(B63="","",_xludf.XLOOKUP(B63,'02_Features'!A:A,'02_Features'!L:L,0))</f>
        <v>#NAME?</v>
      </c>
      <c r="U63" s="2">
        <f>IF('03_Functionalities'!P63="","",'03_Functionalities'!P63)</f>
        <v>2</v>
      </c>
      <c r="V63" s="2" t="str">
        <f>IF('03_Functionalities'!Q63="","",'03_Functionalities'!Q63)</f>
        <v>Draft</v>
      </c>
      <c r="W63" s="2" t="str">
        <f>IF('03_Functionalities'!R63="","",'03_Functionalities'!R63)</f>
        <v>https://techdocs.broadcom.com/us/en/vmware-cis/vcf/vcf-9-0-and-later/9-1/release-notes/vmware-cloud-foundation-9-1-0-0-release-notes/what-s-new.html</v>
      </c>
      <c r="X63" s="2" t="str">
        <f>IF('03_Functionalities'!S63="","",'03_Functionalities'!S63)</f>
        <v>High</v>
      </c>
    </row>
    <row r="64" spans="1:24" ht="57">
      <c r="A64" s="2" t="str">
        <f>IF('03_Functionalities'!A64="","",'03_Functionalities'!A64)</f>
        <v>FN-VSPHERE-07-03</v>
      </c>
      <c r="B64" s="2" t="str">
        <f>IF('03_Functionalities'!B64="","",'03_Functionalities'!B64)</f>
        <v>FT-VSPHERE-07</v>
      </c>
      <c r="C64" s="2" t="str">
        <f>IF('03_Functionalities'!C64="","",'03_Functionalities'!C64)</f>
        <v>PC-VSPHERE</v>
      </c>
      <c r="D64" s="2" t="e">
        <f ca="1">IF(C64="","",_xludf.XLOOKUP(C64,'01_Products'!A:A,'01_Products'!B:B,"Missing Product"))</f>
        <v>#NAME?</v>
      </c>
      <c r="E64" s="2" t="e">
        <f ca="1">IF(C64="","",_xludf.XLOOKUP(C64,'01_Products'!A:A,'01_Products'!C:C,"Missing Type"))</f>
        <v>#NAME?</v>
      </c>
      <c r="F64" s="2" t="e">
        <f ca="1">IF(B64="","",_xludf.XLOOKUP(B64,'02_Features'!A:A,'02_Features'!C:C,"Missing Feature"))</f>
        <v>#NAME?</v>
      </c>
      <c r="G64" s="2" t="e">
        <f ca="1">IF(B64="","",_xludf.XLOOKUP(B64,'02_Features'!A:A,'02_Features'!E:E,"Missing Prompt"))</f>
        <v>#NAME?</v>
      </c>
      <c r="H64" s="2" t="str">
        <f>IF('03_Functionalities'!D64="","",'03_Functionalities'!D64)</f>
        <v>Certificate and trust configuration</v>
      </c>
      <c r="I64" s="2" t="str">
        <f>IF('03_Functionalities'!E64="","",'03_Functionalities'!E64)</f>
        <v>Major functionality for certificate and trust configuration.</v>
      </c>
      <c r="J64" s="2" t="str">
        <f>IF('03_Functionalities'!F64="","",'03_Functionalities'!F64)</f>
        <v>Includes major assessment behavior for certificate and trust configuration in the context of vsphere security and access control.</v>
      </c>
      <c r="K64" s="2" t="str">
        <f>IF('03_Functionalities'!G64="","",'03_Functionalities'!G64)</f>
        <v>Excludes low-level configuration toggles, cosmetic UI behavior, and implementation-specific inventory minutiae unless they materially affect parity or risk.</v>
      </c>
      <c r="L64" s="2" t="str">
        <f>IF('03_Functionalities'!I64="","",'03_Functionalities'!I64)</f>
        <v>Security</v>
      </c>
      <c r="M64" s="2" t="str">
        <f>IF('03_Functionalities'!J64="","",'03_Functionalities'!J64)</f>
        <v>Compute Security</v>
      </c>
      <c r="N64" s="2" t="str">
        <f>IF('03_Functionalities'!K64="","",'03_Functionalities'!K64)</f>
        <v>High</v>
      </c>
      <c r="O64" s="2" t="str">
        <f>IF('03_Functionalities'!L64="","",'03_Functionalities'!L64)</f>
        <v>High</v>
      </c>
      <c r="P64" s="2" t="str">
        <f>IF('03_Functionalities'!M64="","",'03_Functionalities'!M64)</f>
        <v>Official vendor documentation, release notes, validated KB/article, product guide, or architecture reference with version applicability.</v>
      </c>
      <c r="Q64" s="2" t="str">
        <f>IF('03_Functionalities'!N64="","",'03_Functionalities'!N64)</f>
        <v>VCF 9.1 vSphere security and access control Certificate and trust configuration comparator parity evidence</v>
      </c>
      <c r="R64" s="2" t="str">
        <f>IF('03_Functionalities'!O64="","",'03_Functionalities'!O64)</f>
        <v>Yes</v>
      </c>
      <c r="S64" s="2" t="e">
        <f ca="1">IF(C64="","",_xludf.XLOOKUP(C64,'01_Products'!A:A,'01_Products'!K:K,0))</f>
        <v>#NAME?</v>
      </c>
      <c r="T64" s="2" t="e">
        <f ca="1">IF(B64="","",_xludf.XLOOKUP(B64,'02_Features'!A:A,'02_Features'!L:L,0))</f>
        <v>#NAME?</v>
      </c>
      <c r="U64" s="2">
        <f>IF('03_Functionalities'!P64="","",'03_Functionalities'!P64)</f>
        <v>3</v>
      </c>
      <c r="V64" s="2" t="str">
        <f>IF('03_Functionalities'!Q64="","",'03_Functionalities'!Q64)</f>
        <v>Draft</v>
      </c>
      <c r="W64" s="2" t="str">
        <f>IF('03_Functionalities'!R64="","",'03_Functionalities'!R64)</f>
        <v>https://techdocs.broadcom.com/us/en/vmware-cis/vcf/vcf-9-0-and-later/9-1/release-notes/vmware-cloud-foundation-9-1-0-0-release-notes/what-s-new.html</v>
      </c>
      <c r="X64" s="2" t="str">
        <f>IF('03_Functionalities'!S64="","",'03_Functionalities'!S64)</f>
        <v>High</v>
      </c>
    </row>
    <row r="65" spans="1:24" ht="71.25">
      <c r="A65" s="2" t="str">
        <f>IF('03_Functionalities'!A65="","",'03_Functionalities'!A65)</f>
        <v>FN-VSPHERE-08-01</v>
      </c>
      <c r="B65" s="2" t="str">
        <f>IF('03_Functionalities'!B65="","",'03_Functionalities'!B65)</f>
        <v>FT-VSPHERE-08</v>
      </c>
      <c r="C65" s="2" t="str">
        <f>IF('03_Functionalities'!C65="","",'03_Functionalities'!C65)</f>
        <v>PC-VSPHERE</v>
      </c>
      <c r="D65" s="2" t="e">
        <f ca="1">IF(C65="","",_xludf.XLOOKUP(C65,'01_Products'!A:A,'01_Products'!B:B,"Missing Product"))</f>
        <v>#NAME?</v>
      </c>
      <c r="E65" s="2" t="e">
        <f ca="1">IF(C65="","",_xludf.XLOOKUP(C65,'01_Products'!A:A,'01_Products'!C:C,"Missing Type"))</f>
        <v>#NAME?</v>
      </c>
      <c r="F65" s="2" t="e">
        <f ca="1">IF(B65="","",_xludf.XLOOKUP(B65,'02_Features'!A:A,'02_Features'!C:C,"Missing Feature"))</f>
        <v>#NAME?</v>
      </c>
      <c r="G65" s="2" t="e">
        <f ca="1">IF(B65="","",_xludf.XLOOKUP(B65,'02_Features'!A:A,'02_Features'!E:E,"Missing Prompt"))</f>
        <v>#NAME?</v>
      </c>
      <c r="H65" s="2" t="str">
        <f>IF('03_Functionalities'!D65="","",'03_Functionalities'!D65)</f>
        <v>Virtual hardware compatibility</v>
      </c>
      <c r="I65" s="2" t="str">
        <f>IF('03_Functionalities'!E65="","",'03_Functionalities'!E65)</f>
        <v>Major functionality for virtual hardware compatibility.</v>
      </c>
      <c r="J65" s="2" t="str">
        <f>IF('03_Functionalities'!F65="","",'03_Functionalities'!F65)</f>
        <v>Includes major assessment behavior for virtual hardware compatibility in the context of vm hardware, tools and console operations.</v>
      </c>
      <c r="K65" s="2" t="str">
        <f>IF('03_Functionalities'!G65="","",'03_Functionalities'!G65)</f>
        <v>Excludes low-level configuration toggles, cosmetic UI behavior, and implementation-specific inventory minutiae unless they materially affect parity or risk.</v>
      </c>
      <c r="L65" s="2" t="str">
        <f>IF('03_Functionalities'!I65="","",'03_Functionalities'!I65)</f>
        <v>Compute</v>
      </c>
      <c r="M65" s="2" t="str">
        <f>IF('03_Functionalities'!J65="","",'03_Functionalities'!J65)</f>
        <v>Guest Operations</v>
      </c>
      <c r="N65" s="2" t="str">
        <f>IF('03_Functionalities'!K65="","",'03_Functionalities'!K65)</f>
        <v>Medium</v>
      </c>
      <c r="O65" s="2" t="str">
        <f>IF('03_Functionalities'!L65="","",'03_Functionalities'!L65)</f>
        <v>Low</v>
      </c>
      <c r="P65" s="2" t="str">
        <f>IF('03_Functionalities'!M65="","",'03_Functionalities'!M65)</f>
        <v>Official vendor documentation, release notes, validated KB/article, product guide, or architecture reference with version applicability.</v>
      </c>
      <c r="Q65" s="2" t="str">
        <f>IF('03_Functionalities'!N65="","",'03_Functionalities'!N65)</f>
        <v>VCF 9.1 VM hardware, tools and console operations Virtual hardware compatibility comparator parity evidence</v>
      </c>
      <c r="R65" s="2" t="str">
        <f>IF('03_Functionalities'!O65="","",'03_Functionalities'!O65)</f>
        <v>Yes</v>
      </c>
      <c r="S65" s="2" t="e">
        <f ca="1">IF(C65="","",_xludf.XLOOKUP(C65,'01_Products'!A:A,'01_Products'!K:K,0))</f>
        <v>#NAME?</v>
      </c>
      <c r="T65" s="2" t="e">
        <f ca="1">IF(B65="","",_xludf.XLOOKUP(B65,'02_Features'!A:A,'02_Features'!L:L,0))</f>
        <v>#NAME?</v>
      </c>
      <c r="U65" s="2">
        <f>IF('03_Functionalities'!P65="","",'03_Functionalities'!P65)</f>
        <v>1</v>
      </c>
      <c r="V65" s="2" t="str">
        <f>IF('03_Functionalities'!Q65="","",'03_Functionalities'!Q65)</f>
        <v>Draft</v>
      </c>
      <c r="W65" s="2" t="str">
        <f>IF('03_Functionalities'!R65="","",'03_Functionalities'!R65)</f>
        <v>https://techdocs.broadcom.com/us/en/vmware-cis/vcf/vcf-9-0-and-later/9-1/release-notes/vmware-cloud-foundation-9-1-0-0-release-notes/vmware-cloud-foundation-bill-of-materials.html</v>
      </c>
      <c r="X65" s="2" t="str">
        <f>IF('03_Functionalities'!S65="","",'03_Functionalities'!S65)</f>
        <v>High</v>
      </c>
    </row>
    <row r="66" spans="1:24" ht="71.25">
      <c r="A66" s="2" t="str">
        <f>IF('03_Functionalities'!A66="","",'03_Functionalities'!A66)</f>
        <v>FN-VSPHERE-08-02</v>
      </c>
      <c r="B66" s="2" t="str">
        <f>IF('03_Functionalities'!B66="","",'03_Functionalities'!B66)</f>
        <v>FT-VSPHERE-08</v>
      </c>
      <c r="C66" s="2" t="str">
        <f>IF('03_Functionalities'!C66="","",'03_Functionalities'!C66)</f>
        <v>PC-VSPHERE</v>
      </c>
      <c r="D66" s="2" t="e">
        <f ca="1">IF(C66="","",_xludf.XLOOKUP(C66,'01_Products'!A:A,'01_Products'!B:B,"Missing Product"))</f>
        <v>#NAME?</v>
      </c>
      <c r="E66" s="2" t="e">
        <f ca="1">IF(C66="","",_xludf.XLOOKUP(C66,'01_Products'!A:A,'01_Products'!C:C,"Missing Type"))</f>
        <v>#NAME?</v>
      </c>
      <c r="F66" s="2" t="e">
        <f ca="1">IF(B66="","",_xludf.XLOOKUP(B66,'02_Features'!A:A,'02_Features'!C:C,"Missing Feature"))</f>
        <v>#NAME?</v>
      </c>
      <c r="G66" s="2" t="e">
        <f ca="1">IF(B66="","",_xludf.XLOOKUP(B66,'02_Features'!A:A,'02_Features'!E:E,"Missing Prompt"))</f>
        <v>#NAME?</v>
      </c>
      <c r="H66" s="2" t="str">
        <f>IF('03_Functionalities'!D66="","",'03_Functionalities'!D66)</f>
        <v>VMware Tools lifecycle</v>
      </c>
      <c r="I66" s="2" t="str">
        <f>IF('03_Functionalities'!E66="","",'03_Functionalities'!E66)</f>
        <v>Major functionality for vmware tools lifecycle.</v>
      </c>
      <c r="J66" s="2" t="str">
        <f>IF('03_Functionalities'!F66="","",'03_Functionalities'!F66)</f>
        <v>Includes major assessment behavior for vmware tools lifecycle in the context of vm hardware, tools and console operations.</v>
      </c>
      <c r="K66" s="2" t="str">
        <f>IF('03_Functionalities'!G66="","",'03_Functionalities'!G66)</f>
        <v>Excludes low-level configuration toggles, cosmetic UI behavior, and implementation-specific inventory minutiae unless they materially affect parity or risk.</v>
      </c>
      <c r="L66" s="2" t="str">
        <f>IF('03_Functionalities'!I66="","",'03_Functionalities'!I66)</f>
        <v>Compute</v>
      </c>
      <c r="M66" s="2" t="str">
        <f>IF('03_Functionalities'!J66="","",'03_Functionalities'!J66)</f>
        <v>Guest Operations</v>
      </c>
      <c r="N66" s="2" t="str">
        <f>IF('03_Functionalities'!K66="","",'03_Functionalities'!K66)</f>
        <v>Medium</v>
      </c>
      <c r="O66" s="2" t="str">
        <f>IF('03_Functionalities'!L66="","",'03_Functionalities'!L66)</f>
        <v>Low</v>
      </c>
      <c r="P66" s="2" t="str">
        <f>IF('03_Functionalities'!M66="","",'03_Functionalities'!M66)</f>
        <v>Official vendor documentation, release notes, validated KB/article, product guide, or architecture reference with version applicability.</v>
      </c>
      <c r="Q66" s="2" t="str">
        <f>IF('03_Functionalities'!N66="","",'03_Functionalities'!N66)</f>
        <v>VCF 9.1 VM hardware, tools and console operations VMware Tools lifecycle comparator parity evidence</v>
      </c>
      <c r="R66" s="2" t="str">
        <f>IF('03_Functionalities'!O66="","",'03_Functionalities'!O66)</f>
        <v>Yes</v>
      </c>
      <c r="S66" s="2" t="e">
        <f ca="1">IF(C66="","",_xludf.XLOOKUP(C66,'01_Products'!A:A,'01_Products'!K:K,0))</f>
        <v>#NAME?</v>
      </c>
      <c r="T66" s="2" t="e">
        <f ca="1">IF(B66="","",_xludf.XLOOKUP(B66,'02_Features'!A:A,'02_Features'!L:L,0))</f>
        <v>#NAME?</v>
      </c>
      <c r="U66" s="2">
        <f>IF('03_Functionalities'!P66="","",'03_Functionalities'!P66)</f>
        <v>2</v>
      </c>
      <c r="V66" s="2" t="str">
        <f>IF('03_Functionalities'!Q66="","",'03_Functionalities'!Q66)</f>
        <v>Draft</v>
      </c>
      <c r="W66" s="2" t="str">
        <f>IF('03_Functionalities'!R66="","",'03_Functionalities'!R66)</f>
        <v>https://techdocs.broadcom.com/us/en/vmware-cis/vcf/vcf-9-0-and-later/9-1/release-notes/vmware-cloud-foundation-9-1-0-0-release-notes/vmware-cloud-foundation-bill-of-materials.html</v>
      </c>
      <c r="X66" s="2" t="str">
        <f>IF('03_Functionalities'!S66="","",'03_Functionalities'!S66)</f>
        <v>High</v>
      </c>
    </row>
    <row r="67" spans="1:24" ht="71.25">
      <c r="A67" s="2" t="str">
        <f>IF('03_Functionalities'!A67="","",'03_Functionalities'!A67)</f>
        <v>FN-VSPHERE-08-03</v>
      </c>
      <c r="B67" s="2" t="str">
        <f>IF('03_Functionalities'!B67="","",'03_Functionalities'!B67)</f>
        <v>FT-VSPHERE-08</v>
      </c>
      <c r="C67" s="2" t="str">
        <f>IF('03_Functionalities'!C67="","",'03_Functionalities'!C67)</f>
        <v>PC-VSPHERE</v>
      </c>
      <c r="D67" s="2" t="e">
        <f ca="1">IF(C67="","",_xludf.XLOOKUP(C67,'01_Products'!A:A,'01_Products'!B:B,"Missing Product"))</f>
        <v>#NAME?</v>
      </c>
      <c r="E67" s="2" t="e">
        <f ca="1">IF(C67="","",_xludf.XLOOKUP(C67,'01_Products'!A:A,'01_Products'!C:C,"Missing Type"))</f>
        <v>#NAME?</v>
      </c>
      <c r="F67" s="2" t="e">
        <f ca="1">IF(B67="","",_xludf.XLOOKUP(B67,'02_Features'!A:A,'02_Features'!C:C,"Missing Feature"))</f>
        <v>#NAME?</v>
      </c>
      <c r="G67" s="2" t="e">
        <f ca="1">IF(B67="","",_xludf.XLOOKUP(B67,'02_Features'!A:A,'02_Features'!E:E,"Missing Prompt"))</f>
        <v>#NAME?</v>
      </c>
      <c r="H67" s="2" t="str">
        <f>IF('03_Functionalities'!D67="","",'03_Functionalities'!D67)</f>
        <v>Remote console and guest operations</v>
      </c>
      <c r="I67" s="2" t="str">
        <f>IF('03_Functionalities'!E67="","",'03_Functionalities'!E67)</f>
        <v>Major functionality for remote console and guest operations.</v>
      </c>
      <c r="J67" s="2" t="str">
        <f>IF('03_Functionalities'!F67="","",'03_Functionalities'!F67)</f>
        <v>Includes major assessment behavior for remote console and guest operations in the context of vm hardware, tools and console operations.</v>
      </c>
      <c r="K67" s="2" t="str">
        <f>IF('03_Functionalities'!G67="","",'03_Functionalities'!G67)</f>
        <v>Excludes low-level configuration toggles, cosmetic UI behavior, and implementation-specific inventory minutiae unless they materially affect parity or risk.</v>
      </c>
      <c r="L67" s="2" t="str">
        <f>IF('03_Functionalities'!I67="","",'03_Functionalities'!I67)</f>
        <v>Compute</v>
      </c>
      <c r="M67" s="2" t="str">
        <f>IF('03_Functionalities'!J67="","",'03_Functionalities'!J67)</f>
        <v>Guest Operations</v>
      </c>
      <c r="N67" s="2" t="str">
        <f>IF('03_Functionalities'!K67="","",'03_Functionalities'!K67)</f>
        <v>Medium</v>
      </c>
      <c r="O67" s="2" t="str">
        <f>IF('03_Functionalities'!L67="","",'03_Functionalities'!L67)</f>
        <v>Low</v>
      </c>
      <c r="P67" s="2" t="str">
        <f>IF('03_Functionalities'!M67="","",'03_Functionalities'!M67)</f>
        <v>Official vendor documentation, release notes, validated KB/article, product guide, or architecture reference with version applicability.</v>
      </c>
      <c r="Q67" s="2" t="str">
        <f>IF('03_Functionalities'!N67="","",'03_Functionalities'!N67)</f>
        <v>VCF 9.1 VM hardware, tools and console operations Remote console and guest operations comparator parity evidence</v>
      </c>
      <c r="R67" s="2" t="str">
        <f>IF('03_Functionalities'!O67="","",'03_Functionalities'!O67)</f>
        <v>Yes</v>
      </c>
      <c r="S67" s="2" t="e">
        <f ca="1">IF(C67="","",_xludf.XLOOKUP(C67,'01_Products'!A:A,'01_Products'!K:K,0))</f>
        <v>#NAME?</v>
      </c>
      <c r="T67" s="2" t="e">
        <f ca="1">IF(B67="","",_xludf.XLOOKUP(B67,'02_Features'!A:A,'02_Features'!L:L,0))</f>
        <v>#NAME?</v>
      </c>
      <c r="U67" s="2">
        <f>IF('03_Functionalities'!P67="","",'03_Functionalities'!P67)</f>
        <v>3</v>
      </c>
      <c r="V67" s="2" t="str">
        <f>IF('03_Functionalities'!Q67="","",'03_Functionalities'!Q67)</f>
        <v>Draft</v>
      </c>
      <c r="W67" s="2" t="str">
        <f>IF('03_Functionalities'!R67="","",'03_Functionalities'!R67)</f>
        <v>https://techdocs.broadcom.com/us/en/vmware-cis/vcf/vcf-9-0-and-later/9-1/release-notes/vmware-cloud-foundation-9-1-0-0-release-notes/vmware-cloud-foundation-bill-of-materials.html</v>
      </c>
      <c r="X67" s="2" t="str">
        <f>IF('03_Functionalities'!S67="","",'03_Functionalities'!S67)</f>
        <v>High</v>
      </c>
    </row>
    <row r="68" spans="1:24" ht="71.25">
      <c r="A68" s="2" t="str">
        <f>IF('03_Functionalities'!A68="","",'03_Functionalities'!A68)</f>
        <v>FN-VSAN-01-01</v>
      </c>
      <c r="B68" s="2" t="str">
        <f>IF('03_Functionalities'!B68="","",'03_Functionalities'!B68)</f>
        <v>FT-VSAN-01</v>
      </c>
      <c r="C68" s="2" t="str">
        <f>IF('03_Functionalities'!C68="","",'03_Functionalities'!C68)</f>
        <v>PC-VSAN</v>
      </c>
      <c r="D68" s="2" t="e">
        <f ca="1">IF(C68="","",_xludf.XLOOKUP(C68,'01_Products'!A:A,'01_Products'!B:B,"Missing Product"))</f>
        <v>#NAME?</v>
      </c>
      <c r="E68" s="2" t="e">
        <f ca="1">IF(C68="","",_xludf.XLOOKUP(C68,'01_Products'!A:A,'01_Products'!C:C,"Missing Type"))</f>
        <v>#NAME?</v>
      </c>
      <c r="F68" s="2" t="e">
        <f ca="1">IF(B68="","",_xludf.XLOOKUP(B68,'02_Features'!A:A,'02_Features'!C:C,"Missing Feature"))</f>
        <v>#NAME?</v>
      </c>
      <c r="G68" s="2" t="e">
        <f ca="1">IF(B68="","",_xludf.XLOOKUP(B68,'02_Features'!A:A,'02_Features'!E:E,"Missing Prompt"))</f>
        <v>#NAME?</v>
      </c>
      <c r="H68" s="2" t="str">
        <f>IF('03_Functionalities'!D68="","",'03_Functionalities'!D68)</f>
        <v>ESA/OSA architecture support</v>
      </c>
      <c r="I68" s="2" t="str">
        <f>IF('03_Functionalities'!E68="","",'03_Functionalities'!E68)</f>
        <v>Major functionality for esa/osa architecture support.</v>
      </c>
      <c r="J68" s="2" t="str">
        <f>IF('03_Functionalities'!F68="","",'03_Functionalities'!F68)</f>
        <v>Includes major assessment behavior for esa/osa architecture support in the context of vsan cluster architecture esa/osa.</v>
      </c>
      <c r="K68" s="2" t="str">
        <f>IF('03_Functionalities'!G68="","",'03_Functionalities'!G68)</f>
        <v>Excludes low-level configuration toggles, cosmetic UI behavior, and implementation-specific inventory minutiae unless they materially affect parity or risk.</v>
      </c>
      <c r="L68" s="2" t="str">
        <f>IF('03_Functionalities'!I68="","",'03_Functionalities'!I68)</f>
        <v>Storage</v>
      </c>
      <c r="M68" s="2" t="str">
        <f>IF('03_Functionalities'!J68="","",'03_Functionalities'!J68)</f>
        <v>Storage Architecture</v>
      </c>
      <c r="N68" s="2" t="str">
        <f>IF('03_Functionalities'!K68="","",'03_Functionalities'!K68)</f>
        <v>Critical</v>
      </c>
      <c r="O68" s="2" t="str">
        <f>IF('03_Functionalities'!L68="","",'03_Functionalities'!L68)</f>
        <v>High</v>
      </c>
      <c r="P68" s="2" t="str">
        <f>IF('03_Functionalities'!M68="","",'03_Functionalities'!M68)</f>
        <v>Official vendor documentation, release notes, validated KB/article, product guide, or architecture reference with version applicability.</v>
      </c>
      <c r="Q68" s="2" t="str">
        <f>IF('03_Functionalities'!N68="","",'03_Functionalities'!N68)</f>
        <v>VCF 9.1 vSAN cluster architecture ESA/OSA ESA/OSA architecture support comparator parity evidence</v>
      </c>
      <c r="R68" s="2" t="str">
        <f>IF('03_Functionalities'!O68="","",'03_Functionalities'!O68)</f>
        <v>Yes</v>
      </c>
      <c r="S68" s="2" t="e">
        <f ca="1">IF(C68="","",_xludf.XLOOKUP(C68,'01_Products'!A:A,'01_Products'!K:K,0))</f>
        <v>#NAME?</v>
      </c>
      <c r="T68" s="2" t="e">
        <f ca="1">IF(B68="","",_xludf.XLOOKUP(B68,'02_Features'!A:A,'02_Features'!L:L,0))</f>
        <v>#NAME?</v>
      </c>
      <c r="U68" s="2">
        <f>IF('03_Functionalities'!P68="","",'03_Functionalities'!P68)</f>
        <v>1</v>
      </c>
      <c r="V68" s="2" t="str">
        <f>IF('03_Functionalities'!Q68="","",'03_Functionalities'!Q68)</f>
        <v>Draft</v>
      </c>
      <c r="W68" s="2" t="str">
        <f>IF('03_Functionalities'!R68="","",'03_Functionalities'!R68)</f>
        <v>https://techdocs.broadcom.com/us/en/vmware-cis/vcf/vcf-9-0-and-later/9-1/release-notes/vmware-cloud-foundation-9-1-0-0-release-notes/vmware-cloud-foundation-bill-of-materials.html</v>
      </c>
      <c r="X68" s="2" t="str">
        <f>IF('03_Functionalities'!S68="","",'03_Functionalities'!S68)</f>
        <v>High</v>
      </c>
    </row>
    <row r="69" spans="1:24" ht="71.25">
      <c r="A69" s="2" t="str">
        <f>IF('03_Functionalities'!A69="","",'03_Functionalities'!A69)</f>
        <v>FN-VSAN-01-02</v>
      </c>
      <c r="B69" s="2" t="str">
        <f>IF('03_Functionalities'!B69="","",'03_Functionalities'!B69)</f>
        <v>FT-VSAN-01</v>
      </c>
      <c r="C69" s="2" t="str">
        <f>IF('03_Functionalities'!C69="","",'03_Functionalities'!C69)</f>
        <v>PC-VSAN</v>
      </c>
      <c r="D69" s="2" t="e">
        <f ca="1">IF(C69="","",_xludf.XLOOKUP(C69,'01_Products'!A:A,'01_Products'!B:B,"Missing Product"))</f>
        <v>#NAME?</v>
      </c>
      <c r="E69" s="2" t="e">
        <f ca="1">IF(C69="","",_xludf.XLOOKUP(C69,'01_Products'!A:A,'01_Products'!C:C,"Missing Type"))</f>
        <v>#NAME?</v>
      </c>
      <c r="F69" s="2" t="e">
        <f ca="1">IF(B69="","",_xludf.XLOOKUP(B69,'02_Features'!A:A,'02_Features'!C:C,"Missing Feature"))</f>
        <v>#NAME?</v>
      </c>
      <c r="G69" s="2" t="e">
        <f ca="1">IF(B69="","",_xludf.XLOOKUP(B69,'02_Features'!A:A,'02_Features'!E:E,"Missing Prompt"))</f>
        <v>#NAME?</v>
      </c>
      <c r="H69" s="2" t="str">
        <f>IF('03_Functionalities'!D69="","",'03_Functionalities'!D69)</f>
        <v>Witness and cluster layout</v>
      </c>
      <c r="I69" s="2" t="str">
        <f>IF('03_Functionalities'!E69="","",'03_Functionalities'!E69)</f>
        <v>Major functionality for witness and cluster layout.</v>
      </c>
      <c r="J69" s="2" t="str">
        <f>IF('03_Functionalities'!F69="","",'03_Functionalities'!F69)</f>
        <v>Includes major assessment behavior for witness and cluster layout in the context of vsan cluster architecture esa/osa.</v>
      </c>
      <c r="K69" s="2" t="str">
        <f>IF('03_Functionalities'!G69="","",'03_Functionalities'!G69)</f>
        <v>Excludes low-level configuration toggles, cosmetic UI behavior, and implementation-specific inventory minutiae unless they materially affect parity or risk.</v>
      </c>
      <c r="L69" s="2" t="str">
        <f>IF('03_Functionalities'!I69="","",'03_Functionalities'!I69)</f>
        <v>Storage</v>
      </c>
      <c r="M69" s="2" t="str">
        <f>IF('03_Functionalities'!J69="","",'03_Functionalities'!J69)</f>
        <v>Storage Architecture</v>
      </c>
      <c r="N69" s="2" t="str">
        <f>IF('03_Functionalities'!K69="","",'03_Functionalities'!K69)</f>
        <v>Critical</v>
      </c>
      <c r="O69" s="2" t="str">
        <f>IF('03_Functionalities'!L69="","",'03_Functionalities'!L69)</f>
        <v>High</v>
      </c>
      <c r="P69" s="2" t="str">
        <f>IF('03_Functionalities'!M69="","",'03_Functionalities'!M69)</f>
        <v>Official vendor documentation, release notes, validated KB/article, product guide, or architecture reference with version applicability.</v>
      </c>
      <c r="Q69" s="2" t="str">
        <f>IF('03_Functionalities'!N69="","",'03_Functionalities'!N69)</f>
        <v>VCF 9.1 vSAN cluster architecture ESA/OSA Witness and cluster layout comparator parity evidence</v>
      </c>
      <c r="R69" s="2" t="str">
        <f>IF('03_Functionalities'!O69="","",'03_Functionalities'!O69)</f>
        <v>Yes</v>
      </c>
      <c r="S69" s="2" t="e">
        <f ca="1">IF(C69="","",_xludf.XLOOKUP(C69,'01_Products'!A:A,'01_Products'!K:K,0))</f>
        <v>#NAME?</v>
      </c>
      <c r="T69" s="2" t="e">
        <f ca="1">IF(B69="","",_xludf.XLOOKUP(B69,'02_Features'!A:A,'02_Features'!L:L,0))</f>
        <v>#NAME?</v>
      </c>
      <c r="U69" s="2">
        <f>IF('03_Functionalities'!P69="","",'03_Functionalities'!P69)</f>
        <v>2</v>
      </c>
      <c r="V69" s="2" t="str">
        <f>IF('03_Functionalities'!Q69="","",'03_Functionalities'!Q69)</f>
        <v>Draft</v>
      </c>
      <c r="W69" s="2" t="str">
        <f>IF('03_Functionalities'!R69="","",'03_Functionalities'!R69)</f>
        <v>https://techdocs.broadcom.com/us/en/vmware-cis/vcf/vcf-9-0-and-later/9-1/release-notes/vmware-cloud-foundation-9-1-0-0-release-notes/vmware-cloud-foundation-bill-of-materials.html</v>
      </c>
      <c r="X69" s="2" t="str">
        <f>IF('03_Functionalities'!S69="","",'03_Functionalities'!S69)</f>
        <v>High</v>
      </c>
    </row>
    <row r="70" spans="1:24" ht="71.25">
      <c r="A70" s="2" t="str">
        <f>IF('03_Functionalities'!A70="","",'03_Functionalities'!A70)</f>
        <v>FN-VSAN-01-03</v>
      </c>
      <c r="B70" s="2" t="str">
        <f>IF('03_Functionalities'!B70="","",'03_Functionalities'!B70)</f>
        <v>FT-VSAN-01</v>
      </c>
      <c r="C70" s="2" t="str">
        <f>IF('03_Functionalities'!C70="","",'03_Functionalities'!C70)</f>
        <v>PC-VSAN</v>
      </c>
      <c r="D70" s="2" t="e">
        <f ca="1">IF(C70="","",_xludf.XLOOKUP(C70,'01_Products'!A:A,'01_Products'!B:B,"Missing Product"))</f>
        <v>#NAME?</v>
      </c>
      <c r="E70" s="2" t="e">
        <f ca="1">IF(C70="","",_xludf.XLOOKUP(C70,'01_Products'!A:A,'01_Products'!C:C,"Missing Type"))</f>
        <v>#NAME?</v>
      </c>
      <c r="F70" s="2" t="e">
        <f ca="1">IF(B70="","",_xludf.XLOOKUP(B70,'02_Features'!A:A,'02_Features'!C:C,"Missing Feature"))</f>
        <v>#NAME?</v>
      </c>
      <c r="G70" s="2" t="e">
        <f ca="1">IF(B70="","",_xludf.XLOOKUP(B70,'02_Features'!A:A,'02_Features'!E:E,"Missing Prompt"))</f>
        <v>#NAME?</v>
      </c>
      <c r="H70" s="2" t="str">
        <f>IF('03_Functionalities'!D70="","",'03_Functionalities'!D70)</f>
        <v>Disk/device group and storage fabric design</v>
      </c>
      <c r="I70" s="2" t="str">
        <f>IF('03_Functionalities'!E70="","",'03_Functionalities'!E70)</f>
        <v>Major functionality for disk/device group and storage fabric design.</v>
      </c>
      <c r="J70" s="2" t="str">
        <f>IF('03_Functionalities'!F70="","",'03_Functionalities'!F70)</f>
        <v>Includes major assessment behavior for disk/device group and storage fabric design in the context of vsan cluster architecture esa/osa.</v>
      </c>
      <c r="K70" s="2" t="str">
        <f>IF('03_Functionalities'!G70="","",'03_Functionalities'!G70)</f>
        <v>Excludes low-level configuration toggles, cosmetic UI behavior, and implementation-specific inventory minutiae unless they materially affect parity or risk.</v>
      </c>
      <c r="L70" s="2" t="str">
        <f>IF('03_Functionalities'!I70="","",'03_Functionalities'!I70)</f>
        <v>Storage</v>
      </c>
      <c r="M70" s="2" t="str">
        <f>IF('03_Functionalities'!J70="","",'03_Functionalities'!J70)</f>
        <v>Storage Architecture</v>
      </c>
      <c r="N70" s="2" t="str">
        <f>IF('03_Functionalities'!K70="","",'03_Functionalities'!K70)</f>
        <v>Critical</v>
      </c>
      <c r="O70" s="2" t="str">
        <f>IF('03_Functionalities'!L70="","",'03_Functionalities'!L70)</f>
        <v>High</v>
      </c>
      <c r="P70" s="2" t="str">
        <f>IF('03_Functionalities'!M70="","",'03_Functionalities'!M70)</f>
        <v>Official vendor documentation, release notes, validated KB/article, product guide, or architecture reference with version applicability.</v>
      </c>
      <c r="Q70" s="2" t="str">
        <f>IF('03_Functionalities'!N70="","",'03_Functionalities'!N70)</f>
        <v>VCF 9.1 vSAN cluster architecture ESA/OSA Disk/device group and storage fabric design comparator parity evidence</v>
      </c>
      <c r="R70" s="2" t="str">
        <f>IF('03_Functionalities'!O70="","",'03_Functionalities'!O70)</f>
        <v>Yes</v>
      </c>
      <c r="S70" s="2" t="e">
        <f ca="1">IF(C70="","",_xludf.XLOOKUP(C70,'01_Products'!A:A,'01_Products'!K:K,0))</f>
        <v>#NAME?</v>
      </c>
      <c r="T70" s="2" t="e">
        <f ca="1">IF(B70="","",_xludf.XLOOKUP(B70,'02_Features'!A:A,'02_Features'!L:L,0))</f>
        <v>#NAME?</v>
      </c>
      <c r="U70" s="2">
        <f>IF('03_Functionalities'!P70="","",'03_Functionalities'!P70)</f>
        <v>3</v>
      </c>
      <c r="V70" s="2" t="str">
        <f>IF('03_Functionalities'!Q70="","",'03_Functionalities'!Q70)</f>
        <v>Draft</v>
      </c>
      <c r="W70" s="2" t="str">
        <f>IF('03_Functionalities'!R70="","",'03_Functionalities'!R70)</f>
        <v>https://techdocs.broadcom.com/us/en/vmware-cis/vcf/vcf-9-0-and-later/9-1/release-notes/vmware-cloud-foundation-9-1-0-0-release-notes/vmware-cloud-foundation-bill-of-materials.html</v>
      </c>
      <c r="X70" s="2" t="str">
        <f>IF('03_Functionalities'!S70="","",'03_Functionalities'!S70)</f>
        <v>High</v>
      </c>
    </row>
    <row r="71" spans="1:24" ht="57">
      <c r="A71" s="2" t="str">
        <f>IF('03_Functionalities'!A71="","",'03_Functionalities'!A71)</f>
        <v>FN-VSAN-02-01</v>
      </c>
      <c r="B71" s="2" t="str">
        <f>IF('03_Functionalities'!B71="","",'03_Functionalities'!B71)</f>
        <v>FT-VSAN-02</v>
      </c>
      <c r="C71" s="2" t="str">
        <f>IF('03_Functionalities'!C71="","",'03_Functionalities'!C71)</f>
        <v>PC-VSAN</v>
      </c>
      <c r="D71" s="2" t="e">
        <f ca="1">IF(C71="","",_xludf.XLOOKUP(C71,'01_Products'!A:A,'01_Products'!B:B,"Missing Product"))</f>
        <v>#NAME?</v>
      </c>
      <c r="E71" s="2" t="e">
        <f ca="1">IF(C71="","",_xludf.XLOOKUP(C71,'01_Products'!A:A,'01_Products'!C:C,"Missing Type"))</f>
        <v>#NAME?</v>
      </c>
      <c r="F71" s="2" t="e">
        <f ca="1">IF(B71="","",_xludf.XLOOKUP(B71,'02_Features'!A:A,'02_Features'!C:C,"Missing Feature"))</f>
        <v>#NAME?</v>
      </c>
      <c r="G71" s="2" t="e">
        <f ca="1">IF(B71="","",_xludf.XLOOKUP(B71,'02_Features'!A:A,'02_Features'!E:E,"Missing Prompt"))</f>
        <v>#NAME?</v>
      </c>
      <c r="H71" s="2" t="str">
        <f>IF('03_Functionalities'!D71="","",'03_Functionalities'!D71)</f>
        <v>VM storage policy definition</v>
      </c>
      <c r="I71" s="2" t="str">
        <f>IF('03_Functionalities'!E71="","",'03_Functionalities'!E71)</f>
        <v>Major functionality for vm storage policy definition.</v>
      </c>
      <c r="J71" s="2" t="str">
        <f>IF('03_Functionalities'!F71="","",'03_Functionalities'!F71)</f>
        <v>Includes major assessment behavior for vm storage policy definition in the context of storage policy based management.</v>
      </c>
      <c r="K71" s="2" t="str">
        <f>IF('03_Functionalities'!G71="","",'03_Functionalities'!G71)</f>
        <v>Excludes low-level configuration toggles, cosmetic UI behavior, and implementation-specific inventory minutiae unless they materially affect parity or risk.</v>
      </c>
      <c r="L71" s="2" t="str">
        <f>IF('03_Functionalities'!I71="","",'03_Functionalities'!I71)</f>
        <v>Storage</v>
      </c>
      <c r="M71" s="2" t="str">
        <f>IF('03_Functionalities'!J71="","",'03_Functionalities'!J71)</f>
        <v>Policy Based Storage</v>
      </c>
      <c r="N71" s="2" t="str">
        <f>IF('03_Functionalities'!K71="","",'03_Functionalities'!K71)</f>
        <v>Critical</v>
      </c>
      <c r="O71" s="2" t="str">
        <f>IF('03_Functionalities'!L71="","",'03_Functionalities'!L71)</f>
        <v>High</v>
      </c>
      <c r="P71" s="2" t="str">
        <f>IF('03_Functionalities'!M71="","",'03_Functionalities'!M71)</f>
        <v>Official vendor documentation, release notes, validated KB/article, product guide, or architecture reference with version applicability.</v>
      </c>
      <c r="Q71" s="2" t="str">
        <f>IF('03_Functionalities'!N71="","",'03_Functionalities'!N71)</f>
        <v>VCF 9.1 Storage policy based management VM storage policy definition comparator parity evidence</v>
      </c>
      <c r="R71" s="2" t="str">
        <f>IF('03_Functionalities'!O71="","",'03_Functionalities'!O71)</f>
        <v>Yes</v>
      </c>
      <c r="S71" s="2" t="e">
        <f ca="1">IF(C71="","",_xludf.XLOOKUP(C71,'01_Products'!A:A,'01_Products'!K:K,0))</f>
        <v>#NAME?</v>
      </c>
      <c r="T71" s="2" t="e">
        <f ca="1">IF(B71="","",_xludf.XLOOKUP(B71,'02_Features'!A:A,'02_Features'!L:L,0))</f>
        <v>#NAME?</v>
      </c>
      <c r="U71" s="2">
        <f>IF('03_Functionalities'!P71="","",'03_Functionalities'!P71)</f>
        <v>1</v>
      </c>
      <c r="V71" s="2" t="str">
        <f>IF('03_Functionalities'!Q71="","",'03_Functionalities'!Q71)</f>
        <v>Draft</v>
      </c>
      <c r="W71" s="2" t="str">
        <f>IF('03_Functionalities'!R71="","",'03_Functionalities'!R71)</f>
        <v>https://techdocs.broadcom.com/us/en/vmware-cis/vcf/vcf-9-0-and-later/9-1/release-notes/vmware-cloud-foundation-9-1-0-0-release-notes/what-s-new.html</v>
      </c>
      <c r="X71" s="2" t="str">
        <f>IF('03_Functionalities'!S71="","",'03_Functionalities'!S71)</f>
        <v>High</v>
      </c>
    </row>
    <row r="72" spans="1:24" ht="57">
      <c r="A72" s="2" t="str">
        <f>IF('03_Functionalities'!A72="","",'03_Functionalities'!A72)</f>
        <v>FN-VSAN-02-02</v>
      </c>
      <c r="B72" s="2" t="str">
        <f>IF('03_Functionalities'!B72="","",'03_Functionalities'!B72)</f>
        <v>FT-VSAN-02</v>
      </c>
      <c r="C72" s="2" t="str">
        <f>IF('03_Functionalities'!C72="","",'03_Functionalities'!C72)</f>
        <v>PC-VSAN</v>
      </c>
      <c r="D72" s="2" t="e">
        <f ca="1">IF(C72="","",_xludf.XLOOKUP(C72,'01_Products'!A:A,'01_Products'!B:B,"Missing Product"))</f>
        <v>#NAME?</v>
      </c>
      <c r="E72" s="2" t="e">
        <f ca="1">IF(C72="","",_xludf.XLOOKUP(C72,'01_Products'!A:A,'01_Products'!C:C,"Missing Type"))</f>
        <v>#NAME?</v>
      </c>
      <c r="F72" s="2" t="e">
        <f ca="1">IF(B72="","",_xludf.XLOOKUP(B72,'02_Features'!A:A,'02_Features'!C:C,"Missing Feature"))</f>
        <v>#NAME?</v>
      </c>
      <c r="G72" s="2" t="e">
        <f ca="1">IF(B72="","",_xludf.XLOOKUP(B72,'02_Features'!A:A,'02_Features'!E:E,"Missing Prompt"))</f>
        <v>#NAME?</v>
      </c>
      <c r="H72" s="2" t="str">
        <f>IF('03_Functionalities'!D72="","",'03_Functionalities'!D72)</f>
        <v>Policy-based placement and compliance</v>
      </c>
      <c r="I72" s="2" t="str">
        <f>IF('03_Functionalities'!E72="","",'03_Functionalities'!E72)</f>
        <v>Major functionality for policy-based placement and compliance.</v>
      </c>
      <c r="J72" s="2" t="str">
        <f>IF('03_Functionalities'!F72="","",'03_Functionalities'!F72)</f>
        <v>Includes major assessment behavior for policy-based placement and compliance in the context of storage policy based management.</v>
      </c>
      <c r="K72" s="2" t="str">
        <f>IF('03_Functionalities'!G72="","",'03_Functionalities'!G72)</f>
        <v>Excludes low-level configuration toggles, cosmetic UI behavior, and implementation-specific inventory minutiae unless they materially affect parity or risk.</v>
      </c>
      <c r="L72" s="2" t="str">
        <f>IF('03_Functionalities'!I72="","",'03_Functionalities'!I72)</f>
        <v>Storage</v>
      </c>
      <c r="M72" s="2" t="str">
        <f>IF('03_Functionalities'!J72="","",'03_Functionalities'!J72)</f>
        <v>Policy Based Storage</v>
      </c>
      <c r="N72" s="2" t="str">
        <f>IF('03_Functionalities'!K72="","",'03_Functionalities'!K72)</f>
        <v>Critical</v>
      </c>
      <c r="O72" s="2" t="str">
        <f>IF('03_Functionalities'!L72="","",'03_Functionalities'!L72)</f>
        <v>High</v>
      </c>
      <c r="P72" s="2" t="str">
        <f>IF('03_Functionalities'!M72="","",'03_Functionalities'!M72)</f>
        <v>Official vendor documentation, release notes, validated KB/article, product guide, or architecture reference with version applicability.</v>
      </c>
      <c r="Q72" s="2" t="str">
        <f>IF('03_Functionalities'!N72="","",'03_Functionalities'!N72)</f>
        <v>VCF 9.1 Storage policy based management Policy-based placement and compliance comparator parity evidence</v>
      </c>
      <c r="R72" s="2" t="str">
        <f>IF('03_Functionalities'!O72="","",'03_Functionalities'!O72)</f>
        <v>Yes</v>
      </c>
      <c r="S72" s="2" t="e">
        <f ca="1">IF(C72="","",_xludf.XLOOKUP(C72,'01_Products'!A:A,'01_Products'!K:K,0))</f>
        <v>#NAME?</v>
      </c>
      <c r="T72" s="2" t="e">
        <f ca="1">IF(B72="","",_xludf.XLOOKUP(B72,'02_Features'!A:A,'02_Features'!L:L,0))</f>
        <v>#NAME?</v>
      </c>
      <c r="U72" s="2">
        <f>IF('03_Functionalities'!P72="","",'03_Functionalities'!P72)</f>
        <v>2</v>
      </c>
      <c r="V72" s="2" t="str">
        <f>IF('03_Functionalities'!Q72="","",'03_Functionalities'!Q72)</f>
        <v>Draft</v>
      </c>
      <c r="W72" s="2" t="str">
        <f>IF('03_Functionalities'!R72="","",'03_Functionalities'!R72)</f>
        <v>https://techdocs.broadcom.com/us/en/vmware-cis/vcf/vcf-9-0-and-later/9-1/release-notes/vmware-cloud-foundation-9-1-0-0-release-notes/what-s-new.html</v>
      </c>
      <c r="X72" s="2" t="str">
        <f>IF('03_Functionalities'!S72="","",'03_Functionalities'!S72)</f>
        <v>High</v>
      </c>
    </row>
    <row r="73" spans="1:24" ht="57">
      <c r="A73" s="2" t="str">
        <f>IF('03_Functionalities'!A73="","",'03_Functionalities'!A73)</f>
        <v>FN-VSAN-02-03</v>
      </c>
      <c r="B73" s="2" t="str">
        <f>IF('03_Functionalities'!B73="","",'03_Functionalities'!B73)</f>
        <v>FT-VSAN-02</v>
      </c>
      <c r="C73" s="2" t="str">
        <f>IF('03_Functionalities'!C73="","",'03_Functionalities'!C73)</f>
        <v>PC-VSAN</v>
      </c>
      <c r="D73" s="2" t="e">
        <f ca="1">IF(C73="","",_xludf.XLOOKUP(C73,'01_Products'!A:A,'01_Products'!B:B,"Missing Product"))</f>
        <v>#NAME?</v>
      </c>
      <c r="E73" s="2" t="e">
        <f ca="1">IF(C73="","",_xludf.XLOOKUP(C73,'01_Products'!A:A,'01_Products'!C:C,"Missing Type"))</f>
        <v>#NAME?</v>
      </c>
      <c r="F73" s="2" t="e">
        <f ca="1">IF(B73="","",_xludf.XLOOKUP(B73,'02_Features'!A:A,'02_Features'!C:C,"Missing Feature"))</f>
        <v>#NAME?</v>
      </c>
      <c r="G73" s="2" t="e">
        <f ca="1">IF(B73="","",_xludf.XLOOKUP(B73,'02_Features'!A:A,'02_Features'!E:E,"Missing Prompt"))</f>
        <v>#NAME?</v>
      </c>
      <c r="H73" s="2" t="str">
        <f>IF('03_Functionalities'!D73="","",'03_Functionalities'!D73)</f>
        <v>Per-VM storage service-level control</v>
      </c>
      <c r="I73" s="2" t="str">
        <f>IF('03_Functionalities'!E73="","",'03_Functionalities'!E73)</f>
        <v>Major functionality for per-vm storage service-level control.</v>
      </c>
      <c r="J73" s="2" t="str">
        <f>IF('03_Functionalities'!F73="","",'03_Functionalities'!F73)</f>
        <v>Includes major assessment behavior for per-vm storage service-level control in the context of storage policy based management.</v>
      </c>
      <c r="K73" s="2" t="str">
        <f>IF('03_Functionalities'!G73="","",'03_Functionalities'!G73)</f>
        <v>Excludes low-level configuration toggles, cosmetic UI behavior, and implementation-specific inventory minutiae unless they materially affect parity or risk.</v>
      </c>
      <c r="L73" s="2" t="str">
        <f>IF('03_Functionalities'!I73="","",'03_Functionalities'!I73)</f>
        <v>Storage</v>
      </c>
      <c r="M73" s="2" t="str">
        <f>IF('03_Functionalities'!J73="","",'03_Functionalities'!J73)</f>
        <v>Policy Based Storage</v>
      </c>
      <c r="N73" s="2" t="str">
        <f>IF('03_Functionalities'!K73="","",'03_Functionalities'!K73)</f>
        <v>Critical</v>
      </c>
      <c r="O73" s="2" t="str">
        <f>IF('03_Functionalities'!L73="","",'03_Functionalities'!L73)</f>
        <v>High</v>
      </c>
      <c r="P73" s="2" t="str">
        <f>IF('03_Functionalities'!M73="","",'03_Functionalities'!M73)</f>
        <v>Official vendor documentation, release notes, validated KB/article, product guide, or architecture reference with version applicability.</v>
      </c>
      <c r="Q73" s="2" t="str">
        <f>IF('03_Functionalities'!N73="","",'03_Functionalities'!N73)</f>
        <v>VCF 9.1 Storage policy based management Per-VM storage service-level control comparator parity evidence</v>
      </c>
      <c r="R73" s="2" t="str">
        <f>IF('03_Functionalities'!O73="","",'03_Functionalities'!O73)</f>
        <v>Yes</v>
      </c>
      <c r="S73" s="2" t="e">
        <f ca="1">IF(C73="","",_xludf.XLOOKUP(C73,'01_Products'!A:A,'01_Products'!K:K,0))</f>
        <v>#NAME?</v>
      </c>
      <c r="T73" s="2" t="e">
        <f ca="1">IF(B73="","",_xludf.XLOOKUP(B73,'02_Features'!A:A,'02_Features'!L:L,0))</f>
        <v>#NAME?</v>
      </c>
      <c r="U73" s="2">
        <f>IF('03_Functionalities'!P73="","",'03_Functionalities'!P73)</f>
        <v>3</v>
      </c>
      <c r="V73" s="2" t="str">
        <f>IF('03_Functionalities'!Q73="","",'03_Functionalities'!Q73)</f>
        <v>Draft</v>
      </c>
      <c r="W73" s="2" t="str">
        <f>IF('03_Functionalities'!R73="","",'03_Functionalities'!R73)</f>
        <v>https://techdocs.broadcom.com/us/en/vmware-cis/vcf/vcf-9-0-and-later/9-1/release-notes/vmware-cloud-foundation-9-1-0-0-release-notes/what-s-new.html</v>
      </c>
      <c r="X73" s="2" t="str">
        <f>IF('03_Functionalities'!S73="","",'03_Functionalities'!S73)</f>
        <v>High</v>
      </c>
    </row>
    <row r="74" spans="1:24" ht="71.25">
      <c r="A74" s="2" t="str">
        <f>IF('03_Functionalities'!A74="","",'03_Functionalities'!A74)</f>
        <v>FN-VSAN-03-01</v>
      </c>
      <c r="B74" s="2" t="str">
        <f>IF('03_Functionalities'!B74="","",'03_Functionalities'!B74)</f>
        <v>FT-VSAN-03</v>
      </c>
      <c r="C74" s="2" t="str">
        <f>IF('03_Functionalities'!C74="","",'03_Functionalities'!C74)</f>
        <v>PC-VSAN</v>
      </c>
      <c r="D74" s="2" t="e">
        <f ca="1">IF(C74="","",_xludf.XLOOKUP(C74,'01_Products'!A:A,'01_Products'!B:B,"Missing Product"))</f>
        <v>#NAME?</v>
      </c>
      <c r="E74" s="2" t="e">
        <f ca="1">IF(C74="","",_xludf.XLOOKUP(C74,'01_Products'!A:A,'01_Products'!C:C,"Missing Type"))</f>
        <v>#NAME?</v>
      </c>
      <c r="F74" s="2" t="e">
        <f ca="1">IF(B74="","",_xludf.XLOOKUP(B74,'02_Features'!A:A,'02_Features'!C:C,"Missing Feature"))</f>
        <v>#NAME?</v>
      </c>
      <c r="G74" s="2" t="e">
        <f ca="1">IF(B74="","",_xludf.XLOOKUP(B74,'02_Features'!A:A,'02_Features'!E:E,"Missing Prompt"))</f>
        <v>#NAME?</v>
      </c>
      <c r="H74" s="2" t="str">
        <f>IF('03_Functionalities'!D74="","",'03_Functionalities'!D74)</f>
        <v>Fault domain configuration</v>
      </c>
      <c r="I74" s="2" t="str">
        <f>IF('03_Functionalities'!E74="","",'03_Functionalities'!E74)</f>
        <v>Major functionality for fault domain configuration.</v>
      </c>
      <c r="J74" s="2" t="str">
        <f>IF('03_Functionalities'!F74="","",'03_Functionalities'!F74)</f>
        <v>Includes major assessment behavior for fault domain configuration in the context of resilience, fault domains and stretched clusters.</v>
      </c>
      <c r="K74" s="2" t="str">
        <f>IF('03_Functionalities'!G74="","",'03_Functionalities'!G74)</f>
        <v>Excludes low-level configuration toggles, cosmetic UI behavior, and implementation-specific inventory minutiae unless they materially affect parity or risk.</v>
      </c>
      <c r="L74" s="2" t="str">
        <f>IF('03_Functionalities'!I74="","",'03_Functionalities'!I74)</f>
        <v>Storage</v>
      </c>
      <c r="M74" s="2" t="str">
        <f>IF('03_Functionalities'!J74="","",'03_Functionalities'!J74)</f>
        <v>Storage Resilience</v>
      </c>
      <c r="N74" s="2" t="str">
        <f>IF('03_Functionalities'!K74="","",'03_Functionalities'!K74)</f>
        <v>Critical</v>
      </c>
      <c r="O74" s="2" t="str">
        <f>IF('03_Functionalities'!L74="","",'03_Functionalities'!L74)</f>
        <v>High</v>
      </c>
      <c r="P74" s="2" t="str">
        <f>IF('03_Functionalities'!M74="","",'03_Functionalities'!M74)</f>
        <v>Official vendor documentation, release notes, validated KB/article, product guide, or architecture reference with version applicability.</v>
      </c>
      <c r="Q74" s="2" t="str">
        <f>IF('03_Functionalities'!N74="","",'03_Functionalities'!N74)</f>
        <v>VCF 9.1 Resilience, fault domains and stretched clusters Fault domain configuration comparator parity evidence</v>
      </c>
      <c r="R74" s="2" t="str">
        <f>IF('03_Functionalities'!O74="","",'03_Functionalities'!O74)</f>
        <v>Yes</v>
      </c>
      <c r="S74" s="2" t="e">
        <f ca="1">IF(C74="","",_xludf.XLOOKUP(C74,'01_Products'!A:A,'01_Products'!K:K,0))</f>
        <v>#NAME?</v>
      </c>
      <c r="T74" s="2" t="e">
        <f ca="1">IF(B74="","",_xludf.XLOOKUP(B74,'02_Features'!A:A,'02_Features'!L:L,0))</f>
        <v>#NAME?</v>
      </c>
      <c r="U74" s="2">
        <f>IF('03_Functionalities'!P74="","",'03_Functionalities'!P74)</f>
        <v>1</v>
      </c>
      <c r="V74" s="2" t="str">
        <f>IF('03_Functionalities'!Q74="","",'03_Functionalities'!Q74)</f>
        <v>Draft</v>
      </c>
      <c r="W74" s="2" t="str">
        <f>IF('03_Functionalities'!R74="","",'03_Functionalities'!R74)</f>
        <v>https://techdocs.broadcom.com/us/en/vmware-cis/vcf/vcf-9-0-and-later/9-1/release-notes/vmware-cloud-foundation-9-1-0-0-release-notes/vmware-cloud-foundation-bill-of-materials.html</v>
      </c>
      <c r="X74" s="2" t="str">
        <f>IF('03_Functionalities'!S74="","",'03_Functionalities'!S74)</f>
        <v>High</v>
      </c>
    </row>
    <row r="75" spans="1:24" ht="71.25">
      <c r="A75" s="2" t="str">
        <f>IF('03_Functionalities'!A75="","",'03_Functionalities'!A75)</f>
        <v>FN-VSAN-03-02</v>
      </c>
      <c r="B75" s="2" t="str">
        <f>IF('03_Functionalities'!B75="","",'03_Functionalities'!B75)</f>
        <v>FT-VSAN-03</v>
      </c>
      <c r="C75" s="2" t="str">
        <f>IF('03_Functionalities'!C75="","",'03_Functionalities'!C75)</f>
        <v>PC-VSAN</v>
      </c>
      <c r="D75" s="2" t="e">
        <f ca="1">IF(C75="","",_xludf.XLOOKUP(C75,'01_Products'!A:A,'01_Products'!B:B,"Missing Product"))</f>
        <v>#NAME?</v>
      </c>
      <c r="E75" s="2" t="e">
        <f ca="1">IF(C75="","",_xludf.XLOOKUP(C75,'01_Products'!A:A,'01_Products'!C:C,"Missing Type"))</f>
        <v>#NAME?</v>
      </c>
      <c r="F75" s="2" t="e">
        <f ca="1">IF(B75="","",_xludf.XLOOKUP(B75,'02_Features'!A:A,'02_Features'!C:C,"Missing Feature"))</f>
        <v>#NAME?</v>
      </c>
      <c r="G75" s="2" t="e">
        <f ca="1">IF(B75="","",_xludf.XLOOKUP(B75,'02_Features'!A:A,'02_Features'!E:E,"Missing Prompt"))</f>
        <v>#NAME?</v>
      </c>
      <c r="H75" s="2" t="str">
        <f>IF('03_Functionalities'!D75="","",'03_Functionalities'!D75)</f>
        <v>Stretched cluster and witness behavior</v>
      </c>
      <c r="I75" s="2" t="str">
        <f>IF('03_Functionalities'!E75="","",'03_Functionalities'!E75)</f>
        <v>Major functionality for stretched cluster and witness behavior.</v>
      </c>
      <c r="J75" s="2" t="str">
        <f>IF('03_Functionalities'!F75="","",'03_Functionalities'!F75)</f>
        <v>Includes major assessment behavior for stretched cluster and witness behavior in the context of resilience, fault domains and stretched clusters.</v>
      </c>
      <c r="K75" s="2" t="str">
        <f>IF('03_Functionalities'!G75="","",'03_Functionalities'!G75)</f>
        <v>Excludes low-level configuration toggles, cosmetic UI behavior, and implementation-specific inventory minutiae unless they materially affect parity or risk.</v>
      </c>
      <c r="L75" s="2" t="str">
        <f>IF('03_Functionalities'!I75="","",'03_Functionalities'!I75)</f>
        <v>Storage</v>
      </c>
      <c r="M75" s="2" t="str">
        <f>IF('03_Functionalities'!J75="","",'03_Functionalities'!J75)</f>
        <v>Storage Resilience</v>
      </c>
      <c r="N75" s="2" t="str">
        <f>IF('03_Functionalities'!K75="","",'03_Functionalities'!K75)</f>
        <v>Critical</v>
      </c>
      <c r="O75" s="2" t="str">
        <f>IF('03_Functionalities'!L75="","",'03_Functionalities'!L75)</f>
        <v>High</v>
      </c>
      <c r="P75" s="2" t="str">
        <f>IF('03_Functionalities'!M75="","",'03_Functionalities'!M75)</f>
        <v>Official vendor documentation, release notes, validated KB/article, product guide, or architecture reference with version applicability.</v>
      </c>
      <c r="Q75" s="2" t="str">
        <f>IF('03_Functionalities'!N75="","",'03_Functionalities'!N75)</f>
        <v>VCF 9.1 Resilience, fault domains and stretched clusters Stretched cluster and witness behavior comparator parity evidence</v>
      </c>
      <c r="R75" s="2" t="str">
        <f>IF('03_Functionalities'!O75="","",'03_Functionalities'!O75)</f>
        <v>Yes</v>
      </c>
      <c r="S75" s="2" t="e">
        <f ca="1">IF(C75="","",_xludf.XLOOKUP(C75,'01_Products'!A:A,'01_Products'!K:K,0))</f>
        <v>#NAME?</v>
      </c>
      <c r="T75" s="2" t="e">
        <f ca="1">IF(B75="","",_xludf.XLOOKUP(B75,'02_Features'!A:A,'02_Features'!L:L,0))</f>
        <v>#NAME?</v>
      </c>
      <c r="U75" s="2">
        <f>IF('03_Functionalities'!P75="","",'03_Functionalities'!P75)</f>
        <v>2</v>
      </c>
      <c r="V75" s="2" t="str">
        <f>IF('03_Functionalities'!Q75="","",'03_Functionalities'!Q75)</f>
        <v>Draft</v>
      </c>
      <c r="W75" s="2" t="str">
        <f>IF('03_Functionalities'!R75="","",'03_Functionalities'!R75)</f>
        <v>https://techdocs.broadcom.com/us/en/vmware-cis/vcf/vcf-9-0-and-later/9-1/release-notes/vmware-cloud-foundation-9-1-0-0-release-notes/vmware-cloud-foundation-bill-of-materials.html</v>
      </c>
      <c r="X75" s="2" t="str">
        <f>IF('03_Functionalities'!S75="","",'03_Functionalities'!S75)</f>
        <v>High</v>
      </c>
    </row>
    <row r="76" spans="1:24" ht="71.25">
      <c r="A76" s="2" t="str">
        <f>IF('03_Functionalities'!A76="","",'03_Functionalities'!A76)</f>
        <v>FN-VSAN-03-03</v>
      </c>
      <c r="B76" s="2" t="str">
        <f>IF('03_Functionalities'!B76="","",'03_Functionalities'!B76)</f>
        <v>FT-VSAN-03</v>
      </c>
      <c r="C76" s="2" t="str">
        <f>IF('03_Functionalities'!C76="","",'03_Functionalities'!C76)</f>
        <v>PC-VSAN</v>
      </c>
      <c r="D76" s="2" t="e">
        <f ca="1">IF(C76="","",_xludf.XLOOKUP(C76,'01_Products'!A:A,'01_Products'!B:B,"Missing Product"))</f>
        <v>#NAME?</v>
      </c>
      <c r="E76" s="2" t="e">
        <f ca="1">IF(C76="","",_xludf.XLOOKUP(C76,'01_Products'!A:A,'01_Products'!C:C,"Missing Type"))</f>
        <v>#NAME?</v>
      </c>
      <c r="F76" s="2" t="e">
        <f ca="1">IF(B76="","",_xludf.XLOOKUP(B76,'02_Features'!A:A,'02_Features'!C:C,"Missing Feature"))</f>
        <v>#NAME?</v>
      </c>
      <c r="G76" s="2" t="e">
        <f ca="1">IF(B76="","",_xludf.XLOOKUP(B76,'02_Features'!A:A,'02_Features'!E:E,"Missing Prompt"))</f>
        <v>#NAME?</v>
      </c>
      <c r="H76" s="2" t="str">
        <f>IF('03_Functionalities'!D76="","",'03_Functionalities'!D76)</f>
        <v>Failure tolerance policy behavior</v>
      </c>
      <c r="I76" s="2" t="str">
        <f>IF('03_Functionalities'!E76="","",'03_Functionalities'!E76)</f>
        <v>Major functionality for failure tolerance policy behavior.</v>
      </c>
      <c r="J76" s="2" t="str">
        <f>IF('03_Functionalities'!F76="","",'03_Functionalities'!F76)</f>
        <v>Includes major assessment behavior for failure tolerance policy behavior in the context of resilience, fault domains and stretched clusters.</v>
      </c>
      <c r="K76" s="2" t="str">
        <f>IF('03_Functionalities'!G76="","",'03_Functionalities'!G76)</f>
        <v>Excludes low-level configuration toggles, cosmetic UI behavior, and implementation-specific inventory minutiae unless they materially affect parity or risk.</v>
      </c>
      <c r="L76" s="2" t="str">
        <f>IF('03_Functionalities'!I76="","",'03_Functionalities'!I76)</f>
        <v>Storage</v>
      </c>
      <c r="M76" s="2" t="str">
        <f>IF('03_Functionalities'!J76="","",'03_Functionalities'!J76)</f>
        <v>Storage Resilience</v>
      </c>
      <c r="N76" s="2" t="str">
        <f>IF('03_Functionalities'!K76="","",'03_Functionalities'!K76)</f>
        <v>Critical</v>
      </c>
      <c r="O76" s="2" t="str">
        <f>IF('03_Functionalities'!L76="","",'03_Functionalities'!L76)</f>
        <v>High</v>
      </c>
      <c r="P76" s="2" t="str">
        <f>IF('03_Functionalities'!M76="","",'03_Functionalities'!M76)</f>
        <v>Official vendor documentation, release notes, validated KB/article, product guide, or architecture reference with version applicability.</v>
      </c>
      <c r="Q76" s="2" t="str">
        <f>IF('03_Functionalities'!N76="","",'03_Functionalities'!N76)</f>
        <v>VCF 9.1 Resilience, fault domains and stretched clusters Failure tolerance policy behavior comparator parity evidence</v>
      </c>
      <c r="R76" s="2" t="str">
        <f>IF('03_Functionalities'!O76="","",'03_Functionalities'!O76)</f>
        <v>Yes</v>
      </c>
      <c r="S76" s="2" t="e">
        <f ca="1">IF(C76="","",_xludf.XLOOKUP(C76,'01_Products'!A:A,'01_Products'!K:K,0))</f>
        <v>#NAME?</v>
      </c>
      <c r="T76" s="2" t="e">
        <f ca="1">IF(B76="","",_xludf.XLOOKUP(B76,'02_Features'!A:A,'02_Features'!L:L,0))</f>
        <v>#NAME?</v>
      </c>
      <c r="U76" s="2">
        <f>IF('03_Functionalities'!P76="","",'03_Functionalities'!P76)</f>
        <v>3</v>
      </c>
      <c r="V76" s="2" t="str">
        <f>IF('03_Functionalities'!Q76="","",'03_Functionalities'!Q76)</f>
        <v>Draft</v>
      </c>
      <c r="W76" s="2" t="str">
        <f>IF('03_Functionalities'!R76="","",'03_Functionalities'!R76)</f>
        <v>https://techdocs.broadcom.com/us/en/vmware-cis/vcf/vcf-9-0-and-later/9-1/release-notes/vmware-cloud-foundation-9-1-0-0-release-notes/vmware-cloud-foundation-bill-of-materials.html</v>
      </c>
      <c r="X76" s="2" t="str">
        <f>IF('03_Functionalities'!S76="","",'03_Functionalities'!S76)</f>
        <v>High</v>
      </c>
    </row>
    <row r="77" spans="1:24" ht="57">
      <c r="A77" s="2" t="str">
        <f>IF('03_Functionalities'!A77="","",'03_Functionalities'!A77)</f>
        <v>FN-VSAN-04-01</v>
      </c>
      <c r="B77" s="2" t="str">
        <f>IF('03_Functionalities'!B77="","",'03_Functionalities'!B77)</f>
        <v>FT-VSAN-04</v>
      </c>
      <c r="C77" s="2" t="str">
        <f>IF('03_Functionalities'!C77="","",'03_Functionalities'!C77)</f>
        <v>PC-VSAN</v>
      </c>
      <c r="D77" s="2" t="e">
        <f ca="1">IF(C77="","",_xludf.XLOOKUP(C77,'01_Products'!A:A,'01_Products'!B:B,"Missing Product"))</f>
        <v>#NAME?</v>
      </c>
      <c r="E77" s="2" t="e">
        <f ca="1">IF(C77="","",_xludf.XLOOKUP(C77,'01_Products'!A:A,'01_Products'!C:C,"Missing Type"))</f>
        <v>#NAME?</v>
      </c>
      <c r="F77" s="2" t="e">
        <f ca="1">IF(B77="","",_xludf.XLOOKUP(B77,'02_Features'!A:A,'02_Features'!C:C,"Missing Feature"))</f>
        <v>#NAME?</v>
      </c>
      <c r="G77" s="2" t="e">
        <f ca="1">IF(B77="","",_xludf.XLOOKUP(B77,'02_Features'!A:A,'02_Features'!E:E,"Missing Prompt"))</f>
        <v>#NAME?</v>
      </c>
      <c r="H77" s="2" t="str">
        <f>IF('03_Functionalities'!D77="","",'03_Functionalities'!D77)</f>
        <v>Deduplication/compression and efficiency</v>
      </c>
      <c r="I77" s="2" t="str">
        <f>IF('03_Functionalities'!E77="","",'03_Functionalities'!E77)</f>
        <v>Major functionality for deduplication/compression and efficiency.</v>
      </c>
      <c r="J77" s="2" t="str">
        <f>IF('03_Functionalities'!F77="","",'03_Functionalities'!F77)</f>
        <v>Includes major assessment behavior for deduplication/compression and efficiency in the context of capacity efficiency and space management.</v>
      </c>
      <c r="K77" s="2" t="str">
        <f>IF('03_Functionalities'!G77="","",'03_Functionalities'!G77)</f>
        <v>Excludes low-level configuration toggles, cosmetic UI behavior, and implementation-specific inventory minutiae unless they materially affect parity or risk.</v>
      </c>
      <c r="L77" s="2" t="str">
        <f>IF('03_Functionalities'!I77="","",'03_Functionalities'!I77)</f>
        <v>Storage</v>
      </c>
      <c r="M77" s="2" t="str">
        <f>IF('03_Functionalities'!J77="","",'03_Functionalities'!J77)</f>
        <v>Capacity Management</v>
      </c>
      <c r="N77" s="2" t="str">
        <f>IF('03_Functionalities'!K77="","",'03_Functionalities'!K77)</f>
        <v>High</v>
      </c>
      <c r="O77" s="2" t="str">
        <f>IF('03_Functionalities'!L77="","",'03_Functionalities'!L77)</f>
        <v>Medium</v>
      </c>
      <c r="P77" s="2" t="str">
        <f>IF('03_Functionalities'!M77="","",'03_Functionalities'!M77)</f>
        <v>Official vendor documentation, release notes, validated KB/article, product guide, or architecture reference with version applicability.</v>
      </c>
      <c r="Q77" s="2" t="str">
        <f>IF('03_Functionalities'!N77="","",'03_Functionalities'!N77)</f>
        <v>VCF 9.1 Capacity efficiency and space management Deduplication/compression and efficiency comparator parity evidence</v>
      </c>
      <c r="R77" s="2" t="str">
        <f>IF('03_Functionalities'!O77="","",'03_Functionalities'!O77)</f>
        <v>Yes</v>
      </c>
      <c r="S77" s="2" t="e">
        <f ca="1">IF(C77="","",_xludf.XLOOKUP(C77,'01_Products'!A:A,'01_Products'!K:K,0))</f>
        <v>#NAME?</v>
      </c>
      <c r="T77" s="2" t="e">
        <f ca="1">IF(B77="","",_xludf.XLOOKUP(B77,'02_Features'!A:A,'02_Features'!L:L,0))</f>
        <v>#NAME?</v>
      </c>
      <c r="U77" s="2">
        <f>IF('03_Functionalities'!P77="","",'03_Functionalities'!P77)</f>
        <v>1</v>
      </c>
      <c r="V77" s="2" t="str">
        <f>IF('03_Functionalities'!Q77="","",'03_Functionalities'!Q77)</f>
        <v>Draft</v>
      </c>
      <c r="W77" s="2" t="str">
        <f>IF('03_Functionalities'!R77="","",'03_Functionalities'!R77)</f>
        <v>https://www.vmware.com/docs/vmware-cloud-foundation-9-1-feature-comparison-and-upgrade-paths</v>
      </c>
      <c r="X77" s="2" t="str">
        <f>IF('03_Functionalities'!S77="","",'03_Functionalities'!S77)</f>
        <v>High</v>
      </c>
    </row>
    <row r="78" spans="1:24" ht="57">
      <c r="A78" s="2" t="str">
        <f>IF('03_Functionalities'!A78="","",'03_Functionalities'!A78)</f>
        <v>FN-VSAN-04-02</v>
      </c>
      <c r="B78" s="2" t="str">
        <f>IF('03_Functionalities'!B78="","",'03_Functionalities'!B78)</f>
        <v>FT-VSAN-04</v>
      </c>
      <c r="C78" s="2" t="str">
        <f>IF('03_Functionalities'!C78="","",'03_Functionalities'!C78)</f>
        <v>PC-VSAN</v>
      </c>
      <c r="D78" s="2" t="e">
        <f ca="1">IF(C78="","",_xludf.XLOOKUP(C78,'01_Products'!A:A,'01_Products'!B:B,"Missing Product"))</f>
        <v>#NAME?</v>
      </c>
      <c r="E78" s="2" t="e">
        <f ca="1">IF(C78="","",_xludf.XLOOKUP(C78,'01_Products'!A:A,'01_Products'!C:C,"Missing Type"))</f>
        <v>#NAME?</v>
      </c>
      <c r="F78" s="2" t="e">
        <f ca="1">IF(B78="","",_xludf.XLOOKUP(B78,'02_Features'!A:A,'02_Features'!C:C,"Missing Feature"))</f>
        <v>#NAME?</v>
      </c>
      <c r="G78" s="2" t="e">
        <f ca="1">IF(B78="","",_xludf.XLOOKUP(B78,'02_Features'!A:A,'02_Features'!E:E,"Missing Prompt"))</f>
        <v>#NAME?</v>
      </c>
      <c r="H78" s="2" t="str">
        <f>IF('03_Functionalities'!D78="","",'03_Functionalities'!D78)</f>
        <v>Capacity forecasting and thresholding</v>
      </c>
      <c r="I78" s="2" t="str">
        <f>IF('03_Functionalities'!E78="","",'03_Functionalities'!E78)</f>
        <v>Major functionality for capacity forecasting and thresholding.</v>
      </c>
      <c r="J78" s="2" t="str">
        <f>IF('03_Functionalities'!F78="","",'03_Functionalities'!F78)</f>
        <v>Includes major assessment behavior for capacity forecasting and thresholding in the context of capacity efficiency and space management.</v>
      </c>
      <c r="K78" s="2" t="str">
        <f>IF('03_Functionalities'!G78="","",'03_Functionalities'!G78)</f>
        <v>Excludes low-level configuration toggles, cosmetic UI behavior, and implementation-specific inventory minutiae unless they materially affect parity or risk.</v>
      </c>
      <c r="L78" s="2" t="str">
        <f>IF('03_Functionalities'!I78="","",'03_Functionalities'!I78)</f>
        <v>Storage</v>
      </c>
      <c r="M78" s="2" t="str">
        <f>IF('03_Functionalities'!J78="","",'03_Functionalities'!J78)</f>
        <v>Capacity Management</v>
      </c>
      <c r="N78" s="2" t="str">
        <f>IF('03_Functionalities'!K78="","",'03_Functionalities'!K78)</f>
        <v>High</v>
      </c>
      <c r="O78" s="2" t="str">
        <f>IF('03_Functionalities'!L78="","",'03_Functionalities'!L78)</f>
        <v>Medium</v>
      </c>
      <c r="P78" s="2" t="str">
        <f>IF('03_Functionalities'!M78="","",'03_Functionalities'!M78)</f>
        <v>Official vendor documentation, release notes, validated KB/article, product guide, or architecture reference with version applicability.</v>
      </c>
      <c r="Q78" s="2" t="str">
        <f>IF('03_Functionalities'!N78="","",'03_Functionalities'!N78)</f>
        <v>VCF 9.1 Capacity efficiency and space management Capacity forecasting and thresholding comparator parity evidence</v>
      </c>
      <c r="R78" s="2" t="str">
        <f>IF('03_Functionalities'!O78="","",'03_Functionalities'!O78)</f>
        <v>Yes</v>
      </c>
      <c r="S78" s="2" t="e">
        <f ca="1">IF(C78="","",_xludf.XLOOKUP(C78,'01_Products'!A:A,'01_Products'!K:K,0))</f>
        <v>#NAME?</v>
      </c>
      <c r="T78" s="2" t="e">
        <f ca="1">IF(B78="","",_xludf.XLOOKUP(B78,'02_Features'!A:A,'02_Features'!L:L,0))</f>
        <v>#NAME?</v>
      </c>
      <c r="U78" s="2">
        <f>IF('03_Functionalities'!P78="","",'03_Functionalities'!P78)</f>
        <v>2</v>
      </c>
      <c r="V78" s="2" t="str">
        <f>IF('03_Functionalities'!Q78="","",'03_Functionalities'!Q78)</f>
        <v>Draft</v>
      </c>
      <c r="W78" s="2" t="str">
        <f>IF('03_Functionalities'!R78="","",'03_Functionalities'!R78)</f>
        <v>https://www.vmware.com/docs/vmware-cloud-foundation-9-1-feature-comparison-and-upgrade-paths</v>
      </c>
      <c r="X78" s="2" t="str">
        <f>IF('03_Functionalities'!S78="","",'03_Functionalities'!S78)</f>
        <v>High</v>
      </c>
    </row>
    <row r="79" spans="1:24" ht="57">
      <c r="A79" s="2" t="str">
        <f>IF('03_Functionalities'!A79="","",'03_Functionalities'!A79)</f>
        <v>FN-VSAN-04-03</v>
      </c>
      <c r="B79" s="2" t="str">
        <f>IF('03_Functionalities'!B79="","",'03_Functionalities'!B79)</f>
        <v>FT-VSAN-04</v>
      </c>
      <c r="C79" s="2" t="str">
        <f>IF('03_Functionalities'!C79="","",'03_Functionalities'!C79)</f>
        <v>PC-VSAN</v>
      </c>
      <c r="D79" s="2" t="e">
        <f ca="1">IF(C79="","",_xludf.XLOOKUP(C79,'01_Products'!A:A,'01_Products'!B:B,"Missing Product"))</f>
        <v>#NAME?</v>
      </c>
      <c r="E79" s="2" t="e">
        <f ca="1">IF(C79="","",_xludf.XLOOKUP(C79,'01_Products'!A:A,'01_Products'!C:C,"Missing Type"))</f>
        <v>#NAME?</v>
      </c>
      <c r="F79" s="2" t="e">
        <f ca="1">IF(B79="","",_xludf.XLOOKUP(B79,'02_Features'!A:A,'02_Features'!C:C,"Missing Feature"))</f>
        <v>#NAME?</v>
      </c>
      <c r="G79" s="2" t="e">
        <f ca="1">IF(B79="","",_xludf.XLOOKUP(B79,'02_Features'!A:A,'02_Features'!E:E,"Missing Prompt"))</f>
        <v>#NAME?</v>
      </c>
      <c r="H79" s="2" t="str">
        <f>IF('03_Functionalities'!D79="","",'03_Functionalities'!D79)</f>
        <v>Space reclaim and object health visibility</v>
      </c>
      <c r="I79" s="2" t="str">
        <f>IF('03_Functionalities'!E79="","",'03_Functionalities'!E79)</f>
        <v>Major functionality for space reclaim and object health visibility.</v>
      </c>
      <c r="J79" s="2" t="str">
        <f>IF('03_Functionalities'!F79="","",'03_Functionalities'!F79)</f>
        <v>Includes major assessment behavior for space reclaim and object health visibility in the context of capacity efficiency and space management.</v>
      </c>
      <c r="K79" s="2" t="str">
        <f>IF('03_Functionalities'!G79="","",'03_Functionalities'!G79)</f>
        <v>Excludes low-level configuration toggles, cosmetic UI behavior, and implementation-specific inventory minutiae unless they materially affect parity or risk.</v>
      </c>
      <c r="L79" s="2" t="str">
        <f>IF('03_Functionalities'!I79="","",'03_Functionalities'!I79)</f>
        <v>Storage</v>
      </c>
      <c r="M79" s="2" t="str">
        <f>IF('03_Functionalities'!J79="","",'03_Functionalities'!J79)</f>
        <v>Capacity Management</v>
      </c>
      <c r="N79" s="2" t="str">
        <f>IF('03_Functionalities'!K79="","",'03_Functionalities'!K79)</f>
        <v>High</v>
      </c>
      <c r="O79" s="2" t="str">
        <f>IF('03_Functionalities'!L79="","",'03_Functionalities'!L79)</f>
        <v>Medium</v>
      </c>
      <c r="P79" s="2" t="str">
        <f>IF('03_Functionalities'!M79="","",'03_Functionalities'!M79)</f>
        <v>Official vendor documentation, release notes, validated KB/article, product guide, or architecture reference with version applicability.</v>
      </c>
      <c r="Q79" s="2" t="str">
        <f>IF('03_Functionalities'!N79="","",'03_Functionalities'!N79)</f>
        <v>VCF 9.1 Capacity efficiency and space management Space reclaim and object health visibility comparator parity evidence</v>
      </c>
      <c r="R79" s="2" t="str">
        <f>IF('03_Functionalities'!O79="","",'03_Functionalities'!O79)</f>
        <v>Yes</v>
      </c>
      <c r="S79" s="2" t="e">
        <f ca="1">IF(C79="","",_xludf.XLOOKUP(C79,'01_Products'!A:A,'01_Products'!K:K,0))</f>
        <v>#NAME?</v>
      </c>
      <c r="T79" s="2" t="e">
        <f ca="1">IF(B79="","",_xludf.XLOOKUP(B79,'02_Features'!A:A,'02_Features'!L:L,0))</f>
        <v>#NAME?</v>
      </c>
      <c r="U79" s="2">
        <f>IF('03_Functionalities'!P79="","",'03_Functionalities'!P79)</f>
        <v>3</v>
      </c>
      <c r="V79" s="2" t="str">
        <f>IF('03_Functionalities'!Q79="","",'03_Functionalities'!Q79)</f>
        <v>Draft</v>
      </c>
      <c r="W79" s="2" t="str">
        <f>IF('03_Functionalities'!R79="","",'03_Functionalities'!R79)</f>
        <v>https://www.vmware.com/docs/vmware-cloud-foundation-9-1-feature-comparison-and-upgrade-paths</v>
      </c>
      <c r="X79" s="2" t="str">
        <f>IF('03_Functionalities'!S79="","",'03_Functionalities'!S79)</f>
        <v>High</v>
      </c>
    </row>
    <row r="80" spans="1:24" ht="71.25">
      <c r="A80" s="2" t="str">
        <f>IF('03_Functionalities'!A80="","",'03_Functionalities'!A80)</f>
        <v>FN-VSAN-05-01</v>
      </c>
      <c r="B80" s="2" t="str">
        <f>IF('03_Functionalities'!B80="","",'03_Functionalities'!B80)</f>
        <v>FT-VSAN-05</v>
      </c>
      <c r="C80" s="2" t="str">
        <f>IF('03_Functionalities'!C80="","",'03_Functionalities'!C80)</f>
        <v>PC-VSAN</v>
      </c>
      <c r="D80" s="2" t="e">
        <f ca="1">IF(C80="","",_xludf.XLOOKUP(C80,'01_Products'!A:A,'01_Products'!B:B,"Missing Product"))</f>
        <v>#NAME?</v>
      </c>
      <c r="E80" s="2" t="e">
        <f ca="1">IF(C80="","",_xludf.XLOOKUP(C80,'01_Products'!A:A,'01_Products'!C:C,"Missing Type"))</f>
        <v>#NAME?</v>
      </c>
      <c r="F80" s="2" t="e">
        <f ca="1">IF(B80="","",_xludf.XLOOKUP(B80,'02_Features'!A:A,'02_Features'!C:C,"Missing Feature"))</f>
        <v>#NAME?</v>
      </c>
      <c r="G80" s="2" t="e">
        <f ca="1">IF(B80="","",_xludf.XLOOKUP(B80,'02_Features'!A:A,'02_Features'!E:E,"Missing Prompt"))</f>
        <v>#NAME?</v>
      </c>
      <c r="H80" s="2" t="str">
        <f>IF('03_Functionalities'!D80="","",'03_Functionalities'!D80)</f>
        <v>File service enablement</v>
      </c>
      <c r="I80" s="2" t="str">
        <f>IF('03_Functionalities'!E80="","",'03_Functionalities'!E80)</f>
        <v>Major functionality for file service enablement.</v>
      </c>
      <c r="J80" s="2" t="str">
        <f>IF('03_Functionalities'!F80="","",'03_Functionalities'!F80)</f>
        <v>Includes major assessment behavior for file service enablement in the context of vsan file services.</v>
      </c>
      <c r="K80" s="2" t="str">
        <f>IF('03_Functionalities'!G80="","",'03_Functionalities'!G80)</f>
        <v>Excludes low-level configuration toggles, cosmetic UI behavior, and implementation-specific inventory minutiae unless they materially affect parity or risk.</v>
      </c>
      <c r="L80" s="2" t="str">
        <f>IF('03_Functionalities'!I80="","",'03_Functionalities'!I80)</f>
        <v>Storage</v>
      </c>
      <c r="M80" s="2" t="str">
        <f>IF('03_Functionalities'!J80="","",'03_Functionalities'!J80)</f>
        <v>File Services</v>
      </c>
      <c r="N80" s="2" t="str">
        <f>IF('03_Functionalities'!K80="","",'03_Functionalities'!K80)</f>
        <v>Medium</v>
      </c>
      <c r="O80" s="2" t="str">
        <f>IF('03_Functionalities'!L80="","",'03_Functionalities'!L80)</f>
        <v>Medium</v>
      </c>
      <c r="P80" s="2" t="str">
        <f>IF('03_Functionalities'!M80="","",'03_Functionalities'!M80)</f>
        <v>Official vendor documentation, release notes, validated KB/article, product guide, or architecture reference with version applicability.</v>
      </c>
      <c r="Q80" s="2" t="str">
        <f>IF('03_Functionalities'!N80="","",'03_Functionalities'!N80)</f>
        <v>VCF 9.1 vSAN file services File service enablement comparator parity evidence</v>
      </c>
      <c r="R80" s="2" t="str">
        <f>IF('03_Functionalities'!O80="","",'03_Functionalities'!O80)</f>
        <v>Yes</v>
      </c>
      <c r="S80" s="2" t="e">
        <f ca="1">IF(C80="","",_xludf.XLOOKUP(C80,'01_Products'!A:A,'01_Products'!K:K,0))</f>
        <v>#NAME?</v>
      </c>
      <c r="T80" s="2" t="e">
        <f ca="1">IF(B80="","",_xludf.XLOOKUP(B80,'02_Features'!A:A,'02_Features'!L:L,0))</f>
        <v>#NAME?</v>
      </c>
      <c r="U80" s="2">
        <f>IF('03_Functionalities'!P80="","",'03_Functionalities'!P80)</f>
        <v>1</v>
      </c>
      <c r="V80" s="2" t="str">
        <f>IF('03_Functionalities'!Q80="","",'03_Functionalities'!Q80)</f>
        <v>Draft</v>
      </c>
      <c r="W80" s="2" t="str">
        <f>IF('03_Functionalities'!R80="","",'03_Functionalities'!R80)</f>
        <v>https://techdocs.broadcom.com/us/en/vmware-cis/vcf/vcf-9-0-and-later/9-1/release-notes/vmware-cloud-foundation-9-1-0-0-release-notes/vmware-cloud-foundation-bill-of-materials.html</v>
      </c>
      <c r="X80" s="2" t="str">
        <f>IF('03_Functionalities'!S80="","",'03_Functionalities'!S80)</f>
        <v>High</v>
      </c>
    </row>
    <row r="81" spans="1:24" ht="71.25">
      <c r="A81" s="2" t="str">
        <f>IF('03_Functionalities'!A81="","",'03_Functionalities'!A81)</f>
        <v>FN-VSAN-05-02</v>
      </c>
      <c r="B81" s="2" t="str">
        <f>IF('03_Functionalities'!B81="","",'03_Functionalities'!B81)</f>
        <v>FT-VSAN-05</v>
      </c>
      <c r="C81" s="2" t="str">
        <f>IF('03_Functionalities'!C81="","",'03_Functionalities'!C81)</f>
        <v>PC-VSAN</v>
      </c>
      <c r="D81" s="2" t="e">
        <f ca="1">IF(C81="","",_xludf.XLOOKUP(C81,'01_Products'!A:A,'01_Products'!B:B,"Missing Product"))</f>
        <v>#NAME?</v>
      </c>
      <c r="E81" s="2" t="e">
        <f ca="1">IF(C81="","",_xludf.XLOOKUP(C81,'01_Products'!A:A,'01_Products'!C:C,"Missing Type"))</f>
        <v>#NAME?</v>
      </c>
      <c r="F81" s="2" t="e">
        <f ca="1">IF(B81="","",_xludf.XLOOKUP(B81,'02_Features'!A:A,'02_Features'!C:C,"Missing Feature"))</f>
        <v>#NAME?</v>
      </c>
      <c r="G81" s="2" t="e">
        <f ca="1">IF(B81="","",_xludf.XLOOKUP(B81,'02_Features'!A:A,'02_Features'!E:E,"Missing Prompt"))</f>
        <v>#NAME?</v>
      </c>
      <c r="H81" s="2" t="str">
        <f>IF('03_Functionalities'!D81="","",'03_Functionalities'!D81)</f>
        <v>NFS/share consumption</v>
      </c>
      <c r="I81" s="2" t="str">
        <f>IF('03_Functionalities'!E81="","",'03_Functionalities'!E81)</f>
        <v>Major functionality for nfs/share consumption.</v>
      </c>
      <c r="J81" s="2" t="str">
        <f>IF('03_Functionalities'!F81="","",'03_Functionalities'!F81)</f>
        <v>Includes major assessment behavior for nfs/share consumption in the context of vsan file services.</v>
      </c>
      <c r="K81" s="2" t="str">
        <f>IF('03_Functionalities'!G81="","",'03_Functionalities'!G81)</f>
        <v>Excludes low-level configuration toggles, cosmetic UI behavior, and implementation-specific inventory minutiae unless they materially affect parity or risk.</v>
      </c>
      <c r="L81" s="2" t="str">
        <f>IF('03_Functionalities'!I81="","",'03_Functionalities'!I81)</f>
        <v>Storage</v>
      </c>
      <c r="M81" s="2" t="str">
        <f>IF('03_Functionalities'!J81="","",'03_Functionalities'!J81)</f>
        <v>File Services</v>
      </c>
      <c r="N81" s="2" t="str">
        <f>IF('03_Functionalities'!K81="","",'03_Functionalities'!K81)</f>
        <v>Medium</v>
      </c>
      <c r="O81" s="2" t="str">
        <f>IF('03_Functionalities'!L81="","",'03_Functionalities'!L81)</f>
        <v>Medium</v>
      </c>
      <c r="P81" s="2" t="str">
        <f>IF('03_Functionalities'!M81="","",'03_Functionalities'!M81)</f>
        <v>Official vendor documentation, release notes, validated KB/article, product guide, or architecture reference with version applicability.</v>
      </c>
      <c r="Q81" s="2" t="str">
        <f>IF('03_Functionalities'!N81="","",'03_Functionalities'!N81)</f>
        <v>VCF 9.1 vSAN file services NFS/share consumption comparator parity evidence</v>
      </c>
      <c r="R81" s="2" t="str">
        <f>IF('03_Functionalities'!O81="","",'03_Functionalities'!O81)</f>
        <v>Yes</v>
      </c>
      <c r="S81" s="2" t="e">
        <f ca="1">IF(C81="","",_xludf.XLOOKUP(C81,'01_Products'!A:A,'01_Products'!K:K,0))</f>
        <v>#NAME?</v>
      </c>
      <c r="T81" s="2" t="e">
        <f ca="1">IF(B81="","",_xludf.XLOOKUP(B81,'02_Features'!A:A,'02_Features'!L:L,0))</f>
        <v>#NAME?</v>
      </c>
      <c r="U81" s="2">
        <f>IF('03_Functionalities'!P81="","",'03_Functionalities'!P81)</f>
        <v>2</v>
      </c>
      <c r="V81" s="2" t="str">
        <f>IF('03_Functionalities'!Q81="","",'03_Functionalities'!Q81)</f>
        <v>Draft</v>
      </c>
      <c r="W81" s="2" t="str">
        <f>IF('03_Functionalities'!R81="","",'03_Functionalities'!R81)</f>
        <v>https://techdocs.broadcom.com/us/en/vmware-cis/vcf/vcf-9-0-and-later/9-1/release-notes/vmware-cloud-foundation-9-1-0-0-release-notes/vmware-cloud-foundation-bill-of-materials.html</v>
      </c>
      <c r="X81" s="2" t="str">
        <f>IF('03_Functionalities'!S81="","",'03_Functionalities'!S81)</f>
        <v>High</v>
      </c>
    </row>
    <row r="82" spans="1:24" ht="71.25">
      <c r="A82" s="2" t="str">
        <f>IF('03_Functionalities'!A82="","",'03_Functionalities'!A82)</f>
        <v>FN-VSAN-05-03</v>
      </c>
      <c r="B82" s="2" t="str">
        <f>IF('03_Functionalities'!B82="","",'03_Functionalities'!B82)</f>
        <v>FT-VSAN-05</v>
      </c>
      <c r="C82" s="2" t="str">
        <f>IF('03_Functionalities'!C82="","",'03_Functionalities'!C82)</f>
        <v>PC-VSAN</v>
      </c>
      <c r="D82" s="2" t="e">
        <f ca="1">IF(C82="","",_xludf.XLOOKUP(C82,'01_Products'!A:A,'01_Products'!B:B,"Missing Product"))</f>
        <v>#NAME?</v>
      </c>
      <c r="E82" s="2" t="e">
        <f ca="1">IF(C82="","",_xludf.XLOOKUP(C82,'01_Products'!A:A,'01_Products'!C:C,"Missing Type"))</f>
        <v>#NAME?</v>
      </c>
      <c r="F82" s="2" t="e">
        <f ca="1">IF(B82="","",_xludf.XLOOKUP(B82,'02_Features'!A:A,'02_Features'!C:C,"Missing Feature"))</f>
        <v>#NAME?</v>
      </c>
      <c r="G82" s="2" t="e">
        <f ca="1">IF(B82="","",_xludf.XLOOKUP(B82,'02_Features'!A:A,'02_Features'!E:E,"Missing Prompt"))</f>
        <v>#NAME?</v>
      </c>
      <c r="H82" s="2" t="str">
        <f>IF('03_Functionalities'!D82="","",'03_Functionalities'!D82)</f>
        <v>File service availability and access control</v>
      </c>
      <c r="I82" s="2" t="str">
        <f>IF('03_Functionalities'!E82="","",'03_Functionalities'!E82)</f>
        <v>Major functionality for file service availability and access control.</v>
      </c>
      <c r="J82" s="2" t="str">
        <f>IF('03_Functionalities'!F82="","",'03_Functionalities'!F82)</f>
        <v>Includes major assessment behavior for file service availability and access control in the context of vsan file services.</v>
      </c>
      <c r="K82" s="2" t="str">
        <f>IF('03_Functionalities'!G82="","",'03_Functionalities'!G82)</f>
        <v>Excludes low-level configuration toggles, cosmetic UI behavior, and implementation-specific inventory minutiae unless they materially affect parity or risk.</v>
      </c>
      <c r="L82" s="2" t="str">
        <f>IF('03_Functionalities'!I82="","",'03_Functionalities'!I82)</f>
        <v>Storage</v>
      </c>
      <c r="M82" s="2" t="str">
        <f>IF('03_Functionalities'!J82="","",'03_Functionalities'!J82)</f>
        <v>File Services</v>
      </c>
      <c r="N82" s="2" t="str">
        <f>IF('03_Functionalities'!K82="","",'03_Functionalities'!K82)</f>
        <v>Medium</v>
      </c>
      <c r="O82" s="2" t="str">
        <f>IF('03_Functionalities'!L82="","",'03_Functionalities'!L82)</f>
        <v>Medium</v>
      </c>
      <c r="P82" s="2" t="str">
        <f>IF('03_Functionalities'!M82="","",'03_Functionalities'!M82)</f>
        <v>Official vendor documentation, release notes, validated KB/article, product guide, or architecture reference with version applicability.</v>
      </c>
      <c r="Q82" s="2" t="str">
        <f>IF('03_Functionalities'!N82="","",'03_Functionalities'!N82)</f>
        <v>VCF 9.1 vSAN file services File service availability and access control comparator parity evidence</v>
      </c>
      <c r="R82" s="2" t="str">
        <f>IF('03_Functionalities'!O82="","",'03_Functionalities'!O82)</f>
        <v>Yes</v>
      </c>
      <c r="S82" s="2" t="e">
        <f ca="1">IF(C82="","",_xludf.XLOOKUP(C82,'01_Products'!A:A,'01_Products'!K:K,0))</f>
        <v>#NAME?</v>
      </c>
      <c r="T82" s="2" t="e">
        <f ca="1">IF(B82="","",_xludf.XLOOKUP(B82,'02_Features'!A:A,'02_Features'!L:L,0))</f>
        <v>#NAME?</v>
      </c>
      <c r="U82" s="2">
        <f>IF('03_Functionalities'!P82="","",'03_Functionalities'!P82)</f>
        <v>3</v>
      </c>
      <c r="V82" s="2" t="str">
        <f>IF('03_Functionalities'!Q82="","",'03_Functionalities'!Q82)</f>
        <v>Draft</v>
      </c>
      <c r="W82" s="2" t="str">
        <f>IF('03_Functionalities'!R82="","",'03_Functionalities'!R82)</f>
        <v>https://techdocs.broadcom.com/us/en/vmware-cis/vcf/vcf-9-0-and-later/9-1/release-notes/vmware-cloud-foundation-9-1-0-0-release-notes/vmware-cloud-foundation-bill-of-materials.html</v>
      </c>
      <c r="X82" s="2" t="str">
        <f>IF('03_Functionalities'!S82="","",'03_Functionalities'!S82)</f>
        <v>High</v>
      </c>
    </row>
    <row r="83" spans="1:24" ht="71.25">
      <c r="A83" s="2" t="str">
        <f>IF('03_Functionalities'!A83="","",'03_Functionalities'!A83)</f>
        <v>FN-VSAN-06-01</v>
      </c>
      <c r="B83" s="2" t="str">
        <f>IF('03_Functionalities'!B83="","",'03_Functionalities'!B83)</f>
        <v>FT-VSAN-06</v>
      </c>
      <c r="C83" s="2" t="str">
        <f>IF('03_Functionalities'!C83="","",'03_Functionalities'!C83)</f>
        <v>PC-VSAN</v>
      </c>
      <c r="D83" s="2" t="e">
        <f ca="1">IF(C83="","",_xludf.XLOOKUP(C83,'01_Products'!A:A,'01_Products'!B:B,"Missing Product"))</f>
        <v>#NAME?</v>
      </c>
      <c r="E83" s="2" t="e">
        <f ca="1">IF(C83="","",_xludf.XLOOKUP(C83,'01_Products'!A:A,'01_Products'!C:C,"Missing Type"))</f>
        <v>#NAME?</v>
      </c>
      <c r="F83" s="2" t="e">
        <f ca="1">IF(B83="","",_xludf.XLOOKUP(B83,'02_Features'!A:A,'02_Features'!C:C,"Missing Feature"))</f>
        <v>#NAME?</v>
      </c>
      <c r="G83" s="2" t="e">
        <f ca="1">IF(B83="","",_xludf.XLOOKUP(B83,'02_Features'!A:A,'02_Features'!E:E,"Missing Prompt"))</f>
        <v>#NAME?</v>
      </c>
      <c r="H83" s="2" t="str">
        <f>IF('03_Functionalities'!D83="","",'03_Functionalities'!D83)</f>
        <v>vSAN snapshot service support</v>
      </c>
      <c r="I83" s="2" t="str">
        <f>IF('03_Functionalities'!E83="","",'03_Functionalities'!E83)</f>
        <v>Major functionality for vsan snapshot service support.</v>
      </c>
      <c r="J83" s="2" t="str">
        <f>IF('03_Functionalities'!F83="","",'03_Functionalities'!F83)</f>
        <v>Includes major assessment behavior for vsan snapshot service support in the context of vsan data protection hooks and snapshots.</v>
      </c>
      <c r="K83" s="2" t="str">
        <f>IF('03_Functionalities'!G83="","",'03_Functionalities'!G83)</f>
        <v>Excludes low-level configuration toggles, cosmetic UI behavior, and implementation-specific inventory minutiae unless they materially affect parity or risk.</v>
      </c>
      <c r="L83" s="2" t="str">
        <f>IF('03_Functionalities'!I83="","",'03_Functionalities'!I83)</f>
        <v>Resilience</v>
      </c>
      <c r="M83" s="2" t="str">
        <f>IF('03_Functionalities'!J83="","",'03_Functionalities'!J83)</f>
        <v>Storage Protection</v>
      </c>
      <c r="N83" s="2" t="str">
        <f>IF('03_Functionalities'!K83="","",'03_Functionalities'!K83)</f>
        <v>High</v>
      </c>
      <c r="O83" s="2" t="str">
        <f>IF('03_Functionalities'!L83="","",'03_Functionalities'!L83)</f>
        <v>High</v>
      </c>
      <c r="P83" s="2" t="str">
        <f>IF('03_Functionalities'!M83="","",'03_Functionalities'!M83)</f>
        <v>Official vendor documentation, release notes, validated KB/article, product guide, or architecture reference with version applicability.</v>
      </c>
      <c r="Q83" s="2" t="str">
        <f>IF('03_Functionalities'!N83="","",'03_Functionalities'!N83)</f>
        <v>VCF 9.1 vSAN data protection hooks and snapshots vSAN snapshot service support comparator parity evidence</v>
      </c>
      <c r="R83" s="2" t="str">
        <f>IF('03_Functionalities'!O83="","",'03_Functionalities'!O83)</f>
        <v>Yes</v>
      </c>
      <c r="S83" s="2" t="e">
        <f ca="1">IF(C83="","",_xludf.XLOOKUP(C83,'01_Products'!A:A,'01_Products'!K:K,0))</f>
        <v>#NAME?</v>
      </c>
      <c r="T83" s="2" t="e">
        <f ca="1">IF(B83="","",_xludf.XLOOKUP(B83,'02_Features'!A:A,'02_Features'!L:L,0))</f>
        <v>#NAME?</v>
      </c>
      <c r="U83" s="2">
        <f>IF('03_Functionalities'!P83="","",'03_Functionalities'!P83)</f>
        <v>1</v>
      </c>
      <c r="V83" s="2" t="str">
        <f>IF('03_Functionalities'!Q83="","",'03_Functionalities'!Q83)</f>
        <v>Draft</v>
      </c>
      <c r="W83" s="2" t="str">
        <f>IF('03_Functionalities'!R83="","",'03_Functionalities'!R83)</f>
        <v>https://techdocs.broadcom.com/us/en/vmware-cis/vcf/vcf-9-0-and-later/9-1/release-notes/vmware-cloud-foundation-9-1-0-0-release-notes/what-s-new/whats-new-vcf-cli-api-sdk/vcf-changelog.html</v>
      </c>
      <c r="X83" s="2" t="str">
        <f>IF('03_Functionalities'!S83="","",'03_Functionalities'!S83)</f>
        <v>High</v>
      </c>
    </row>
    <row r="84" spans="1:24" ht="71.25">
      <c r="A84" s="2" t="str">
        <f>IF('03_Functionalities'!A84="","",'03_Functionalities'!A84)</f>
        <v>FN-VSAN-06-02</v>
      </c>
      <c r="B84" s="2" t="str">
        <f>IF('03_Functionalities'!B84="","",'03_Functionalities'!B84)</f>
        <v>FT-VSAN-06</v>
      </c>
      <c r="C84" s="2" t="str">
        <f>IF('03_Functionalities'!C84="","",'03_Functionalities'!C84)</f>
        <v>PC-VSAN</v>
      </c>
      <c r="D84" s="2" t="e">
        <f ca="1">IF(C84="","",_xludf.XLOOKUP(C84,'01_Products'!A:A,'01_Products'!B:B,"Missing Product"))</f>
        <v>#NAME?</v>
      </c>
      <c r="E84" s="2" t="e">
        <f ca="1">IF(C84="","",_xludf.XLOOKUP(C84,'01_Products'!A:A,'01_Products'!C:C,"Missing Type"))</f>
        <v>#NAME?</v>
      </c>
      <c r="F84" s="2" t="e">
        <f ca="1">IF(B84="","",_xludf.XLOOKUP(B84,'02_Features'!A:A,'02_Features'!C:C,"Missing Feature"))</f>
        <v>#NAME?</v>
      </c>
      <c r="G84" s="2" t="e">
        <f ca="1">IF(B84="","",_xludf.XLOOKUP(B84,'02_Features'!A:A,'02_Features'!E:E,"Missing Prompt"))</f>
        <v>#NAME?</v>
      </c>
      <c r="H84" s="2" t="str">
        <f>IF('03_Functionalities'!D84="","",'03_Functionalities'!D84)</f>
        <v>Data protection API integration</v>
      </c>
      <c r="I84" s="2" t="str">
        <f>IF('03_Functionalities'!E84="","",'03_Functionalities'!E84)</f>
        <v>Major functionality for data protection api integration.</v>
      </c>
      <c r="J84" s="2" t="str">
        <f>IF('03_Functionalities'!F84="","",'03_Functionalities'!F84)</f>
        <v>Includes major assessment behavior for data protection api integration in the context of vsan data protection hooks and snapshots.</v>
      </c>
      <c r="K84" s="2" t="str">
        <f>IF('03_Functionalities'!G84="","",'03_Functionalities'!G84)</f>
        <v>Excludes low-level configuration toggles, cosmetic UI behavior, and implementation-specific inventory minutiae unless they materially affect parity or risk.</v>
      </c>
      <c r="L84" s="2" t="str">
        <f>IF('03_Functionalities'!I84="","",'03_Functionalities'!I84)</f>
        <v>Resilience</v>
      </c>
      <c r="M84" s="2" t="str">
        <f>IF('03_Functionalities'!J84="","",'03_Functionalities'!J84)</f>
        <v>Storage Protection</v>
      </c>
      <c r="N84" s="2" t="str">
        <f>IF('03_Functionalities'!K84="","",'03_Functionalities'!K84)</f>
        <v>High</v>
      </c>
      <c r="O84" s="2" t="str">
        <f>IF('03_Functionalities'!L84="","",'03_Functionalities'!L84)</f>
        <v>High</v>
      </c>
      <c r="P84" s="2" t="str">
        <f>IF('03_Functionalities'!M84="","",'03_Functionalities'!M84)</f>
        <v>Official vendor documentation, release notes, validated KB/article, product guide, or architecture reference with version applicability.</v>
      </c>
      <c r="Q84" s="2" t="str">
        <f>IF('03_Functionalities'!N84="","",'03_Functionalities'!N84)</f>
        <v>VCF 9.1 vSAN data protection hooks and snapshots Data protection API integration comparator parity evidence</v>
      </c>
      <c r="R84" s="2" t="str">
        <f>IF('03_Functionalities'!O84="","",'03_Functionalities'!O84)</f>
        <v>Yes</v>
      </c>
      <c r="S84" s="2" t="e">
        <f ca="1">IF(C84="","",_xludf.XLOOKUP(C84,'01_Products'!A:A,'01_Products'!K:K,0))</f>
        <v>#NAME?</v>
      </c>
      <c r="T84" s="2" t="e">
        <f ca="1">IF(B84="","",_xludf.XLOOKUP(B84,'02_Features'!A:A,'02_Features'!L:L,0))</f>
        <v>#NAME?</v>
      </c>
      <c r="U84" s="2">
        <f>IF('03_Functionalities'!P84="","",'03_Functionalities'!P84)</f>
        <v>2</v>
      </c>
      <c r="V84" s="2" t="str">
        <f>IF('03_Functionalities'!Q84="","",'03_Functionalities'!Q84)</f>
        <v>Draft</v>
      </c>
      <c r="W84" s="2" t="str">
        <f>IF('03_Functionalities'!R84="","",'03_Functionalities'!R84)</f>
        <v>https://techdocs.broadcom.com/us/en/vmware-cis/vcf/vcf-9-0-and-later/9-1/release-notes/vmware-cloud-foundation-9-1-0-0-release-notes/what-s-new/whats-new-vcf-cli-api-sdk/vcf-changelog.html</v>
      </c>
      <c r="X84" s="2" t="str">
        <f>IF('03_Functionalities'!S84="","",'03_Functionalities'!S84)</f>
        <v>High</v>
      </c>
    </row>
    <row r="85" spans="1:24" ht="71.25">
      <c r="A85" s="2" t="str">
        <f>IF('03_Functionalities'!A85="","",'03_Functionalities'!A85)</f>
        <v>FN-VSAN-06-03</v>
      </c>
      <c r="B85" s="2" t="str">
        <f>IF('03_Functionalities'!B85="","",'03_Functionalities'!B85)</f>
        <v>FT-VSAN-06</v>
      </c>
      <c r="C85" s="2" t="str">
        <f>IF('03_Functionalities'!C85="","",'03_Functionalities'!C85)</f>
        <v>PC-VSAN</v>
      </c>
      <c r="D85" s="2" t="e">
        <f ca="1">IF(C85="","",_xludf.XLOOKUP(C85,'01_Products'!A:A,'01_Products'!B:B,"Missing Product"))</f>
        <v>#NAME?</v>
      </c>
      <c r="E85" s="2" t="e">
        <f ca="1">IF(C85="","",_xludf.XLOOKUP(C85,'01_Products'!A:A,'01_Products'!C:C,"Missing Type"))</f>
        <v>#NAME?</v>
      </c>
      <c r="F85" s="2" t="e">
        <f ca="1">IF(B85="","",_xludf.XLOOKUP(B85,'02_Features'!A:A,'02_Features'!C:C,"Missing Feature"))</f>
        <v>#NAME?</v>
      </c>
      <c r="G85" s="2" t="e">
        <f ca="1">IF(B85="","",_xludf.XLOOKUP(B85,'02_Features'!A:A,'02_Features'!E:E,"Missing Prompt"))</f>
        <v>#NAME?</v>
      </c>
      <c r="H85" s="2" t="str">
        <f>IF('03_Functionalities'!D85="","",'03_Functionalities'!D85)</f>
        <v>Snapshot policy and retention governance</v>
      </c>
      <c r="I85" s="2" t="str">
        <f>IF('03_Functionalities'!E85="","",'03_Functionalities'!E85)</f>
        <v>Major functionality for snapshot policy and retention governance.</v>
      </c>
      <c r="J85" s="2" t="str">
        <f>IF('03_Functionalities'!F85="","",'03_Functionalities'!F85)</f>
        <v>Includes major assessment behavior for snapshot policy and retention governance in the context of vsan data protection hooks and snapshots.</v>
      </c>
      <c r="K85" s="2" t="str">
        <f>IF('03_Functionalities'!G85="","",'03_Functionalities'!G85)</f>
        <v>Excludes low-level configuration toggles, cosmetic UI behavior, and implementation-specific inventory minutiae unless they materially affect parity or risk.</v>
      </c>
      <c r="L85" s="2" t="str">
        <f>IF('03_Functionalities'!I85="","",'03_Functionalities'!I85)</f>
        <v>Resilience</v>
      </c>
      <c r="M85" s="2" t="str">
        <f>IF('03_Functionalities'!J85="","",'03_Functionalities'!J85)</f>
        <v>Storage Protection</v>
      </c>
      <c r="N85" s="2" t="str">
        <f>IF('03_Functionalities'!K85="","",'03_Functionalities'!K85)</f>
        <v>High</v>
      </c>
      <c r="O85" s="2" t="str">
        <f>IF('03_Functionalities'!L85="","",'03_Functionalities'!L85)</f>
        <v>High</v>
      </c>
      <c r="P85" s="2" t="str">
        <f>IF('03_Functionalities'!M85="","",'03_Functionalities'!M85)</f>
        <v>Official vendor documentation, release notes, validated KB/article, product guide, or architecture reference with version applicability.</v>
      </c>
      <c r="Q85" s="2" t="str">
        <f>IF('03_Functionalities'!N85="","",'03_Functionalities'!N85)</f>
        <v>VCF 9.1 vSAN data protection hooks and snapshots Snapshot policy and retention governance comparator parity evidence</v>
      </c>
      <c r="R85" s="2" t="str">
        <f>IF('03_Functionalities'!O85="","",'03_Functionalities'!O85)</f>
        <v>Yes</v>
      </c>
      <c r="S85" s="2" t="e">
        <f ca="1">IF(C85="","",_xludf.XLOOKUP(C85,'01_Products'!A:A,'01_Products'!K:K,0))</f>
        <v>#NAME?</v>
      </c>
      <c r="T85" s="2" t="e">
        <f ca="1">IF(B85="","",_xludf.XLOOKUP(B85,'02_Features'!A:A,'02_Features'!L:L,0))</f>
        <v>#NAME?</v>
      </c>
      <c r="U85" s="2">
        <f>IF('03_Functionalities'!P85="","",'03_Functionalities'!P85)</f>
        <v>3</v>
      </c>
      <c r="V85" s="2" t="str">
        <f>IF('03_Functionalities'!Q85="","",'03_Functionalities'!Q85)</f>
        <v>Draft</v>
      </c>
      <c r="W85" s="2" t="str">
        <f>IF('03_Functionalities'!R85="","",'03_Functionalities'!R85)</f>
        <v>https://techdocs.broadcom.com/us/en/vmware-cis/vcf/vcf-9-0-and-later/9-1/release-notes/vmware-cloud-foundation-9-1-0-0-release-notes/what-s-new/whats-new-vcf-cli-api-sdk/vcf-changelog.html</v>
      </c>
      <c r="X85" s="2" t="str">
        <f>IF('03_Functionalities'!S85="","",'03_Functionalities'!S85)</f>
        <v>High</v>
      </c>
    </row>
    <row r="86" spans="1:24" ht="57">
      <c r="A86" s="2" t="str">
        <f>IF('03_Functionalities'!A86="","",'03_Functionalities'!A86)</f>
        <v>FN-VSAN-07-01</v>
      </c>
      <c r="B86" s="2" t="str">
        <f>IF('03_Functionalities'!B86="","",'03_Functionalities'!B86)</f>
        <v>FT-VSAN-07</v>
      </c>
      <c r="C86" s="2" t="str">
        <f>IF('03_Functionalities'!C86="","",'03_Functionalities'!C86)</f>
        <v>PC-VSAN</v>
      </c>
      <c r="D86" s="2" t="e">
        <f ca="1">IF(C86="","",_xludf.XLOOKUP(C86,'01_Products'!A:A,'01_Products'!B:B,"Missing Product"))</f>
        <v>#NAME?</v>
      </c>
      <c r="E86" s="2" t="e">
        <f ca="1">IF(C86="","",_xludf.XLOOKUP(C86,'01_Products'!A:A,'01_Products'!C:C,"Missing Type"))</f>
        <v>#NAME?</v>
      </c>
      <c r="F86" s="2" t="e">
        <f ca="1">IF(B86="","",_xludf.XLOOKUP(B86,'02_Features'!A:A,'02_Features'!C:C,"Missing Feature"))</f>
        <v>#NAME?</v>
      </c>
      <c r="G86" s="2" t="e">
        <f ca="1">IF(B86="","",_xludf.XLOOKUP(B86,'02_Features'!A:A,'02_Features'!E:E,"Missing Prompt"))</f>
        <v>#NAME?</v>
      </c>
      <c r="H86" s="2" t="str">
        <f>IF('03_Functionalities'!D86="","",'03_Functionalities'!D86)</f>
        <v>External datastore integration</v>
      </c>
      <c r="I86" s="2" t="str">
        <f>IF('03_Functionalities'!E86="","",'03_Functionalities'!E86)</f>
        <v>Major functionality for external datastore integration.</v>
      </c>
      <c r="J86" s="2" t="str">
        <f>IF('03_Functionalities'!F86="","",'03_Functionalities'!F86)</f>
        <v>Includes major assessment behavior for external datastore integration in the context of external storage and data services integration.</v>
      </c>
      <c r="K86" s="2" t="str">
        <f>IF('03_Functionalities'!G86="","",'03_Functionalities'!G86)</f>
        <v>Excludes low-level configuration toggles, cosmetic UI behavior, and implementation-specific inventory minutiae unless they materially affect parity or risk.</v>
      </c>
      <c r="L86" s="2" t="str">
        <f>IF('03_Functionalities'!I86="","",'03_Functionalities'!I86)</f>
        <v>Storage</v>
      </c>
      <c r="M86" s="2" t="str">
        <f>IF('03_Functionalities'!J86="","",'03_Functionalities'!J86)</f>
        <v>External Storage</v>
      </c>
      <c r="N86" s="2" t="str">
        <f>IF('03_Functionalities'!K86="","",'03_Functionalities'!K86)</f>
        <v>Medium</v>
      </c>
      <c r="O86" s="2" t="str">
        <f>IF('03_Functionalities'!L86="","",'03_Functionalities'!L86)</f>
        <v>Medium</v>
      </c>
      <c r="P86" s="2" t="str">
        <f>IF('03_Functionalities'!M86="","",'03_Functionalities'!M86)</f>
        <v>Official vendor documentation, release notes, validated KB/article, product guide, or architecture reference with version applicability.</v>
      </c>
      <c r="Q86" s="2" t="str">
        <f>IF('03_Functionalities'!N86="","",'03_Functionalities'!N86)</f>
        <v>VCF 9.1 External storage and data services integration External datastore integration comparator parity evidence</v>
      </c>
      <c r="R86" s="2" t="str">
        <f>IF('03_Functionalities'!O86="","",'03_Functionalities'!O86)</f>
        <v>Yes</v>
      </c>
      <c r="S86" s="2" t="e">
        <f ca="1">IF(C86="","",_xludf.XLOOKUP(C86,'01_Products'!A:A,'01_Products'!K:K,0))</f>
        <v>#NAME?</v>
      </c>
      <c r="T86" s="2" t="e">
        <f ca="1">IF(B86="","",_xludf.XLOOKUP(B86,'02_Features'!A:A,'02_Features'!L:L,0))</f>
        <v>#NAME?</v>
      </c>
      <c r="U86" s="2">
        <f>IF('03_Functionalities'!P86="","",'03_Functionalities'!P86)</f>
        <v>1</v>
      </c>
      <c r="V86" s="2" t="str">
        <f>IF('03_Functionalities'!Q86="","",'03_Functionalities'!Q86)</f>
        <v>Draft</v>
      </c>
      <c r="W86" s="2" t="str">
        <f>IF('03_Functionalities'!R86="","",'03_Functionalities'!R86)</f>
        <v>https://www.vmware.com/docs/vmware-cloud-foundation-9-1-feature-comparison-and-upgrade-paths</v>
      </c>
      <c r="X86" s="2" t="str">
        <f>IF('03_Functionalities'!S86="","",'03_Functionalities'!S86)</f>
        <v>High</v>
      </c>
    </row>
    <row r="87" spans="1:24" ht="57">
      <c r="A87" s="2" t="str">
        <f>IF('03_Functionalities'!A87="","",'03_Functionalities'!A87)</f>
        <v>FN-VSAN-07-02</v>
      </c>
      <c r="B87" s="2" t="str">
        <f>IF('03_Functionalities'!B87="","",'03_Functionalities'!B87)</f>
        <v>FT-VSAN-07</v>
      </c>
      <c r="C87" s="2" t="str">
        <f>IF('03_Functionalities'!C87="","",'03_Functionalities'!C87)</f>
        <v>PC-VSAN</v>
      </c>
      <c r="D87" s="2" t="e">
        <f ca="1">IF(C87="","",_xludf.XLOOKUP(C87,'01_Products'!A:A,'01_Products'!B:B,"Missing Product"))</f>
        <v>#NAME?</v>
      </c>
      <c r="E87" s="2" t="e">
        <f ca="1">IF(C87="","",_xludf.XLOOKUP(C87,'01_Products'!A:A,'01_Products'!C:C,"Missing Type"))</f>
        <v>#NAME?</v>
      </c>
      <c r="F87" s="2" t="e">
        <f ca="1">IF(B87="","",_xludf.XLOOKUP(B87,'02_Features'!A:A,'02_Features'!C:C,"Missing Feature"))</f>
        <v>#NAME?</v>
      </c>
      <c r="G87" s="2" t="e">
        <f ca="1">IF(B87="","",_xludf.XLOOKUP(B87,'02_Features'!A:A,'02_Features'!E:E,"Missing Prompt"))</f>
        <v>#NAME?</v>
      </c>
      <c r="H87" s="2" t="str">
        <f>IF('03_Functionalities'!D87="","",'03_Functionalities'!D87)</f>
        <v>Storage protocol compatibility</v>
      </c>
      <c r="I87" s="2" t="str">
        <f>IF('03_Functionalities'!E87="","",'03_Functionalities'!E87)</f>
        <v>Major functionality for storage protocol compatibility.</v>
      </c>
      <c r="J87" s="2" t="str">
        <f>IF('03_Functionalities'!F87="","",'03_Functionalities'!F87)</f>
        <v>Includes major assessment behavior for storage protocol compatibility in the context of external storage and data services integration.</v>
      </c>
      <c r="K87" s="2" t="str">
        <f>IF('03_Functionalities'!G87="","",'03_Functionalities'!G87)</f>
        <v>Excludes low-level configuration toggles, cosmetic UI behavior, and implementation-specific inventory minutiae unless they materially affect parity or risk.</v>
      </c>
      <c r="L87" s="2" t="str">
        <f>IF('03_Functionalities'!I87="","",'03_Functionalities'!I87)</f>
        <v>Storage</v>
      </c>
      <c r="M87" s="2" t="str">
        <f>IF('03_Functionalities'!J87="","",'03_Functionalities'!J87)</f>
        <v>External Storage</v>
      </c>
      <c r="N87" s="2" t="str">
        <f>IF('03_Functionalities'!K87="","",'03_Functionalities'!K87)</f>
        <v>Medium</v>
      </c>
      <c r="O87" s="2" t="str">
        <f>IF('03_Functionalities'!L87="","",'03_Functionalities'!L87)</f>
        <v>Medium</v>
      </c>
      <c r="P87" s="2" t="str">
        <f>IF('03_Functionalities'!M87="","",'03_Functionalities'!M87)</f>
        <v>Official vendor documentation, release notes, validated KB/article, product guide, or architecture reference with version applicability.</v>
      </c>
      <c r="Q87" s="2" t="str">
        <f>IF('03_Functionalities'!N87="","",'03_Functionalities'!N87)</f>
        <v>VCF 9.1 External storage and data services integration Storage protocol compatibility comparator parity evidence</v>
      </c>
      <c r="R87" s="2" t="str">
        <f>IF('03_Functionalities'!O87="","",'03_Functionalities'!O87)</f>
        <v>Yes</v>
      </c>
      <c r="S87" s="2" t="e">
        <f ca="1">IF(C87="","",_xludf.XLOOKUP(C87,'01_Products'!A:A,'01_Products'!K:K,0))</f>
        <v>#NAME?</v>
      </c>
      <c r="T87" s="2" t="e">
        <f ca="1">IF(B87="","",_xludf.XLOOKUP(B87,'02_Features'!A:A,'02_Features'!L:L,0))</f>
        <v>#NAME?</v>
      </c>
      <c r="U87" s="2">
        <f>IF('03_Functionalities'!P87="","",'03_Functionalities'!P87)</f>
        <v>2</v>
      </c>
      <c r="V87" s="2" t="str">
        <f>IF('03_Functionalities'!Q87="","",'03_Functionalities'!Q87)</f>
        <v>Draft</v>
      </c>
      <c r="W87" s="2" t="str">
        <f>IF('03_Functionalities'!R87="","",'03_Functionalities'!R87)</f>
        <v>https://www.vmware.com/docs/vmware-cloud-foundation-9-1-feature-comparison-and-upgrade-paths</v>
      </c>
      <c r="X87" s="2" t="str">
        <f>IF('03_Functionalities'!S87="","",'03_Functionalities'!S87)</f>
        <v>High</v>
      </c>
    </row>
    <row r="88" spans="1:24" ht="57">
      <c r="A88" s="2" t="str">
        <f>IF('03_Functionalities'!A88="","",'03_Functionalities'!A88)</f>
        <v>FN-VSAN-07-03</v>
      </c>
      <c r="B88" s="2" t="str">
        <f>IF('03_Functionalities'!B88="","",'03_Functionalities'!B88)</f>
        <v>FT-VSAN-07</v>
      </c>
      <c r="C88" s="2" t="str">
        <f>IF('03_Functionalities'!C88="","",'03_Functionalities'!C88)</f>
        <v>PC-VSAN</v>
      </c>
      <c r="D88" s="2" t="e">
        <f ca="1">IF(C88="","",_xludf.XLOOKUP(C88,'01_Products'!A:A,'01_Products'!B:B,"Missing Product"))</f>
        <v>#NAME?</v>
      </c>
      <c r="E88" s="2" t="e">
        <f ca="1">IF(C88="","",_xludf.XLOOKUP(C88,'01_Products'!A:A,'01_Products'!C:C,"Missing Type"))</f>
        <v>#NAME?</v>
      </c>
      <c r="F88" s="2" t="e">
        <f ca="1">IF(B88="","",_xludf.XLOOKUP(B88,'02_Features'!A:A,'02_Features'!C:C,"Missing Feature"))</f>
        <v>#NAME?</v>
      </c>
      <c r="G88" s="2" t="e">
        <f ca="1">IF(B88="","",_xludf.XLOOKUP(B88,'02_Features'!A:A,'02_Features'!E:E,"Missing Prompt"))</f>
        <v>#NAME?</v>
      </c>
      <c r="H88" s="2" t="str">
        <f>IF('03_Functionalities'!D88="","",'03_Functionalities'!D88)</f>
        <v>Data service adjacency and dependency mapping</v>
      </c>
      <c r="I88" s="2" t="str">
        <f>IF('03_Functionalities'!E88="","",'03_Functionalities'!E88)</f>
        <v>Major functionality for data service adjacency and dependency mapping.</v>
      </c>
      <c r="J88" s="2" t="str">
        <f>IF('03_Functionalities'!F88="","",'03_Functionalities'!F88)</f>
        <v>Includes major assessment behavior for data service adjacency and dependency mapping in the context of external storage and data services integration.</v>
      </c>
      <c r="K88" s="2" t="str">
        <f>IF('03_Functionalities'!G88="","",'03_Functionalities'!G88)</f>
        <v>Excludes low-level configuration toggles, cosmetic UI behavior, and implementation-specific inventory minutiae unless they materially affect parity or risk.</v>
      </c>
      <c r="L88" s="2" t="str">
        <f>IF('03_Functionalities'!I88="","",'03_Functionalities'!I88)</f>
        <v>Storage</v>
      </c>
      <c r="M88" s="2" t="str">
        <f>IF('03_Functionalities'!J88="","",'03_Functionalities'!J88)</f>
        <v>External Storage</v>
      </c>
      <c r="N88" s="2" t="str">
        <f>IF('03_Functionalities'!K88="","",'03_Functionalities'!K88)</f>
        <v>Medium</v>
      </c>
      <c r="O88" s="2" t="str">
        <f>IF('03_Functionalities'!L88="","",'03_Functionalities'!L88)</f>
        <v>Medium</v>
      </c>
      <c r="P88" s="2" t="str">
        <f>IF('03_Functionalities'!M88="","",'03_Functionalities'!M88)</f>
        <v>Official vendor documentation, release notes, validated KB/article, product guide, or architecture reference with version applicability.</v>
      </c>
      <c r="Q88" s="2" t="str">
        <f>IF('03_Functionalities'!N88="","",'03_Functionalities'!N88)</f>
        <v>VCF 9.1 External storage and data services integration Data service adjacency and dependency mapping comparator parity evidence</v>
      </c>
      <c r="R88" s="2" t="str">
        <f>IF('03_Functionalities'!O88="","",'03_Functionalities'!O88)</f>
        <v>Yes</v>
      </c>
      <c r="S88" s="2" t="e">
        <f ca="1">IF(C88="","",_xludf.XLOOKUP(C88,'01_Products'!A:A,'01_Products'!K:K,0))</f>
        <v>#NAME?</v>
      </c>
      <c r="T88" s="2" t="e">
        <f ca="1">IF(B88="","",_xludf.XLOOKUP(B88,'02_Features'!A:A,'02_Features'!L:L,0))</f>
        <v>#NAME?</v>
      </c>
      <c r="U88" s="2">
        <f>IF('03_Functionalities'!P88="","",'03_Functionalities'!P88)</f>
        <v>3</v>
      </c>
      <c r="V88" s="2" t="str">
        <f>IF('03_Functionalities'!Q88="","",'03_Functionalities'!Q88)</f>
        <v>Draft</v>
      </c>
      <c r="W88" s="2" t="str">
        <f>IF('03_Functionalities'!R88="","",'03_Functionalities'!R88)</f>
        <v>https://www.vmware.com/docs/vmware-cloud-foundation-9-1-feature-comparison-and-upgrade-paths</v>
      </c>
      <c r="X88" s="2" t="str">
        <f>IF('03_Functionalities'!S88="","",'03_Functionalities'!S88)</f>
        <v>High</v>
      </c>
    </row>
    <row r="89" spans="1:24" ht="71.25">
      <c r="A89" s="2" t="str">
        <f>IF('03_Functionalities'!A89="","",'03_Functionalities'!A89)</f>
        <v>FN-NSX-NET-01-01</v>
      </c>
      <c r="B89" s="2" t="str">
        <f>IF('03_Functionalities'!B89="","",'03_Functionalities'!B89)</f>
        <v>FT-NSX-NET-01</v>
      </c>
      <c r="C89" s="2" t="str">
        <f>IF('03_Functionalities'!C89="","",'03_Functionalities'!C89)</f>
        <v>PC-NSX-NET</v>
      </c>
      <c r="D89" s="2" t="e">
        <f ca="1">IF(C89="","",_xludf.XLOOKUP(C89,'01_Products'!A:A,'01_Products'!B:B,"Missing Product"))</f>
        <v>#NAME?</v>
      </c>
      <c r="E89" s="2" t="e">
        <f ca="1">IF(C89="","",_xludf.XLOOKUP(C89,'01_Products'!A:A,'01_Products'!C:C,"Missing Type"))</f>
        <v>#NAME?</v>
      </c>
      <c r="F89" s="2" t="e">
        <f ca="1">IF(B89="","",_xludf.XLOOKUP(B89,'02_Features'!A:A,'02_Features'!C:C,"Missing Feature"))</f>
        <v>#NAME?</v>
      </c>
      <c r="G89" s="2" t="e">
        <f ca="1">IF(B89="","",_xludf.XLOOKUP(B89,'02_Features'!A:A,'02_Features'!E:E,"Missing Prompt"))</f>
        <v>#NAME?</v>
      </c>
      <c r="H89" s="2" t="str">
        <f>IF('03_Functionalities'!D89="","",'03_Functionalities'!D89)</f>
        <v>NSX Manager and policy API model</v>
      </c>
      <c r="I89" s="2" t="str">
        <f>IF('03_Functionalities'!E89="","",'03_Functionalities'!E89)</f>
        <v>Major functionality for nsx manager and policy api model.</v>
      </c>
      <c r="J89" s="2" t="str">
        <f>IF('03_Functionalities'!F89="","",'03_Functionalities'!F89)</f>
        <v>Includes major assessment behavior for nsx manager and policy api model in the context of nsx manager and policy model.</v>
      </c>
      <c r="K89" s="2" t="str">
        <f>IF('03_Functionalities'!G89="","",'03_Functionalities'!G89)</f>
        <v>Excludes low-level configuration toggles, cosmetic UI behavior, and implementation-specific inventory minutiae unless they materially affect parity or risk.</v>
      </c>
      <c r="L89" s="2" t="str">
        <f>IF('03_Functionalities'!I89="","",'03_Functionalities'!I89)</f>
        <v>Network</v>
      </c>
      <c r="M89" s="2" t="str">
        <f>IF('03_Functionalities'!J89="","",'03_Functionalities'!J89)</f>
        <v>NSX Policy</v>
      </c>
      <c r="N89" s="2" t="str">
        <f>IF('03_Functionalities'!K89="","",'03_Functionalities'!K89)</f>
        <v>Critical</v>
      </c>
      <c r="O89" s="2" t="str">
        <f>IF('03_Functionalities'!L89="","",'03_Functionalities'!L89)</f>
        <v>High</v>
      </c>
      <c r="P89" s="2" t="str">
        <f>IF('03_Functionalities'!M89="","",'03_Functionalities'!M89)</f>
        <v>Official vendor documentation, release notes, validated KB/article, product guide, or architecture reference with version applicability.</v>
      </c>
      <c r="Q89" s="2" t="str">
        <f>IF('03_Functionalities'!N89="","",'03_Functionalities'!N89)</f>
        <v>VCF 9.1 NSX manager and policy model NSX Manager and policy API model comparator parity evidence</v>
      </c>
      <c r="R89" s="2" t="str">
        <f>IF('03_Functionalities'!O89="","",'03_Functionalities'!O89)</f>
        <v>Yes</v>
      </c>
      <c r="S89" s="2" t="e">
        <f ca="1">IF(C89="","",_xludf.XLOOKUP(C89,'01_Products'!A:A,'01_Products'!K:K,0))</f>
        <v>#NAME?</v>
      </c>
      <c r="T89" s="2" t="e">
        <f ca="1">IF(B89="","",_xludf.XLOOKUP(B89,'02_Features'!A:A,'02_Features'!L:L,0))</f>
        <v>#NAME?</v>
      </c>
      <c r="U89" s="2">
        <f>IF('03_Functionalities'!P89="","",'03_Functionalities'!P89)</f>
        <v>1</v>
      </c>
      <c r="V89" s="2" t="str">
        <f>IF('03_Functionalities'!Q89="","",'03_Functionalities'!Q89)</f>
        <v>Draft</v>
      </c>
      <c r="W89" s="2" t="str">
        <f>IF('03_Functionalities'!R89="","",'03_Functionalities'!R89)</f>
        <v>https://techdocs.broadcom.com/us/en/vmware-cis/vcf/vcf-9-0-and-later/9-1/release-notes/vmware-cloud-foundation-9-1-0-0-release-notes/what-s-new/whats-new-vcf-cli-api-sdk/vcf-changelog.html</v>
      </c>
      <c r="X89" s="2" t="str">
        <f>IF('03_Functionalities'!S89="","",'03_Functionalities'!S89)</f>
        <v>High</v>
      </c>
    </row>
    <row r="90" spans="1:24" ht="71.25">
      <c r="A90" s="2" t="str">
        <f>IF('03_Functionalities'!A90="","",'03_Functionalities'!A90)</f>
        <v>FN-NSX-NET-01-02</v>
      </c>
      <c r="B90" s="2" t="str">
        <f>IF('03_Functionalities'!B90="","",'03_Functionalities'!B90)</f>
        <v>FT-NSX-NET-01</v>
      </c>
      <c r="C90" s="2" t="str">
        <f>IF('03_Functionalities'!C90="","",'03_Functionalities'!C90)</f>
        <v>PC-NSX-NET</v>
      </c>
      <c r="D90" s="2" t="e">
        <f ca="1">IF(C90="","",_xludf.XLOOKUP(C90,'01_Products'!A:A,'01_Products'!B:B,"Missing Product"))</f>
        <v>#NAME?</v>
      </c>
      <c r="E90" s="2" t="e">
        <f ca="1">IF(C90="","",_xludf.XLOOKUP(C90,'01_Products'!A:A,'01_Products'!C:C,"Missing Type"))</f>
        <v>#NAME?</v>
      </c>
      <c r="F90" s="2" t="e">
        <f ca="1">IF(B90="","",_xludf.XLOOKUP(B90,'02_Features'!A:A,'02_Features'!C:C,"Missing Feature"))</f>
        <v>#NAME?</v>
      </c>
      <c r="G90" s="2" t="e">
        <f ca="1">IF(B90="","",_xludf.XLOOKUP(B90,'02_Features'!A:A,'02_Features'!E:E,"Missing Prompt"))</f>
        <v>#NAME?</v>
      </c>
      <c r="H90" s="2" t="str">
        <f>IF('03_Functionalities'!D90="","",'03_Functionalities'!D90)</f>
        <v>Declarative network/security policy objects</v>
      </c>
      <c r="I90" s="2" t="str">
        <f>IF('03_Functionalities'!E90="","",'03_Functionalities'!E90)</f>
        <v>Major functionality for declarative network/security policy objects.</v>
      </c>
      <c r="J90" s="2" t="str">
        <f>IF('03_Functionalities'!F90="","",'03_Functionalities'!F90)</f>
        <v>Includes major assessment behavior for declarative network/security policy objects in the context of nsx manager and policy model.</v>
      </c>
      <c r="K90" s="2" t="str">
        <f>IF('03_Functionalities'!G90="","",'03_Functionalities'!G90)</f>
        <v>Excludes low-level configuration toggles, cosmetic UI behavior, and implementation-specific inventory minutiae unless they materially affect parity or risk.</v>
      </c>
      <c r="L90" s="2" t="str">
        <f>IF('03_Functionalities'!I90="","",'03_Functionalities'!I90)</f>
        <v>Network</v>
      </c>
      <c r="M90" s="2" t="str">
        <f>IF('03_Functionalities'!J90="","",'03_Functionalities'!J90)</f>
        <v>NSX Policy</v>
      </c>
      <c r="N90" s="2" t="str">
        <f>IF('03_Functionalities'!K90="","",'03_Functionalities'!K90)</f>
        <v>Critical</v>
      </c>
      <c r="O90" s="2" t="str">
        <f>IF('03_Functionalities'!L90="","",'03_Functionalities'!L90)</f>
        <v>High</v>
      </c>
      <c r="P90" s="2" t="str">
        <f>IF('03_Functionalities'!M90="","",'03_Functionalities'!M90)</f>
        <v>Official vendor documentation, release notes, validated KB/article, product guide, or architecture reference with version applicability.</v>
      </c>
      <c r="Q90" s="2" t="str">
        <f>IF('03_Functionalities'!N90="","",'03_Functionalities'!N90)</f>
        <v>VCF 9.1 NSX manager and policy model Declarative network/security policy objects comparator parity evidence</v>
      </c>
      <c r="R90" s="2" t="str">
        <f>IF('03_Functionalities'!O90="","",'03_Functionalities'!O90)</f>
        <v>Yes</v>
      </c>
      <c r="S90" s="2" t="e">
        <f ca="1">IF(C90="","",_xludf.XLOOKUP(C90,'01_Products'!A:A,'01_Products'!K:K,0))</f>
        <v>#NAME?</v>
      </c>
      <c r="T90" s="2" t="e">
        <f ca="1">IF(B90="","",_xludf.XLOOKUP(B90,'02_Features'!A:A,'02_Features'!L:L,0))</f>
        <v>#NAME?</v>
      </c>
      <c r="U90" s="2">
        <f>IF('03_Functionalities'!P90="","",'03_Functionalities'!P90)</f>
        <v>2</v>
      </c>
      <c r="V90" s="2" t="str">
        <f>IF('03_Functionalities'!Q90="","",'03_Functionalities'!Q90)</f>
        <v>Draft</v>
      </c>
      <c r="W90" s="2" t="str">
        <f>IF('03_Functionalities'!R90="","",'03_Functionalities'!R90)</f>
        <v>https://techdocs.broadcom.com/us/en/vmware-cis/vcf/vcf-9-0-and-later/9-1/release-notes/vmware-cloud-foundation-9-1-0-0-release-notes/what-s-new/whats-new-vcf-cli-api-sdk/vcf-changelog.html</v>
      </c>
      <c r="X90" s="2" t="str">
        <f>IF('03_Functionalities'!S90="","",'03_Functionalities'!S90)</f>
        <v>High</v>
      </c>
    </row>
    <row r="91" spans="1:24" ht="71.25">
      <c r="A91" s="2" t="str">
        <f>IF('03_Functionalities'!A91="","",'03_Functionalities'!A91)</f>
        <v>FN-NSX-NET-01-03</v>
      </c>
      <c r="B91" s="2" t="str">
        <f>IF('03_Functionalities'!B91="","",'03_Functionalities'!B91)</f>
        <v>FT-NSX-NET-01</v>
      </c>
      <c r="C91" s="2" t="str">
        <f>IF('03_Functionalities'!C91="","",'03_Functionalities'!C91)</f>
        <v>PC-NSX-NET</v>
      </c>
      <c r="D91" s="2" t="e">
        <f ca="1">IF(C91="","",_xludf.XLOOKUP(C91,'01_Products'!A:A,'01_Products'!B:B,"Missing Product"))</f>
        <v>#NAME?</v>
      </c>
      <c r="E91" s="2" t="e">
        <f ca="1">IF(C91="","",_xludf.XLOOKUP(C91,'01_Products'!A:A,'01_Products'!C:C,"Missing Type"))</f>
        <v>#NAME?</v>
      </c>
      <c r="F91" s="2" t="e">
        <f ca="1">IF(B91="","",_xludf.XLOOKUP(B91,'02_Features'!A:A,'02_Features'!C:C,"Missing Feature"))</f>
        <v>#NAME?</v>
      </c>
      <c r="G91" s="2" t="e">
        <f ca="1">IF(B91="","",_xludf.XLOOKUP(B91,'02_Features'!A:A,'02_Features'!E:E,"Missing Prompt"))</f>
        <v>#NAME?</v>
      </c>
      <c r="H91" s="2" t="str">
        <f>IF('03_Functionalities'!D91="","",'03_Functionalities'!D91)</f>
        <v>Policy versioning and operational evidence</v>
      </c>
      <c r="I91" s="2" t="str">
        <f>IF('03_Functionalities'!E91="","",'03_Functionalities'!E91)</f>
        <v>Major functionality for policy versioning and operational evidence.</v>
      </c>
      <c r="J91" s="2" t="str">
        <f>IF('03_Functionalities'!F91="","",'03_Functionalities'!F91)</f>
        <v>Includes major assessment behavior for policy versioning and operational evidence in the context of nsx manager and policy model.</v>
      </c>
      <c r="K91" s="2" t="str">
        <f>IF('03_Functionalities'!G91="","",'03_Functionalities'!G91)</f>
        <v>Excludes low-level configuration toggles, cosmetic UI behavior, and implementation-specific inventory minutiae unless they materially affect parity or risk.</v>
      </c>
      <c r="L91" s="2" t="str">
        <f>IF('03_Functionalities'!I91="","",'03_Functionalities'!I91)</f>
        <v>Network</v>
      </c>
      <c r="M91" s="2" t="str">
        <f>IF('03_Functionalities'!J91="","",'03_Functionalities'!J91)</f>
        <v>NSX Policy</v>
      </c>
      <c r="N91" s="2" t="str">
        <f>IF('03_Functionalities'!K91="","",'03_Functionalities'!K91)</f>
        <v>Critical</v>
      </c>
      <c r="O91" s="2" t="str">
        <f>IF('03_Functionalities'!L91="","",'03_Functionalities'!L91)</f>
        <v>High</v>
      </c>
      <c r="P91" s="2" t="str">
        <f>IF('03_Functionalities'!M91="","",'03_Functionalities'!M91)</f>
        <v>Official vendor documentation, release notes, validated KB/article, product guide, or architecture reference with version applicability.</v>
      </c>
      <c r="Q91" s="2" t="str">
        <f>IF('03_Functionalities'!N91="","",'03_Functionalities'!N91)</f>
        <v>VCF 9.1 NSX manager and policy model Policy versioning and operational evidence comparator parity evidence</v>
      </c>
      <c r="R91" s="2" t="str">
        <f>IF('03_Functionalities'!O91="","",'03_Functionalities'!O91)</f>
        <v>Yes</v>
      </c>
      <c r="S91" s="2" t="e">
        <f ca="1">IF(C91="","",_xludf.XLOOKUP(C91,'01_Products'!A:A,'01_Products'!K:K,0))</f>
        <v>#NAME?</v>
      </c>
      <c r="T91" s="2" t="e">
        <f ca="1">IF(B91="","",_xludf.XLOOKUP(B91,'02_Features'!A:A,'02_Features'!L:L,0))</f>
        <v>#NAME?</v>
      </c>
      <c r="U91" s="2">
        <f>IF('03_Functionalities'!P91="","",'03_Functionalities'!P91)</f>
        <v>3</v>
      </c>
      <c r="V91" s="2" t="str">
        <f>IF('03_Functionalities'!Q91="","",'03_Functionalities'!Q91)</f>
        <v>Draft</v>
      </c>
      <c r="W91" s="2" t="str">
        <f>IF('03_Functionalities'!R91="","",'03_Functionalities'!R91)</f>
        <v>https://techdocs.broadcom.com/us/en/vmware-cis/vcf/vcf-9-0-and-later/9-1/release-notes/vmware-cloud-foundation-9-1-0-0-release-notes/what-s-new/whats-new-vcf-cli-api-sdk/vcf-changelog.html</v>
      </c>
      <c r="X91" s="2" t="str">
        <f>IF('03_Functionalities'!S91="","",'03_Functionalities'!S91)</f>
        <v>High</v>
      </c>
    </row>
    <row r="92" spans="1:24" ht="71.25">
      <c r="A92" s="2" t="str">
        <f>IF('03_Functionalities'!A92="","",'03_Functionalities'!A92)</f>
        <v>FN-NSX-NET-02-01</v>
      </c>
      <c r="B92" s="2" t="str">
        <f>IF('03_Functionalities'!B92="","",'03_Functionalities'!B92)</f>
        <v>FT-NSX-NET-02</v>
      </c>
      <c r="C92" s="2" t="str">
        <f>IF('03_Functionalities'!C92="","",'03_Functionalities'!C92)</f>
        <v>PC-NSX-NET</v>
      </c>
      <c r="D92" s="2" t="e">
        <f ca="1">IF(C92="","",_xludf.XLOOKUP(C92,'01_Products'!A:A,'01_Products'!B:B,"Missing Product"))</f>
        <v>#NAME?</v>
      </c>
      <c r="E92" s="2" t="e">
        <f ca="1">IF(C92="","",_xludf.XLOOKUP(C92,'01_Products'!A:A,'01_Products'!C:C,"Missing Type"))</f>
        <v>#NAME?</v>
      </c>
      <c r="F92" s="2" t="e">
        <f ca="1">IF(B92="","",_xludf.XLOOKUP(B92,'02_Features'!A:A,'02_Features'!C:C,"Missing Feature"))</f>
        <v>#NAME?</v>
      </c>
      <c r="G92" s="2" t="e">
        <f ca="1">IF(B92="","",_xludf.XLOOKUP(B92,'02_Features'!A:A,'02_Features'!E:E,"Missing Prompt"))</f>
        <v>#NAME?</v>
      </c>
      <c r="H92" s="2" t="str">
        <f>IF('03_Functionalities'!D92="","",'03_Functionalities'!D92)</f>
        <v>Overlay segment creation</v>
      </c>
      <c r="I92" s="2" t="str">
        <f>IF('03_Functionalities'!E92="","",'03_Functionalities'!E92)</f>
        <v>Major functionality for overlay segment creation.</v>
      </c>
      <c r="J92" s="2" t="str">
        <f>IF('03_Functionalities'!F92="","",'03_Functionalities'!F92)</f>
        <v>Includes major assessment behavior for overlay segment creation in the context of overlay networking and transport zones.</v>
      </c>
      <c r="K92" s="2" t="str">
        <f>IF('03_Functionalities'!G92="","",'03_Functionalities'!G92)</f>
        <v>Excludes low-level configuration toggles, cosmetic UI behavior, and implementation-specific inventory minutiae unless they materially affect parity or risk.</v>
      </c>
      <c r="L92" s="2" t="str">
        <f>IF('03_Functionalities'!I92="","",'03_Functionalities'!I92)</f>
        <v>Network</v>
      </c>
      <c r="M92" s="2" t="str">
        <f>IF('03_Functionalities'!J92="","",'03_Functionalities'!J92)</f>
        <v>Overlay Networking</v>
      </c>
      <c r="N92" s="2" t="str">
        <f>IF('03_Functionalities'!K92="","",'03_Functionalities'!K92)</f>
        <v>Critical</v>
      </c>
      <c r="O92" s="2" t="str">
        <f>IF('03_Functionalities'!L92="","",'03_Functionalities'!L92)</f>
        <v>High</v>
      </c>
      <c r="P92" s="2" t="str">
        <f>IF('03_Functionalities'!M92="","",'03_Functionalities'!M92)</f>
        <v>Official vendor documentation, release notes, validated KB/article, product guide, or architecture reference with version applicability.</v>
      </c>
      <c r="Q92" s="2" t="str">
        <f>IF('03_Functionalities'!N92="","",'03_Functionalities'!N92)</f>
        <v>VCF 9.1 Overlay networking and transport zones Overlay segment creation comparator parity evidence</v>
      </c>
      <c r="R92" s="2" t="str">
        <f>IF('03_Functionalities'!O92="","",'03_Functionalities'!O92)</f>
        <v>Yes</v>
      </c>
      <c r="S92" s="2" t="e">
        <f ca="1">IF(C92="","",_xludf.XLOOKUP(C92,'01_Products'!A:A,'01_Products'!K:K,0))</f>
        <v>#NAME?</v>
      </c>
      <c r="T92" s="2" t="e">
        <f ca="1">IF(B92="","",_xludf.XLOOKUP(B92,'02_Features'!A:A,'02_Features'!L:L,0))</f>
        <v>#NAME?</v>
      </c>
      <c r="U92" s="2">
        <f>IF('03_Functionalities'!P92="","",'03_Functionalities'!P92)</f>
        <v>1</v>
      </c>
      <c r="V92" s="2" t="str">
        <f>IF('03_Functionalities'!Q92="","",'03_Functionalities'!Q92)</f>
        <v>Draft</v>
      </c>
      <c r="W92" s="2" t="str">
        <f>IF('03_Functionalities'!R92="","",'03_Functionalities'!R92)</f>
        <v>https://techdocs.broadcom.com/us/en/vmware-cis/vcf/vcf-9-0-and-later/9-1/release-notes/vmware-cloud-foundation-9-1-0-0-release-notes/vmware-cloud-foundation-bill-of-materials.html</v>
      </c>
      <c r="X92" s="2" t="str">
        <f>IF('03_Functionalities'!S92="","",'03_Functionalities'!S92)</f>
        <v>High</v>
      </c>
    </row>
    <row r="93" spans="1:24" ht="71.25">
      <c r="A93" s="2" t="str">
        <f>IF('03_Functionalities'!A93="","",'03_Functionalities'!A93)</f>
        <v>FN-NSX-NET-02-02</v>
      </c>
      <c r="B93" s="2" t="str">
        <f>IF('03_Functionalities'!B93="","",'03_Functionalities'!B93)</f>
        <v>FT-NSX-NET-02</v>
      </c>
      <c r="C93" s="2" t="str">
        <f>IF('03_Functionalities'!C93="","",'03_Functionalities'!C93)</f>
        <v>PC-NSX-NET</v>
      </c>
      <c r="D93" s="2" t="e">
        <f ca="1">IF(C93="","",_xludf.XLOOKUP(C93,'01_Products'!A:A,'01_Products'!B:B,"Missing Product"))</f>
        <v>#NAME?</v>
      </c>
      <c r="E93" s="2" t="e">
        <f ca="1">IF(C93="","",_xludf.XLOOKUP(C93,'01_Products'!A:A,'01_Products'!C:C,"Missing Type"))</f>
        <v>#NAME?</v>
      </c>
      <c r="F93" s="2" t="e">
        <f ca="1">IF(B93="","",_xludf.XLOOKUP(B93,'02_Features'!A:A,'02_Features'!C:C,"Missing Feature"))</f>
        <v>#NAME?</v>
      </c>
      <c r="G93" s="2" t="e">
        <f ca="1">IF(B93="","",_xludf.XLOOKUP(B93,'02_Features'!A:A,'02_Features'!E:E,"Missing Prompt"))</f>
        <v>#NAME?</v>
      </c>
      <c r="H93" s="2" t="str">
        <f>IF('03_Functionalities'!D93="","",'03_Functionalities'!D93)</f>
        <v>Transport zone and host transport config</v>
      </c>
      <c r="I93" s="2" t="str">
        <f>IF('03_Functionalities'!E93="","",'03_Functionalities'!E93)</f>
        <v>Major functionality for transport zone and host transport config.</v>
      </c>
      <c r="J93" s="2" t="str">
        <f>IF('03_Functionalities'!F93="","",'03_Functionalities'!F93)</f>
        <v>Includes major assessment behavior for transport zone and host transport config in the context of overlay networking and transport zones.</v>
      </c>
      <c r="K93" s="2" t="str">
        <f>IF('03_Functionalities'!G93="","",'03_Functionalities'!G93)</f>
        <v>Excludes low-level configuration toggles, cosmetic UI behavior, and implementation-specific inventory minutiae unless they materially affect parity or risk.</v>
      </c>
      <c r="L93" s="2" t="str">
        <f>IF('03_Functionalities'!I93="","",'03_Functionalities'!I93)</f>
        <v>Network</v>
      </c>
      <c r="M93" s="2" t="str">
        <f>IF('03_Functionalities'!J93="","",'03_Functionalities'!J93)</f>
        <v>Overlay Networking</v>
      </c>
      <c r="N93" s="2" t="str">
        <f>IF('03_Functionalities'!K93="","",'03_Functionalities'!K93)</f>
        <v>Critical</v>
      </c>
      <c r="O93" s="2" t="str">
        <f>IF('03_Functionalities'!L93="","",'03_Functionalities'!L93)</f>
        <v>High</v>
      </c>
      <c r="P93" s="2" t="str">
        <f>IF('03_Functionalities'!M93="","",'03_Functionalities'!M93)</f>
        <v>Official vendor documentation, release notes, validated KB/article, product guide, or architecture reference with version applicability.</v>
      </c>
      <c r="Q93" s="2" t="str">
        <f>IF('03_Functionalities'!N93="","",'03_Functionalities'!N93)</f>
        <v>VCF 9.1 Overlay networking and transport zones Transport zone and host transport config comparator parity evidence</v>
      </c>
      <c r="R93" s="2" t="str">
        <f>IF('03_Functionalities'!O93="","",'03_Functionalities'!O93)</f>
        <v>Yes</v>
      </c>
      <c r="S93" s="2" t="e">
        <f ca="1">IF(C93="","",_xludf.XLOOKUP(C93,'01_Products'!A:A,'01_Products'!K:K,0))</f>
        <v>#NAME?</v>
      </c>
      <c r="T93" s="2" t="e">
        <f ca="1">IF(B93="","",_xludf.XLOOKUP(B93,'02_Features'!A:A,'02_Features'!L:L,0))</f>
        <v>#NAME?</v>
      </c>
      <c r="U93" s="2">
        <f>IF('03_Functionalities'!P93="","",'03_Functionalities'!P93)</f>
        <v>2</v>
      </c>
      <c r="V93" s="2" t="str">
        <f>IF('03_Functionalities'!Q93="","",'03_Functionalities'!Q93)</f>
        <v>Draft</v>
      </c>
      <c r="W93" s="2" t="str">
        <f>IF('03_Functionalities'!R93="","",'03_Functionalities'!R93)</f>
        <v>https://techdocs.broadcom.com/us/en/vmware-cis/vcf/vcf-9-0-and-later/9-1/release-notes/vmware-cloud-foundation-9-1-0-0-release-notes/vmware-cloud-foundation-bill-of-materials.html</v>
      </c>
      <c r="X93" s="2" t="str">
        <f>IF('03_Functionalities'!S93="","",'03_Functionalities'!S93)</f>
        <v>High</v>
      </c>
    </row>
    <row r="94" spans="1:24" ht="71.25">
      <c r="A94" s="2" t="str">
        <f>IF('03_Functionalities'!A94="","",'03_Functionalities'!A94)</f>
        <v>FN-NSX-NET-02-03</v>
      </c>
      <c r="B94" s="2" t="str">
        <f>IF('03_Functionalities'!B94="","",'03_Functionalities'!B94)</f>
        <v>FT-NSX-NET-02</v>
      </c>
      <c r="C94" s="2" t="str">
        <f>IF('03_Functionalities'!C94="","",'03_Functionalities'!C94)</f>
        <v>PC-NSX-NET</v>
      </c>
      <c r="D94" s="2" t="e">
        <f ca="1">IF(C94="","",_xludf.XLOOKUP(C94,'01_Products'!A:A,'01_Products'!B:B,"Missing Product"))</f>
        <v>#NAME?</v>
      </c>
      <c r="E94" s="2" t="e">
        <f ca="1">IF(C94="","",_xludf.XLOOKUP(C94,'01_Products'!A:A,'01_Products'!C:C,"Missing Type"))</f>
        <v>#NAME?</v>
      </c>
      <c r="F94" s="2" t="e">
        <f ca="1">IF(B94="","",_xludf.XLOOKUP(B94,'02_Features'!A:A,'02_Features'!C:C,"Missing Feature"))</f>
        <v>#NAME?</v>
      </c>
      <c r="G94" s="2" t="e">
        <f ca="1">IF(B94="","",_xludf.XLOOKUP(B94,'02_Features'!A:A,'02_Features'!E:E,"Missing Prompt"))</f>
        <v>#NAME?</v>
      </c>
      <c r="H94" s="2" t="str">
        <f>IF('03_Functionalities'!D94="","",'03_Functionalities'!D94)</f>
        <v>Tunnel endpoint and encapsulation behavior</v>
      </c>
      <c r="I94" s="2" t="str">
        <f>IF('03_Functionalities'!E94="","",'03_Functionalities'!E94)</f>
        <v>Major functionality for tunnel endpoint and encapsulation behavior.</v>
      </c>
      <c r="J94" s="2" t="str">
        <f>IF('03_Functionalities'!F94="","",'03_Functionalities'!F94)</f>
        <v>Includes major assessment behavior for tunnel endpoint and encapsulation behavior in the context of overlay networking and transport zones.</v>
      </c>
      <c r="K94" s="2" t="str">
        <f>IF('03_Functionalities'!G94="","",'03_Functionalities'!G94)</f>
        <v>Excludes low-level configuration toggles, cosmetic UI behavior, and implementation-specific inventory minutiae unless they materially affect parity or risk.</v>
      </c>
      <c r="L94" s="2" t="str">
        <f>IF('03_Functionalities'!I94="","",'03_Functionalities'!I94)</f>
        <v>Network</v>
      </c>
      <c r="M94" s="2" t="str">
        <f>IF('03_Functionalities'!J94="","",'03_Functionalities'!J94)</f>
        <v>Overlay Networking</v>
      </c>
      <c r="N94" s="2" t="str">
        <f>IF('03_Functionalities'!K94="","",'03_Functionalities'!K94)</f>
        <v>Critical</v>
      </c>
      <c r="O94" s="2" t="str">
        <f>IF('03_Functionalities'!L94="","",'03_Functionalities'!L94)</f>
        <v>High</v>
      </c>
      <c r="P94" s="2" t="str">
        <f>IF('03_Functionalities'!M94="","",'03_Functionalities'!M94)</f>
        <v>Official vendor documentation, release notes, validated KB/article, product guide, or architecture reference with version applicability.</v>
      </c>
      <c r="Q94" s="2" t="str">
        <f>IF('03_Functionalities'!N94="","",'03_Functionalities'!N94)</f>
        <v>VCF 9.1 Overlay networking and transport zones Tunnel endpoint and encapsulation behavior comparator parity evidence</v>
      </c>
      <c r="R94" s="2" t="str">
        <f>IF('03_Functionalities'!O94="","",'03_Functionalities'!O94)</f>
        <v>Yes</v>
      </c>
      <c r="S94" s="2" t="e">
        <f ca="1">IF(C94="","",_xludf.XLOOKUP(C94,'01_Products'!A:A,'01_Products'!K:K,0))</f>
        <v>#NAME?</v>
      </c>
      <c r="T94" s="2" t="e">
        <f ca="1">IF(B94="","",_xludf.XLOOKUP(B94,'02_Features'!A:A,'02_Features'!L:L,0))</f>
        <v>#NAME?</v>
      </c>
      <c r="U94" s="2">
        <f>IF('03_Functionalities'!P94="","",'03_Functionalities'!P94)</f>
        <v>3</v>
      </c>
      <c r="V94" s="2" t="str">
        <f>IF('03_Functionalities'!Q94="","",'03_Functionalities'!Q94)</f>
        <v>Draft</v>
      </c>
      <c r="W94" s="2" t="str">
        <f>IF('03_Functionalities'!R94="","",'03_Functionalities'!R94)</f>
        <v>https://techdocs.broadcom.com/us/en/vmware-cis/vcf/vcf-9-0-and-later/9-1/release-notes/vmware-cloud-foundation-9-1-0-0-release-notes/vmware-cloud-foundation-bill-of-materials.html</v>
      </c>
      <c r="X94" s="2" t="str">
        <f>IF('03_Functionalities'!S94="","",'03_Functionalities'!S94)</f>
        <v>High</v>
      </c>
    </row>
    <row r="95" spans="1:24" ht="71.25">
      <c r="A95" s="2" t="str">
        <f>IF('03_Functionalities'!A95="","",'03_Functionalities'!A95)</f>
        <v>FN-NSX-NET-03-01</v>
      </c>
      <c r="B95" s="2" t="str">
        <f>IF('03_Functionalities'!B95="","",'03_Functionalities'!B95)</f>
        <v>FT-NSX-NET-03</v>
      </c>
      <c r="C95" s="2" t="str">
        <f>IF('03_Functionalities'!C95="","",'03_Functionalities'!C95)</f>
        <v>PC-NSX-NET</v>
      </c>
      <c r="D95" s="2" t="e">
        <f ca="1">IF(C95="","",_xludf.XLOOKUP(C95,'01_Products'!A:A,'01_Products'!B:B,"Missing Product"))</f>
        <v>#NAME?</v>
      </c>
      <c r="E95" s="2" t="e">
        <f ca="1">IF(C95="","",_xludf.XLOOKUP(C95,'01_Products'!A:A,'01_Products'!C:C,"Missing Type"))</f>
        <v>#NAME?</v>
      </c>
      <c r="F95" s="2" t="e">
        <f ca="1">IF(B95="","",_xludf.XLOOKUP(B95,'02_Features'!A:A,'02_Features'!C:C,"Missing Feature"))</f>
        <v>#NAME?</v>
      </c>
      <c r="G95" s="2" t="e">
        <f ca="1">IF(B95="","",_xludf.XLOOKUP(B95,'02_Features'!A:A,'02_Features'!E:E,"Missing Prompt"))</f>
        <v>#NAME?</v>
      </c>
      <c r="H95" s="2" t="str">
        <f>IF('03_Functionalities'!D95="","",'03_Functionalities'!D95)</f>
        <v>Tier-0 north-south routing</v>
      </c>
      <c r="I95" s="2" t="str">
        <f>IF('03_Functionalities'!E95="","",'03_Functionalities'!E95)</f>
        <v>Major functionality for tier-0 north-south routing.</v>
      </c>
      <c r="J95" s="2" t="str">
        <f>IF('03_Functionalities'!F95="","",'03_Functionalities'!F95)</f>
        <v>Includes major assessment behavior for tier-0 north-south routing in the context of tier-0/tier-1 routing and gateways.</v>
      </c>
      <c r="K95" s="2" t="str">
        <f>IF('03_Functionalities'!G95="","",'03_Functionalities'!G95)</f>
        <v>Excludes low-level configuration toggles, cosmetic UI behavior, and implementation-specific inventory minutiae unless they materially affect parity or risk.</v>
      </c>
      <c r="L95" s="2" t="str">
        <f>IF('03_Functionalities'!I95="","",'03_Functionalities'!I95)</f>
        <v>Network</v>
      </c>
      <c r="M95" s="2" t="str">
        <f>IF('03_Functionalities'!J95="","",'03_Functionalities'!J95)</f>
        <v>Gateway Routing</v>
      </c>
      <c r="N95" s="2" t="str">
        <f>IF('03_Functionalities'!K95="","",'03_Functionalities'!K95)</f>
        <v>Critical</v>
      </c>
      <c r="O95" s="2" t="str">
        <f>IF('03_Functionalities'!L95="","",'03_Functionalities'!L95)</f>
        <v>High</v>
      </c>
      <c r="P95" s="2" t="str">
        <f>IF('03_Functionalities'!M95="","",'03_Functionalities'!M95)</f>
        <v>Official vendor documentation, release notes, validated KB/article, product guide, or architecture reference with version applicability.</v>
      </c>
      <c r="Q95" s="2" t="str">
        <f>IF('03_Functionalities'!N95="","",'03_Functionalities'!N95)</f>
        <v>VCF 9.1 Tier-0/Tier-1 routing and gateways Tier-0 north-south routing comparator parity evidence</v>
      </c>
      <c r="R95" s="2" t="str">
        <f>IF('03_Functionalities'!O95="","",'03_Functionalities'!O95)</f>
        <v>Yes</v>
      </c>
      <c r="S95" s="2" t="e">
        <f ca="1">IF(C95="","",_xludf.XLOOKUP(C95,'01_Products'!A:A,'01_Products'!K:K,0))</f>
        <v>#NAME?</v>
      </c>
      <c r="T95" s="2" t="e">
        <f ca="1">IF(B95="","",_xludf.XLOOKUP(B95,'02_Features'!A:A,'02_Features'!L:L,0))</f>
        <v>#NAME?</v>
      </c>
      <c r="U95" s="2">
        <f>IF('03_Functionalities'!P95="","",'03_Functionalities'!P95)</f>
        <v>1</v>
      </c>
      <c r="V95" s="2" t="str">
        <f>IF('03_Functionalities'!Q95="","",'03_Functionalities'!Q95)</f>
        <v>Draft</v>
      </c>
      <c r="W95" s="2" t="str">
        <f>IF('03_Functionalities'!R95="","",'03_Functionalities'!R95)</f>
        <v>https://techdocs.broadcom.com/us/en/vmware-cis/vcf/vcf-9-0-and-later/9-1/release-notes/vmware-cloud-foundation-9-1-0-0-release-notes/vmware-cloud-foundation-bill-of-materials.html</v>
      </c>
      <c r="X95" s="2" t="str">
        <f>IF('03_Functionalities'!S95="","",'03_Functionalities'!S95)</f>
        <v>High</v>
      </c>
    </row>
    <row r="96" spans="1:24" ht="71.25">
      <c r="A96" s="2" t="str">
        <f>IF('03_Functionalities'!A96="","",'03_Functionalities'!A96)</f>
        <v>FN-NSX-NET-03-02</v>
      </c>
      <c r="B96" s="2" t="str">
        <f>IF('03_Functionalities'!B96="","",'03_Functionalities'!B96)</f>
        <v>FT-NSX-NET-03</v>
      </c>
      <c r="C96" s="2" t="str">
        <f>IF('03_Functionalities'!C96="","",'03_Functionalities'!C96)</f>
        <v>PC-NSX-NET</v>
      </c>
      <c r="D96" s="2" t="e">
        <f ca="1">IF(C96="","",_xludf.XLOOKUP(C96,'01_Products'!A:A,'01_Products'!B:B,"Missing Product"))</f>
        <v>#NAME?</v>
      </c>
      <c r="E96" s="2" t="e">
        <f ca="1">IF(C96="","",_xludf.XLOOKUP(C96,'01_Products'!A:A,'01_Products'!C:C,"Missing Type"))</f>
        <v>#NAME?</v>
      </c>
      <c r="F96" s="2" t="e">
        <f ca="1">IF(B96="","",_xludf.XLOOKUP(B96,'02_Features'!A:A,'02_Features'!C:C,"Missing Feature"))</f>
        <v>#NAME?</v>
      </c>
      <c r="G96" s="2" t="e">
        <f ca="1">IF(B96="","",_xludf.XLOOKUP(B96,'02_Features'!A:A,'02_Features'!E:E,"Missing Prompt"))</f>
        <v>#NAME?</v>
      </c>
      <c r="H96" s="2" t="str">
        <f>IF('03_Functionalities'!D96="","",'03_Functionalities'!D96)</f>
        <v>Tier-1 service routing</v>
      </c>
      <c r="I96" s="2" t="str">
        <f>IF('03_Functionalities'!E96="","",'03_Functionalities'!E96)</f>
        <v>Major functionality for tier-1 service routing.</v>
      </c>
      <c r="J96" s="2" t="str">
        <f>IF('03_Functionalities'!F96="","",'03_Functionalities'!F96)</f>
        <v>Includes major assessment behavior for tier-1 service routing in the context of tier-0/tier-1 routing and gateways.</v>
      </c>
      <c r="K96" s="2" t="str">
        <f>IF('03_Functionalities'!G96="","",'03_Functionalities'!G96)</f>
        <v>Excludes low-level configuration toggles, cosmetic UI behavior, and implementation-specific inventory minutiae unless they materially affect parity or risk.</v>
      </c>
      <c r="L96" s="2" t="str">
        <f>IF('03_Functionalities'!I96="","",'03_Functionalities'!I96)</f>
        <v>Network</v>
      </c>
      <c r="M96" s="2" t="str">
        <f>IF('03_Functionalities'!J96="","",'03_Functionalities'!J96)</f>
        <v>Gateway Routing</v>
      </c>
      <c r="N96" s="2" t="str">
        <f>IF('03_Functionalities'!K96="","",'03_Functionalities'!K96)</f>
        <v>Critical</v>
      </c>
      <c r="O96" s="2" t="str">
        <f>IF('03_Functionalities'!L96="","",'03_Functionalities'!L96)</f>
        <v>High</v>
      </c>
      <c r="P96" s="2" t="str">
        <f>IF('03_Functionalities'!M96="","",'03_Functionalities'!M96)</f>
        <v>Official vendor documentation, release notes, validated KB/article, product guide, or architecture reference with version applicability.</v>
      </c>
      <c r="Q96" s="2" t="str">
        <f>IF('03_Functionalities'!N96="","",'03_Functionalities'!N96)</f>
        <v>VCF 9.1 Tier-0/Tier-1 routing and gateways Tier-1 service routing comparator parity evidence</v>
      </c>
      <c r="R96" s="2" t="str">
        <f>IF('03_Functionalities'!O96="","",'03_Functionalities'!O96)</f>
        <v>Yes</v>
      </c>
      <c r="S96" s="2" t="e">
        <f ca="1">IF(C96="","",_xludf.XLOOKUP(C96,'01_Products'!A:A,'01_Products'!K:K,0))</f>
        <v>#NAME?</v>
      </c>
      <c r="T96" s="2" t="e">
        <f ca="1">IF(B96="","",_xludf.XLOOKUP(B96,'02_Features'!A:A,'02_Features'!L:L,0))</f>
        <v>#NAME?</v>
      </c>
      <c r="U96" s="2">
        <f>IF('03_Functionalities'!P96="","",'03_Functionalities'!P96)</f>
        <v>2</v>
      </c>
      <c r="V96" s="2" t="str">
        <f>IF('03_Functionalities'!Q96="","",'03_Functionalities'!Q96)</f>
        <v>Draft</v>
      </c>
      <c r="W96" s="2" t="str">
        <f>IF('03_Functionalities'!R96="","",'03_Functionalities'!R96)</f>
        <v>https://techdocs.broadcom.com/us/en/vmware-cis/vcf/vcf-9-0-and-later/9-1/release-notes/vmware-cloud-foundation-9-1-0-0-release-notes/vmware-cloud-foundation-bill-of-materials.html</v>
      </c>
      <c r="X96" s="2" t="str">
        <f>IF('03_Functionalities'!S96="","",'03_Functionalities'!S96)</f>
        <v>High</v>
      </c>
    </row>
    <row r="97" spans="1:24" ht="71.25">
      <c r="A97" s="2" t="str">
        <f>IF('03_Functionalities'!A97="","",'03_Functionalities'!A97)</f>
        <v>FN-NSX-NET-03-03</v>
      </c>
      <c r="B97" s="2" t="str">
        <f>IF('03_Functionalities'!B97="","",'03_Functionalities'!B97)</f>
        <v>FT-NSX-NET-03</v>
      </c>
      <c r="C97" s="2" t="str">
        <f>IF('03_Functionalities'!C97="","",'03_Functionalities'!C97)</f>
        <v>PC-NSX-NET</v>
      </c>
      <c r="D97" s="2" t="e">
        <f ca="1">IF(C97="","",_xludf.XLOOKUP(C97,'01_Products'!A:A,'01_Products'!B:B,"Missing Product"))</f>
        <v>#NAME?</v>
      </c>
      <c r="E97" s="2" t="e">
        <f ca="1">IF(C97="","",_xludf.XLOOKUP(C97,'01_Products'!A:A,'01_Products'!C:C,"Missing Type"))</f>
        <v>#NAME?</v>
      </c>
      <c r="F97" s="2" t="e">
        <f ca="1">IF(B97="","",_xludf.XLOOKUP(B97,'02_Features'!A:A,'02_Features'!C:C,"Missing Feature"))</f>
        <v>#NAME?</v>
      </c>
      <c r="G97" s="2" t="e">
        <f ca="1">IF(B97="","",_xludf.XLOOKUP(B97,'02_Features'!A:A,'02_Features'!E:E,"Missing Prompt"))</f>
        <v>#NAME?</v>
      </c>
      <c r="H97" s="2" t="str">
        <f>IF('03_Functionalities'!D97="","",'03_Functionalities'!D97)</f>
        <v>Dynamic/static route control</v>
      </c>
      <c r="I97" s="2" t="str">
        <f>IF('03_Functionalities'!E97="","",'03_Functionalities'!E97)</f>
        <v>Major functionality for dynamic/static route control.</v>
      </c>
      <c r="J97" s="2" t="str">
        <f>IF('03_Functionalities'!F97="","",'03_Functionalities'!F97)</f>
        <v>Includes major assessment behavior for dynamic/static route control in the context of tier-0/tier-1 routing and gateways.</v>
      </c>
      <c r="K97" s="2" t="str">
        <f>IF('03_Functionalities'!G97="","",'03_Functionalities'!G97)</f>
        <v>Excludes low-level configuration toggles, cosmetic UI behavior, and implementation-specific inventory minutiae unless they materially affect parity or risk.</v>
      </c>
      <c r="L97" s="2" t="str">
        <f>IF('03_Functionalities'!I97="","",'03_Functionalities'!I97)</f>
        <v>Network</v>
      </c>
      <c r="M97" s="2" t="str">
        <f>IF('03_Functionalities'!J97="","",'03_Functionalities'!J97)</f>
        <v>Gateway Routing</v>
      </c>
      <c r="N97" s="2" t="str">
        <f>IF('03_Functionalities'!K97="","",'03_Functionalities'!K97)</f>
        <v>Critical</v>
      </c>
      <c r="O97" s="2" t="str">
        <f>IF('03_Functionalities'!L97="","",'03_Functionalities'!L97)</f>
        <v>High</v>
      </c>
      <c r="P97" s="2" t="str">
        <f>IF('03_Functionalities'!M97="","",'03_Functionalities'!M97)</f>
        <v>Official vendor documentation, release notes, validated KB/article, product guide, or architecture reference with version applicability.</v>
      </c>
      <c r="Q97" s="2" t="str">
        <f>IF('03_Functionalities'!N97="","",'03_Functionalities'!N97)</f>
        <v>VCF 9.1 Tier-0/Tier-1 routing and gateways Dynamic/static route control comparator parity evidence</v>
      </c>
      <c r="R97" s="2" t="str">
        <f>IF('03_Functionalities'!O97="","",'03_Functionalities'!O97)</f>
        <v>Yes</v>
      </c>
      <c r="S97" s="2" t="e">
        <f ca="1">IF(C97="","",_xludf.XLOOKUP(C97,'01_Products'!A:A,'01_Products'!K:K,0))</f>
        <v>#NAME?</v>
      </c>
      <c r="T97" s="2" t="e">
        <f ca="1">IF(B97="","",_xludf.XLOOKUP(B97,'02_Features'!A:A,'02_Features'!L:L,0))</f>
        <v>#NAME?</v>
      </c>
      <c r="U97" s="2">
        <f>IF('03_Functionalities'!P97="","",'03_Functionalities'!P97)</f>
        <v>3</v>
      </c>
      <c r="V97" s="2" t="str">
        <f>IF('03_Functionalities'!Q97="","",'03_Functionalities'!Q97)</f>
        <v>Draft</v>
      </c>
      <c r="W97" s="2" t="str">
        <f>IF('03_Functionalities'!R97="","",'03_Functionalities'!R97)</f>
        <v>https://techdocs.broadcom.com/us/en/vmware-cis/vcf/vcf-9-0-and-later/9-1/release-notes/vmware-cloud-foundation-9-1-0-0-release-notes/vmware-cloud-foundation-bill-of-materials.html</v>
      </c>
      <c r="X97" s="2" t="str">
        <f>IF('03_Functionalities'!S97="","",'03_Functionalities'!S97)</f>
        <v>High</v>
      </c>
    </row>
    <row r="98" spans="1:24" ht="71.25">
      <c r="A98" s="2" t="str">
        <f>IF('03_Functionalities'!A98="","",'03_Functionalities'!A98)</f>
        <v>FN-NSX-NET-04-01</v>
      </c>
      <c r="B98" s="2" t="str">
        <f>IF('03_Functionalities'!B98="","",'03_Functionalities'!B98)</f>
        <v>FT-NSX-NET-04</v>
      </c>
      <c r="C98" s="2" t="str">
        <f>IF('03_Functionalities'!C98="","",'03_Functionalities'!C98)</f>
        <v>PC-NSX-NET</v>
      </c>
      <c r="D98" s="2" t="e">
        <f ca="1">IF(C98="","",_xludf.XLOOKUP(C98,'01_Products'!A:A,'01_Products'!B:B,"Missing Product"))</f>
        <v>#NAME?</v>
      </c>
      <c r="E98" s="2" t="e">
        <f ca="1">IF(C98="","",_xludf.XLOOKUP(C98,'01_Products'!A:A,'01_Products'!C:C,"Missing Type"))</f>
        <v>#NAME?</v>
      </c>
      <c r="F98" s="2" t="e">
        <f ca="1">IF(B98="","",_xludf.XLOOKUP(B98,'02_Features'!A:A,'02_Features'!C:C,"Missing Feature"))</f>
        <v>#NAME?</v>
      </c>
      <c r="G98" s="2" t="e">
        <f ca="1">IF(B98="","",_xludf.XLOOKUP(B98,'02_Features'!A:A,'02_Features'!E:E,"Missing Prompt"))</f>
        <v>#NAME?</v>
      </c>
      <c r="H98" s="2" t="str">
        <f>IF('03_Functionalities'!D98="","",'03_Functionalities'!D98)</f>
        <v>Edge node deployment and sizing</v>
      </c>
      <c r="I98" s="2" t="str">
        <f>IF('03_Functionalities'!E98="","",'03_Functionalities'!E98)</f>
        <v>Major functionality for edge node deployment and sizing.</v>
      </c>
      <c r="J98" s="2" t="str">
        <f>IF('03_Functionalities'!F98="","",'03_Functionalities'!F98)</f>
        <v>Includes major assessment behavior for edge node deployment and sizing in the context of edge cluster and edge node lifecycle.</v>
      </c>
      <c r="K98" s="2" t="str">
        <f>IF('03_Functionalities'!G98="","",'03_Functionalities'!G98)</f>
        <v>Excludes low-level configuration toggles, cosmetic UI behavior, and implementation-specific inventory minutiae unless they materially affect parity or risk.</v>
      </c>
      <c r="L98" s="2" t="str">
        <f>IF('03_Functionalities'!I98="","",'03_Functionalities'!I98)</f>
        <v>Network</v>
      </c>
      <c r="M98" s="2" t="str">
        <f>IF('03_Functionalities'!J98="","",'03_Functionalities'!J98)</f>
        <v>Edge Lifecycle</v>
      </c>
      <c r="N98" s="2" t="str">
        <f>IF('03_Functionalities'!K98="","",'03_Functionalities'!K98)</f>
        <v>High</v>
      </c>
      <c r="O98" s="2" t="str">
        <f>IF('03_Functionalities'!L98="","",'03_Functionalities'!L98)</f>
        <v>High</v>
      </c>
      <c r="P98" s="2" t="str">
        <f>IF('03_Functionalities'!M98="","",'03_Functionalities'!M98)</f>
        <v>Official vendor documentation, release notes, validated KB/article, product guide, or architecture reference with version applicability.</v>
      </c>
      <c r="Q98" s="2" t="str">
        <f>IF('03_Functionalities'!N98="","",'03_Functionalities'!N98)</f>
        <v>VCF 9.1 Edge cluster and edge node lifecycle Edge node deployment and sizing comparator parity evidence</v>
      </c>
      <c r="R98" s="2" t="str">
        <f>IF('03_Functionalities'!O98="","",'03_Functionalities'!O98)</f>
        <v>Yes</v>
      </c>
      <c r="S98" s="2" t="e">
        <f ca="1">IF(C98="","",_xludf.XLOOKUP(C98,'01_Products'!A:A,'01_Products'!K:K,0))</f>
        <v>#NAME?</v>
      </c>
      <c r="T98" s="2" t="e">
        <f ca="1">IF(B98="","",_xludf.XLOOKUP(B98,'02_Features'!A:A,'02_Features'!L:L,0))</f>
        <v>#NAME?</v>
      </c>
      <c r="U98" s="2">
        <f>IF('03_Functionalities'!P98="","",'03_Functionalities'!P98)</f>
        <v>1</v>
      </c>
      <c r="V98" s="2" t="str">
        <f>IF('03_Functionalities'!Q98="","",'03_Functionalities'!Q98)</f>
        <v>Draft</v>
      </c>
      <c r="W98" s="2" t="str">
        <f>IF('03_Functionalities'!R98="","",'03_Functionalities'!R98)</f>
        <v>https://techdocs.broadcom.com/us/en/vmware-cis/vcf/vcf-9-0-and-later/9-1/release-notes/vmware-cloud-foundation-9-1-0-0-release-notes/vmware-cloud-foundation-bill-of-materials.html</v>
      </c>
      <c r="X98" s="2" t="str">
        <f>IF('03_Functionalities'!S98="","",'03_Functionalities'!S98)</f>
        <v>High</v>
      </c>
    </row>
    <row r="99" spans="1:24" ht="71.25">
      <c r="A99" s="2" t="str">
        <f>IF('03_Functionalities'!A99="","",'03_Functionalities'!A99)</f>
        <v>FN-NSX-NET-04-02</v>
      </c>
      <c r="B99" s="2" t="str">
        <f>IF('03_Functionalities'!B99="","",'03_Functionalities'!B99)</f>
        <v>FT-NSX-NET-04</v>
      </c>
      <c r="C99" s="2" t="str">
        <f>IF('03_Functionalities'!C99="","",'03_Functionalities'!C99)</f>
        <v>PC-NSX-NET</v>
      </c>
      <c r="D99" s="2" t="e">
        <f ca="1">IF(C99="","",_xludf.XLOOKUP(C99,'01_Products'!A:A,'01_Products'!B:B,"Missing Product"))</f>
        <v>#NAME?</v>
      </c>
      <c r="E99" s="2" t="e">
        <f ca="1">IF(C99="","",_xludf.XLOOKUP(C99,'01_Products'!A:A,'01_Products'!C:C,"Missing Type"))</f>
        <v>#NAME?</v>
      </c>
      <c r="F99" s="2" t="e">
        <f ca="1">IF(B99="","",_xludf.XLOOKUP(B99,'02_Features'!A:A,'02_Features'!C:C,"Missing Feature"))</f>
        <v>#NAME?</v>
      </c>
      <c r="G99" s="2" t="e">
        <f ca="1">IF(B99="","",_xludf.XLOOKUP(B99,'02_Features'!A:A,'02_Features'!E:E,"Missing Prompt"))</f>
        <v>#NAME?</v>
      </c>
      <c r="H99" s="2" t="str">
        <f>IF('03_Functionalities'!D99="","",'03_Functionalities'!D99)</f>
        <v>Edge cluster placement</v>
      </c>
      <c r="I99" s="2" t="str">
        <f>IF('03_Functionalities'!E99="","",'03_Functionalities'!E99)</f>
        <v>Major functionality for edge cluster placement.</v>
      </c>
      <c r="J99" s="2" t="str">
        <f>IF('03_Functionalities'!F99="","",'03_Functionalities'!F99)</f>
        <v>Includes major assessment behavior for edge cluster placement in the context of edge cluster and edge node lifecycle.</v>
      </c>
      <c r="K99" s="2" t="str">
        <f>IF('03_Functionalities'!G99="","",'03_Functionalities'!G99)</f>
        <v>Excludes low-level configuration toggles, cosmetic UI behavior, and implementation-specific inventory minutiae unless they materially affect parity or risk.</v>
      </c>
      <c r="L99" s="2" t="str">
        <f>IF('03_Functionalities'!I99="","",'03_Functionalities'!I99)</f>
        <v>Network</v>
      </c>
      <c r="M99" s="2" t="str">
        <f>IF('03_Functionalities'!J99="","",'03_Functionalities'!J99)</f>
        <v>Edge Lifecycle</v>
      </c>
      <c r="N99" s="2" t="str">
        <f>IF('03_Functionalities'!K99="","",'03_Functionalities'!K99)</f>
        <v>High</v>
      </c>
      <c r="O99" s="2" t="str">
        <f>IF('03_Functionalities'!L99="","",'03_Functionalities'!L99)</f>
        <v>High</v>
      </c>
      <c r="P99" s="2" t="str">
        <f>IF('03_Functionalities'!M99="","",'03_Functionalities'!M99)</f>
        <v>Official vendor documentation, release notes, validated KB/article, product guide, or architecture reference with version applicability.</v>
      </c>
      <c r="Q99" s="2" t="str">
        <f>IF('03_Functionalities'!N99="","",'03_Functionalities'!N99)</f>
        <v>VCF 9.1 Edge cluster and edge node lifecycle Edge cluster placement comparator parity evidence</v>
      </c>
      <c r="R99" s="2" t="str">
        <f>IF('03_Functionalities'!O99="","",'03_Functionalities'!O99)</f>
        <v>Yes</v>
      </c>
      <c r="S99" s="2" t="e">
        <f ca="1">IF(C99="","",_xludf.XLOOKUP(C99,'01_Products'!A:A,'01_Products'!K:K,0))</f>
        <v>#NAME?</v>
      </c>
      <c r="T99" s="2" t="e">
        <f ca="1">IF(B99="","",_xludf.XLOOKUP(B99,'02_Features'!A:A,'02_Features'!L:L,0))</f>
        <v>#NAME?</v>
      </c>
      <c r="U99" s="2">
        <f>IF('03_Functionalities'!P99="","",'03_Functionalities'!P99)</f>
        <v>2</v>
      </c>
      <c r="V99" s="2" t="str">
        <f>IF('03_Functionalities'!Q99="","",'03_Functionalities'!Q99)</f>
        <v>Draft</v>
      </c>
      <c r="W99" s="2" t="str">
        <f>IF('03_Functionalities'!R99="","",'03_Functionalities'!R99)</f>
        <v>https://techdocs.broadcom.com/us/en/vmware-cis/vcf/vcf-9-0-and-later/9-1/release-notes/vmware-cloud-foundation-9-1-0-0-release-notes/vmware-cloud-foundation-bill-of-materials.html</v>
      </c>
      <c r="X99" s="2" t="str">
        <f>IF('03_Functionalities'!S99="","",'03_Functionalities'!S99)</f>
        <v>High</v>
      </c>
    </row>
    <row r="100" spans="1:24" ht="71.25">
      <c r="A100" s="2" t="str">
        <f>IF('03_Functionalities'!A100="","",'03_Functionalities'!A100)</f>
        <v>FN-NSX-NET-04-03</v>
      </c>
      <c r="B100" s="2" t="str">
        <f>IF('03_Functionalities'!B100="","",'03_Functionalities'!B100)</f>
        <v>FT-NSX-NET-04</v>
      </c>
      <c r="C100" s="2" t="str">
        <f>IF('03_Functionalities'!C100="","",'03_Functionalities'!C100)</f>
        <v>PC-NSX-NET</v>
      </c>
      <c r="D100" s="2" t="e">
        <f ca="1">IF(C100="","",_xludf.XLOOKUP(C100,'01_Products'!A:A,'01_Products'!B:B,"Missing Product"))</f>
        <v>#NAME?</v>
      </c>
      <c r="E100" s="2" t="e">
        <f ca="1">IF(C100="","",_xludf.XLOOKUP(C100,'01_Products'!A:A,'01_Products'!C:C,"Missing Type"))</f>
        <v>#NAME?</v>
      </c>
      <c r="F100" s="2" t="e">
        <f ca="1">IF(B100="","",_xludf.XLOOKUP(B100,'02_Features'!A:A,'02_Features'!C:C,"Missing Feature"))</f>
        <v>#NAME?</v>
      </c>
      <c r="G100" s="2" t="e">
        <f ca="1">IF(B100="","",_xludf.XLOOKUP(B100,'02_Features'!A:A,'02_Features'!E:E,"Missing Prompt"))</f>
        <v>#NAME?</v>
      </c>
      <c r="H100" s="2" t="str">
        <f>IF('03_Functionalities'!D100="","",'03_Functionalities'!D100)</f>
        <v>Edge lifecycle and upgrade behavior</v>
      </c>
      <c r="I100" s="2" t="str">
        <f>IF('03_Functionalities'!E100="","",'03_Functionalities'!E100)</f>
        <v>Major functionality for edge lifecycle and upgrade behavior.</v>
      </c>
      <c r="J100" s="2" t="str">
        <f>IF('03_Functionalities'!F100="","",'03_Functionalities'!F100)</f>
        <v>Includes major assessment behavior for edge lifecycle and upgrade behavior in the context of edge cluster and edge node lifecycle.</v>
      </c>
      <c r="K100" s="2" t="str">
        <f>IF('03_Functionalities'!G100="","",'03_Functionalities'!G100)</f>
        <v>Excludes low-level configuration toggles, cosmetic UI behavior, and implementation-specific inventory minutiae unless they materially affect parity or risk.</v>
      </c>
      <c r="L100" s="2" t="str">
        <f>IF('03_Functionalities'!I100="","",'03_Functionalities'!I100)</f>
        <v>Network</v>
      </c>
      <c r="M100" s="2" t="str">
        <f>IF('03_Functionalities'!J100="","",'03_Functionalities'!J100)</f>
        <v>Edge Lifecycle</v>
      </c>
      <c r="N100" s="2" t="str">
        <f>IF('03_Functionalities'!K100="","",'03_Functionalities'!K100)</f>
        <v>High</v>
      </c>
      <c r="O100" s="2" t="str">
        <f>IF('03_Functionalities'!L100="","",'03_Functionalities'!L100)</f>
        <v>High</v>
      </c>
      <c r="P100" s="2" t="str">
        <f>IF('03_Functionalities'!M100="","",'03_Functionalities'!M100)</f>
        <v>Official vendor documentation, release notes, validated KB/article, product guide, or architecture reference with version applicability.</v>
      </c>
      <c r="Q100" s="2" t="str">
        <f>IF('03_Functionalities'!N100="","",'03_Functionalities'!N100)</f>
        <v>VCF 9.1 Edge cluster and edge node lifecycle Edge lifecycle and upgrade behavior comparator parity evidence</v>
      </c>
      <c r="R100" s="2" t="str">
        <f>IF('03_Functionalities'!O100="","",'03_Functionalities'!O100)</f>
        <v>Yes</v>
      </c>
      <c r="S100" s="2" t="e">
        <f ca="1">IF(C100="","",_xludf.XLOOKUP(C100,'01_Products'!A:A,'01_Products'!K:K,0))</f>
        <v>#NAME?</v>
      </c>
      <c r="T100" s="2" t="e">
        <f ca="1">IF(B100="","",_xludf.XLOOKUP(B100,'02_Features'!A:A,'02_Features'!L:L,0))</f>
        <v>#NAME?</v>
      </c>
      <c r="U100" s="2">
        <f>IF('03_Functionalities'!P100="","",'03_Functionalities'!P100)</f>
        <v>3</v>
      </c>
      <c r="V100" s="2" t="str">
        <f>IF('03_Functionalities'!Q100="","",'03_Functionalities'!Q100)</f>
        <v>Draft</v>
      </c>
      <c r="W100" s="2" t="str">
        <f>IF('03_Functionalities'!R100="","",'03_Functionalities'!R100)</f>
        <v>https://techdocs.broadcom.com/us/en/vmware-cis/vcf/vcf-9-0-and-later/9-1/release-notes/vmware-cloud-foundation-9-1-0-0-release-notes/vmware-cloud-foundation-bill-of-materials.html</v>
      </c>
      <c r="X100" s="2" t="str">
        <f>IF('03_Functionalities'!S100="","",'03_Functionalities'!S100)</f>
        <v>High</v>
      </c>
    </row>
    <row r="101" spans="1:24" ht="57">
      <c r="A101" s="2" t="str">
        <f>IF('03_Functionalities'!A101="","",'03_Functionalities'!A101)</f>
        <v>FN-NSX-NET-05-01</v>
      </c>
      <c r="B101" s="2" t="str">
        <f>IF('03_Functionalities'!B101="","",'03_Functionalities'!B101)</f>
        <v>FT-NSX-NET-05</v>
      </c>
      <c r="C101" s="2" t="str">
        <f>IF('03_Functionalities'!C101="","",'03_Functionalities'!C101)</f>
        <v>PC-NSX-NET</v>
      </c>
      <c r="D101" s="2" t="e">
        <f ca="1">IF(C101="","",_xludf.XLOOKUP(C101,'01_Products'!A:A,'01_Products'!B:B,"Missing Product"))</f>
        <v>#NAME?</v>
      </c>
      <c r="E101" s="2" t="e">
        <f ca="1">IF(C101="","",_xludf.XLOOKUP(C101,'01_Products'!A:A,'01_Products'!C:C,"Missing Type"))</f>
        <v>#NAME?</v>
      </c>
      <c r="F101" s="2" t="e">
        <f ca="1">IF(B101="","",_xludf.XLOOKUP(B101,'02_Features'!A:A,'02_Features'!C:C,"Missing Feature"))</f>
        <v>#NAME?</v>
      </c>
      <c r="G101" s="2" t="e">
        <f ca="1">IF(B101="","",_xludf.XLOOKUP(B101,'02_Features'!A:A,'02_Features'!E:E,"Missing Prompt"))</f>
        <v>#NAME?</v>
      </c>
      <c r="H101" s="2" t="str">
        <f>IF('03_Functionalities'!D101="","",'03_Functionalities'!D101)</f>
        <v>NAT policy and translation</v>
      </c>
      <c r="I101" s="2" t="str">
        <f>IF('03_Functionalities'!E101="","",'03_Functionalities'!E101)</f>
        <v>Major functionality for nat policy and translation.</v>
      </c>
      <c r="J101" s="2" t="str">
        <f>IF('03_Functionalities'!F101="","",'03_Functionalities'!F101)</f>
        <v>Includes major assessment behavior for nat policy and translation in the context of nat, dhcp and dns services.</v>
      </c>
      <c r="K101" s="2" t="str">
        <f>IF('03_Functionalities'!G101="","",'03_Functionalities'!G101)</f>
        <v>Excludes low-level configuration toggles, cosmetic UI behavior, and implementation-specific inventory minutiae unless they materially affect parity or risk.</v>
      </c>
      <c r="L101" s="2" t="str">
        <f>IF('03_Functionalities'!I101="","",'03_Functionalities'!I101)</f>
        <v>Network</v>
      </c>
      <c r="M101" s="2" t="str">
        <f>IF('03_Functionalities'!J101="","",'03_Functionalities'!J101)</f>
        <v>IP Services</v>
      </c>
      <c r="N101" s="2" t="str">
        <f>IF('03_Functionalities'!K101="","",'03_Functionalities'!K101)</f>
        <v>High</v>
      </c>
      <c r="O101" s="2" t="str">
        <f>IF('03_Functionalities'!L101="","",'03_Functionalities'!L101)</f>
        <v>Medium</v>
      </c>
      <c r="P101" s="2" t="str">
        <f>IF('03_Functionalities'!M101="","",'03_Functionalities'!M101)</f>
        <v>Official vendor documentation, release notes, validated KB/article, product guide, or architecture reference with version applicability.</v>
      </c>
      <c r="Q101" s="2" t="str">
        <f>IF('03_Functionalities'!N101="","",'03_Functionalities'!N101)</f>
        <v>VCF 9.1 NAT, DHCP and DNS services NAT policy and translation comparator parity evidence</v>
      </c>
      <c r="R101" s="2" t="str">
        <f>IF('03_Functionalities'!O101="","",'03_Functionalities'!O101)</f>
        <v>Yes</v>
      </c>
      <c r="S101" s="2" t="e">
        <f ca="1">IF(C101="","",_xludf.XLOOKUP(C101,'01_Products'!A:A,'01_Products'!K:K,0))</f>
        <v>#NAME?</v>
      </c>
      <c r="T101" s="2" t="e">
        <f ca="1">IF(B101="","",_xludf.XLOOKUP(B101,'02_Features'!A:A,'02_Features'!L:L,0))</f>
        <v>#NAME?</v>
      </c>
      <c r="U101" s="2">
        <f>IF('03_Functionalities'!P101="","",'03_Functionalities'!P101)</f>
        <v>1</v>
      </c>
      <c r="V101" s="2" t="str">
        <f>IF('03_Functionalities'!Q101="","",'03_Functionalities'!Q101)</f>
        <v>Draft</v>
      </c>
      <c r="W101" s="2" t="str">
        <f>IF('03_Functionalities'!R101="","",'03_Functionalities'!R101)</f>
        <v>https://techdocs.broadcom.com/us/en/vmware-cis/vcf/vcf-9-0-and-later/9-1/release-notes/vmware-cloud-foundation-9-1-0-0-release-notes/what-s-new.html</v>
      </c>
      <c r="X101" s="2" t="str">
        <f>IF('03_Functionalities'!S101="","",'03_Functionalities'!S101)</f>
        <v>High</v>
      </c>
    </row>
    <row r="102" spans="1:24" ht="57">
      <c r="A102" s="2" t="str">
        <f>IF('03_Functionalities'!A102="","",'03_Functionalities'!A102)</f>
        <v>FN-NSX-NET-05-02</v>
      </c>
      <c r="B102" s="2" t="str">
        <f>IF('03_Functionalities'!B102="","",'03_Functionalities'!B102)</f>
        <v>FT-NSX-NET-05</v>
      </c>
      <c r="C102" s="2" t="str">
        <f>IF('03_Functionalities'!C102="","",'03_Functionalities'!C102)</f>
        <v>PC-NSX-NET</v>
      </c>
      <c r="D102" s="2" t="e">
        <f ca="1">IF(C102="","",_xludf.XLOOKUP(C102,'01_Products'!A:A,'01_Products'!B:B,"Missing Product"))</f>
        <v>#NAME?</v>
      </c>
      <c r="E102" s="2" t="e">
        <f ca="1">IF(C102="","",_xludf.XLOOKUP(C102,'01_Products'!A:A,'01_Products'!C:C,"Missing Type"))</f>
        <v>#NAME?</v>
      </c>
      <c r="F102" s="2" t="e">
        <f ca="1">IF(B102="","",_xludf.XLOOKUP(B102,'02_Features'!A:A,'02_Features'!C:C,"Missing Feature"))</f>
        <v>#NAME?</v>
      </c>
      <c r="G102" s="2" t="e">
        <f ca="1">IF(B102="","",_xludf.XLOOKUP(B102,'02_Features'!A:A,'02_Features'!E:E,"Missing Prompt"))</f>
        <v>#NAME?</v>
      </c>
      <c r="H102" s="2" t="str">
        <f>IF('03_Functionalities'!D102="","",'03_Functionalities'!D102)</f>
        <v>DHCP service integration</v>
      </c>
      <c r="I102" s="2" t="str">
        <f>IF('03_Functionalities'!E102="","",'03_Functionalities'!E102)</f>
        <v>Major functionality for dhcp service integration.</v>
      </c>
      <c r="J102" s="2" t="str">
        <f>IF('03_Functionalities'!F102="","",'03_Functionalities'!F102)</f>
        <v>Includes major assessment behavior for dhcp service integration in the context of nat, dhcp and dns services.</v>
      </c>
      <c r="K102" s="2" t="str">
        <f>IF('03_Functionalities'!G102="","",'03_Functionalities'!G102)</f>
        <v>Excludes low-level configuration toggles, cosmetic UI behavior, and implementation-specific inventory minutiae unless they materially affect parity or risk.</v>
      </c>
      <c r="L102" s="2" t="str">
        <f>IF('03_Functionalities'!I102="","",'03_Functionalities'!I102)</f>
        <v>Network</v>
      </c>
      <c r="M102" s="2" t="str">
        <f>IF('03_Functionalities'!J102="","",'03_Functionalities'!J102)</f>
        <v>IP Services</v>
      </c>
      <c r="N102" s="2" t="str">
        <f>IF('03_Functionalities'!K102="","",'03_Functionalities'!K102)</f>
        <v>High</v>
      </c>
      <c r="O102" s="2" t="str">
        <f>IF('03_Functionalities'!L102="","",'03_Functionalities'!L102)</f>
        <v>Medium</v>
      </c>
      <c r="P102" s="2" t="str">
        <f>IF('03_Functionalities'!M102="","",'03_Functionalities'!M102)</f>
        <v>Official vendor documentation, release notes, validated KB/article, product guide, or architecture reference with version applicability.</v>
      </c>
      <c r="Q102" s="2" t="str">
        <f>IF('03_Functionalities'!N102="","",'03_Functionalities'!N102)</f>
        <v>VCF 9.1 NAT, DHCP and DNS services DHCP service integration comparator parity evidence</v>
      </c>
      <c r="R102" s="2" t="str">
        <f>IF('03_Functionalities'!O102="","",'03_Functionalities'!O102)</f>
        <v>Yes</v>
      </c>
      <c r="S102" s="2" t="e">
        <f ca="1">IF(C102="","",_xludf.XLOOKUP(C102,'01_Products'!A:A,'01_Products'!K:K,0))</f>
        <v>#NAME?</v>
      </c>
      <c r="T102" s="2" t="e">
        <f ca="1">IF(B102="","",_xludf.XLOOKUP(B102,'02_Features'!A:A,'02_Features'!L:L,0))</f>
        <v>#NAME?</v>
      </c>
      <c r="U102" s="2">
        <f>IF('03_Functionalities'!P102="","",'03_Functionalities'!P102)</f>
        <v>2</v>
      </c>
      <c r="V102" s="2" t="str">
        <f>IF('03_Functionalities'!Q102="","",'03_Functionalities'!Q102)</f>
        <v>Draft</v>
      </c>
      <c r="W102" s="2" t="str">
        <f>IF('03_Functionalities'!R102="","",'03_Functionalities'!R102)</f>
        <v>https://techdocs.broadcom.com/us/en/vmware-cis/vcf/vcf-9-0-and-later/9-1/release-notes/vmware-cloud-foundation-9-1-0-0-release-notes/what-s-new.html</v>
      </c>
      <c r="X102" s="2" t="str">
        <f>IF('03_Functionalities'!S102="","",'03_Functionalities'!S102)</f>
        <v>High</v>
      </c>
    </row>
    <row r="103" spans="1:24" ht="57">
      <c r="A103" s="2" t="str">
        <f>IF('03_Functionalities'!A103="","",'03_Functionalities'!A103)</f>
        <v>FN-NSX-NET-05-03</v>
      </c>
      <c r="B103" s="2" t="str">
        <f>IF('03_Functionalities'!B103="","",'03_Functionalities'!B103)</f>
        <v>FT-NSX-NET-05</v>
      </c>
      <c r="C103" s="2" t="str">
        <f>IF('03_Functionalities'!C103="","",'03_Functionalities'!C103)</f>
        <v>PC-NSX-NET</v>
      </c>
      <c r="D103" s="2" t="e">
        <f ca="1">IF(C103="","",_xludf.XLOOKUP(C103,'01_Products'!A:A,'01_Products'!B:B,"Missing Product"))</f>
        <v>#NAME?</v>
      </c>
      <c r="E103" s="2" t="e">
        <f ca="1">IF(C103="","",_xludf.XLOOKUP(C103,'01_Products'!A:A,'01_Products'!C:C,"Missing Type"))</f>
        <v>#NAME?</v>
      </c>
      <c r="F103" s="2" t="e">
        <f ca="1">IF(B103="","",_xludf.XLOOKUP(B103,'02_Features'!A:A,'02_Features'!C:C,"Missing Feature"))</f>
        <v>#NAME?</v>
      </c>
      <c r="G103" s="2" t="e">
        <f ca="1">IF(B103="","",_xludf.XLOOKUP(B103,'02_Features'!A:A,'02_Features'!E:E,"Missing Prompt"))</f>
        <v>#NAME?</v>
      </c>
      <c r="H103" s="2" t="str">
        <f>IF('03_Functionalities'!D103="","",'03_Functionalities'!D103)</f>
        <v>DNS forwarding/service behavior</v>
      </c>
      <c r="I103" s="2" t="str">
        <f>IF('03_Functionalities'!E103="","",'03_Functionalities'!E103)</f>
        <v>Major functionality for dns forwarding/service behavior.</v>
      </c>
      <c r="J103" s="2" t="str">
        <f>IF('03_Functionalities'!F103="","",'03_Functionalities'!F103)</f>
        <v>Includes major assessment behavior for dns forwarding/service behavior in the context of nat, dhcp and dns services.</v>
      </c>
      <c r="K103" s="2" t="str">
        <f>IF('03_Functionalities'!G103="","",'03_Functionalities'!G103)</f>
        <v>Excludes low-level configuration toggles, cosmetic UI behavior, and implementation-specific inventory minutiae unless they materially affect parity or risk.</v>
      </c>
      <c r="L103" s="2" t="str">
        <f>IF('03_Functionalities'!I103="","",'03_Functionalities'!I103)</f>
        <v>Network</v>
      </c>
      <c r="M103" s="2" t="str">
        <f>IF('03_Functionalities'!J103="","",'03_Functionalities'!J103)</f>
        <v>IP Services</v>
      </c>
      <c r="N103" s="2" t="str">
        <f>IF('03_Functionalities'!K103="","",'03_Functionalities'!K103)</f>
        <v>High</v>
      </c>
      <c r="O103" s="2" t="str">
        <f>IF('03_Functionalities'!L103="","",'03_Functionalities'!L103)</f>
        <v>Medium</v>
      </c>
      <c r="P103" s="2" t="str">
        <f>IF('03_Functionalities'!M103="","",'03_Functionalities'!M103)</f>
        <v>Official vendor documentation, release notes, validated KB/article, product guide, or architecture reference with version applicability.</v>
      </c>
      <c r="Q103" s="2" t="str">
        <f>IF('03_Functionalities'!N103="","",'03_Functionalities'!N103)</f>
        <v>VCF 9.1 NAT, DHCP and DNS services DNS forwarding/service behavior comparator parity evidence</v>
      </c>
      <c r="R103" s="2" t="str">
        <f>IF('03_Functionalities'!O103="","",'03_Functionalities'!O103)</f>
        <v>Yes</v>
      </c>
      <c r="S103" s="2" t="e">
        <f ca="1">IF(C103="","",_xludf.XLOOKUP(C103,'01_Products'!A:A,'01_Products'!K:K,0))</f>
        <v>#NAME?</v>
      </c>
      <c r="T103" s="2" t="e">
        <f ca="1">IF(B103="","",_xludf.XLOOKUP(B103,'02_Features'!A:A,'02_Features'!L:L,0))</f>
        <v>#NAME?</v>
      </c>
      <c r="U103" s="2">
        <f>IF('03_Functionalities'!P103="","",'03_Functionalities'!P103)</f>
        <v>3</v>
      </c>
      <c r="V103" s="2" t="str">
        <f>IF('03_Functionalities'!Q103="","",'03_Functionalities'!Q103)</f>
        <v>Draft</v>
      </c>
      <c r="W103" s="2" t="str">
        <f>IF('03_Functionalities'!R103="","",'03_Functionalities'!R103)</f>
        <v>https://techdocs.broadcom.com/us/en/vmware-cis/vcf/vcf-9-0-and-later/9-1/release-notes/vmware-cloud-foundation-9-1-0-0-release-notes/what-s-new.html</v>
      </c>
      <c r="X103" s="2" t="str">
        <f>IF('03_Functionalities'!S103="","",'03_Functionalities'!S103)</f>
        <v>High</v>
      </c>
    </row>
    <row r="104" spans="1:24" ht="57">
      <c r="A104" s="2" t="str">
        <f>IF('03_Functionalities'!A104="","",'03_Functionalities'!A104)</f>
        <v>FN-NSX-NET-06-01</v>
      </c>
      <c r="B104" s="2" t="str">
        <f>IF('03_Functionalities'!B104="","",'03_Functionalities'!B104)</f>
        <v>FT-NSX-NET-06</v>
      </c>
      <c r="C104" s="2" t="str">
        <f>IF('03_Functionalities'!C104="","",'03_Functionalities'!C104)</f>
        <v>PC-NSX-NET</v>
      </c>
      <c r="D104" s="2" t="e">
        <f ca="1">IF(C104="","",_xludf.XLOOKUP(C104,'01_Products'!A:A,'01_Products'!B:B,"Missing Product"))</f>
        <v>#NAME?</v>
      </c>
      <c r="E104" s="2" t="e">
        <f ca="1">IF(C104="","",_xludf.XLOOKUP(C104,'01_Products'!A:A,'01_Products'!C:C,"Missing Type"))</f>
        <v>#NAME?</v>
      </c>
      <c r="F104" s="2" t="e">
        <f ca="1">IF(B104="","",_xludf.XLOOKUP(B104,'02_Features'!A:A,'02_Features'!C:C,"Missing Feature"))</f>
        <v>#NAME?</v>
      </c>
      <c r="G104" s="2" t="e">
        <f ca="1">IF(B104="","",_xludf.XLOOKUP(B104,'02_Features'!A:A,'02_Features'!E:E,"Missing Prompt"))</f>
        <v>#NAME?</v>
      </c>
      <c r="H104" s="2" t="str">
        <f>IF('03_Functionalities'!D104="","",'03_Functionalities'!D104)</f>
        <v>IPsec VPN service</v>
      </c>
      <c r="I104" s="2" t="str">
        <f>IF('03_Functionalities'!E104="","",'03_Functionalities'!E104)</f>
        <v>Major functionality for ipsec vpn service.</v>
      </c>
      <c r="J104" s="2" t="str">
        <f>IF('03_Functionalities'!F104="","",'03_Functionalities'!F104)</f>
        <v>Includes major assessment behavior for ipsec vpn service in the context of vpn and remote connectivity.</v>
      </c>
      <c r="K104" s="2" t="str">
        <f>IF('03_Functionalities'!G104="","",'03_Functionalities'!G104)</f>
        <v>Excludes low-level configuration toggles, cosmetic UI behavior, and implementation-specific inventory minutiae unless they materially affect parity or risk.</v>
      </c>
      <c r="L104" s="2" t="str">
        <f>IF('03_Functionalities'!I104="","",'03_Functionalities'!I104)</f>
        <v>Network</v>
      </c>
      <c r="M104" s="2" t="str">
        <f>IF('03_Functionalities'!J104="","",'03_Functionalities'!J104)</f>
        <v>VPN Services</v>
      </c>
      <c r="N104" s="2" t="str">
        <f>IF('03_Functionalities'!K104="","",'03_Functionalities'!K104)</f>
        <v>Medium</v>
      </c>
      <c r="O104" s="2" t="str">
        <f>IF('03_Functionalities'!L104="","",'03_Functionalities'!L104)</f>
        <v>High</v>
      </c>
      <c r="P104" s="2" t="str">
        <f>IF('03_Functionalities'!M104="","",'03_Functionalities'!M104)</f>
        <v>Official vendor documentation, release notes, validated KB/article, product guide, or architecture reference with version applicability.</v>
      </c>
      <c r="Q104" s="2" t="str">
        <f>IF('03_Functionalities'!N104="","",'03_Functionalities'!N104)</f>
        <v>VCF 9.1 VPN and remote connectivity IPsec VPN service comparator parity evidence</v>
      </c>
      <c r="R104" s="2" t="str">
        <f>IF('03_Functionalities'!O104="","",'03_Functionalities'!O104)</f>
        <v>Yes</v>
      </c>
      <c r="S104" s="2" t="e">
        <f ca="1">IF(C104="","",_xludf.XLOOKUP(C104,'01_Products'!A:A,'01_Products'!K:K,0))</f>
        <v>#NAME?</v>
      </c>
      <c r="T104" s="2" t="e">
        <f ca="1">IF(B104="","",_xludf.XLOOKUP(B104,'02_Features'!A:A,'02_Features'!L:L,0))</f>
        <v>#NAME?</v>
      </c>
      <c r="U104" s="2">
        <f>IF('03_Functionalities'!P104="","",'03_Functionalities'!P104)</f>
        <v>1</v>
      </c>
      <c r="V104" s="2" t="str">
        <f>IF('03_Functionalities'!Q104="","",'03_Functionalities'!Q104)</f>
        <v>Draft</v>
      </c>
      <c r="W104" s="2" t="str">
        <f>IF('03_Functionalities'!R104="","",'03_Functionalities'!R104)</f>
        <v>https://techdocs.broadcom.com/us/en/vmware-cis/vcf/vcf-9-0-and-later/9-1/release-notes/vmware-cloud-foundation-9-1-0-0-release-notes/what-s-new.html</v>
      </c>
      <c r="X104" s="2" t="str">
        <f>IF('03_Functionalities'!S104="","",'03_Functionalities'!S104)</f>
        <v>High</v>
      </c>
    </row>
    <row r="105" spans="1:24" ht="57">
      <c r="A105" s="2" t="str">
        <f>IF('03_Functionalities'!A105="","",'03_Functionalities'!A105)</f>
        <v>FN-NSX-NET-06-02</v>
      </c>
      <c r="B105" s="2" t="str">
        <f>IF('03_Functionalities'!B105="","",'03_Functionalities'!B105)</f>
        <v>FT-NSX-NET-06</v>
      </c>
      <c r="C105" s="2" t="str">
        <f>IF('03_Functionalities'!C105="","",'03_Functionalities'!C105)</f>
        <v>PC-NSX-NET</v>
      </c>
      <c r="D105" s="2" t="e">
        <f ca="1">IF(C105="","",_xludf.XLOOKUP(C105,'01_Products'!A:A,'01_Products'!B:B,"Missing Product"))</f>
        <v>#NAME?</v>
      </c>
      <c r="E105" s="2" t="e">
        <f ca="1">IF(C105="","",_xludf.XLOOKUP(C105,'01_Products'!A:A,'01_Products'!C:C,"Missing Type"))</f>
        <v>#NAME?</v>
      </c>
      <c r="F105" s="2" t="e">
        <f ca="1">IF(B105="","",_xludf.XLOOKUP(B105,'02_Features'!A:A,'02_Features'!C:C,"Missing Feature"))</f>
        <v>#NAME?</v>
      </c>
      <c r="G105" s="2" t="e">
        <f ca="1">IF(B105="","",_xludf.XLOOKUP(B105,'02_Features'!A:A,'02_Features'!E:E,"Missing Prompt"))</f>
        <v>#NAME?</v>
      </c>
      <c r="H105" s="2" t="str">
        <f>IF('03_Functionalities'!D105="","",'03_Functionalities'!D105)</f>
        <v>L2 extension/connectivity</v>
      </c>
      <c r="I105" s="2" t="str">
        <f>IF('03_Functionalities'!E105="","",'03_Functionalities'!E105)</f>
        <v>Major functionality for l2 extension/connectivity.</v>
      </c>
      <c r="J105" s="2" t="str">
        <f>IF('03_Functionalities'!F105="","",'03_Functionalities'!F105)</f>
        <v>Includes major assessment behavior for l2 extension/connectivity in the context of vpn and remote connectivity.</v>
      </c>
      <c r="K105" s="2" t="str">
        <f>IF('03_Functionalities'!G105="","",'03_Functionalities'!G105)</f>
        <v>Excludes low-level configuration toggles, cosmetic UI behavior, and implementation-specific inventory minutiae unless they materially affect parity or risk.</v>
      </c>
      <c r="L105" s="2" t="str">
        <f>IF('03_Functionalities'!I105="","",'03_Functionalities'!I105)</f>
        <v>Network</v>
      </c>
      <c r="M105" s="2" t="str">
        <f>IF('03_Functionalities'!J105="","",'03_Functionalities'!J105)</f>
        <v>VPN Services</v>
      </c>
      <c r="N105" s="2" t="str">
        <f>IF('03_Functionalities'!K105="","",'03_Functionalities'!K105)</f>
        <v>Medium</v>
      </c>
      <c r="O105" s="2" t="str">
        <f>IF('03_Functionalities'!L105="","",'03_Functionalities'!L105)</f>
        <v>High</v>
      </c>
      <c r="P105" s="2" t="str">
        <f>IF('03_Functionalities'!M105="","",'03_Functionalities'!M105)</f>
        <v>Official vendor documentation, release notes, validated KB/article, product guide, or architecture reference with version applicability.</v>
      </c>
      <c r="Q105" s="2" t="str">
        <f>IF('03_Functionalities'!N105="","",'03_Functionalities'!N105)</f>
        <v>VCF 9.1 VPN and remote connectivity L2 extension/connectivity comparator parity evidence</v>
      </c>
      <c r="R105" s="2" t="str">
        <f>IF('03_Functionalities'!O105="","",'03_Functionalities'!O105)</f>
        <v>Yes</v>
      </c>
      <c r="S105" s="2" t="e">
        <f ca="1">IF(C105="","",_xludf.XLOOKUP(C105,'01_Products'!A:A,'01_Products'!K:K,0))</f>
        <v>#NAME?</v>
      </c>
      <c r="T105" s="2" t="e">
        <f ca="1">IF(B105="","",_xludf.XLOOKUP(B105,'02_Features'!A:A,'02_Features'!L:L,0))</f>
        <v>#NAME?</v>
      </c>
      <c r="U105" s="2">
        <f>IF('03_Functionalities'!P105="","",'03_Functionalities'!P105)</f>
        <v>2</v>
      </c>
      <c r="V105" s="2" t="str">
        <f>IF('03_Functionalities'!Q105="","",'03_Functionalities'!Q105)</f>
        <v>Draft</v>
      </c>
      <c r="W105" s="2" t="str">
        <f>IF('03_Functionalities'!R105="","",'03_Functionalities'!R105)</f>
        <v>https://techdocs.broadcom.com/us/en/vmware-cis/vcf/vcf-9-0-and-later/9-1/release-notes/vmware-cloud-foundation-9-1-0-0-release-notes/what-s-new.html</v>
      </c>
      <c r="X105" s="2" t="str">
        <f>IF('03_Functionalities'!S105="","",'03_Functionalities'!S105)</f>
        <v>High</v>
      </c>
    </row>
    <row r="106" spans="1:24" ht="57">
      <c r="A106" s="2" t="str">
        <f>IF('03_Functionalities'!A106="","",'03_Functionalities'!A106)</f>
        <v>FN-NSX-NET-06-03</v>
      </c>
      <c r="B106" s="2" t="str">
        <f>IF('03_Functionalities'!B106="","",'03_Functionalities'!B106)</f>
        <v>FT-NSX-NET-06</v>
      </c>
      <c r="C106" s="2" t="str">
        <f>IF('03_Functionalities'!C106="","",'03_Functionalities'!C106)</f>
        <v>PC-NSX-NET</v>
      </c>
      <c r="D106" s="2" t="e">
        <f ca="1">IF(C106="","",_xludf.XLOOKUP(C106,'01_Products'!A:A,'01_Products'!B:B,"Missing Product"))</f>
        <v>#NAME?</v>
      </c>
      <c r="E106" s="2" t="e">
        <f ca="1">IF(C106="","",_xludf.XLOOKUP(C106,'01_Products'!A:A,'01_Products'!C:C,"Missing Type"))</f>
        <v>#NAME?</v>
      </c>
      <c r="F106" s="2" t="e">
        <f ca="1">IF(B106="","",_xludf.XLOOKUP(B106,'02_Features'!A:A,'02_Features'!C:C,"Missing Feature"))</f>
        <v>#NAME?</v>
      </c>
      <c r="G106" s="2" t="e">
        <f ca="1">IF(B106="","",_xludf.XLOOKUP(B106,'02_Features'!A:A,'02_Features'!E:E,"Missing Prompt"))</f>
        <v>#NAME?</v>
      </c>
      <c r="H106" s="2" t="str">
        <f>IF('03_Functionalities'!D106="","",'03_Functionalities'!D106)</f>
        <v>Remote connectivity lifecycle</v>
      </c>
      <c r="I106" s="2" t="str">
        <f>IF('03_Functionalities'!E106="","",'03_Functionalities'!E106)</f>
        <v>Major functionality for remote connectivity lifecycle.</v>
      </c>
      <c r="J106" s="2" t="str">
        <f>IF('03_Functionalities'!F106="","",'03_Functionalities'!F106)</f>
        <v>Includes major assessment behavior for remote connectivity lifecycle in the context of vpn and remote connectivity.</v>
      </c>
      <c r="K106" s="2" t="str">
        <f>IF('03_Functionalities'!G106="","",'03_Functionalities'!G106)</f>
        <v>Excludes low-level configuration toggles, cosmetic UI behavior, and implementation-specific inventory minutiae unless they materially affect parity or risk.</v>
      </c>
      <c r="L106" s="2" t="str">
        <f>IF('03_Functionalities'!I106="","",'03_Functionalities'!I106)</f>
        <v>Network</v>
      </c>
      <c r="M106" s="2" t="str">
        <f>IF('03_Functionalities'!J106="","",'03_Functionalities'!J106)</f>
        <v>VPN Services</v>
      </c>
      <c r="N106" s="2" t="str">
        <f>IF('03_Functionalities'!K106="","",'03_Functionalities'!K106)</f>
        <v>Medium</v>
      </c>
      <c r="O106" s="2" t="str">
        <f>IF('03_Functionalities'!L106="","",'03_Functionalities'!L106)</f>
        <v>High</v>
      </c>
      <c r="P106" s="2" t="str">
        <f>IF('03_Functionalities'!M106="","",'03_Functionalities'!M106)</f>
        <v>Official vendor documentation, release notes, validated KB/article, product guide, or architecture reference with version applicability.</v>
      </c>
      <c r="Q106" s="2" t="str">
        <f>IF('03_Functionalities'!N106="","",'03_Functionalities'!N106)</f>
        <v>VCF 9.1 VPN and remote connectivity Remote connectivity lifecycle comparator parity evidence</v>
      </c>
      <c r="R106" s="2" t="str">
        <f>IF('03_Functionalities'!O106="","",'03_Functionalities'!O106)</f>
        <v>Yes</v>
      </c>
      <c r="S106" s="2" t="e">
        <f ca="1">IF(C106="","",_xludf.XLOOKUP(C106,'01_Products'!A:A,'01_Products'!K:K,0))</f>
        <v>#NAME?</v>
      </c>
      <c r="T106" s="2" t="e">
        <f ca="1">IF(B106="","",_xludf.XLOOKUP(B106,'02_Features'!A:A,'02_Features'!L:L,0))</f>
        <v>#NAME?</v>
      </c>
      <c r="U106" s="2">
        <f>IF('03_Functionalities'!P106="","",'03_Functionalities'!P106)</f>
        <v>3</v>
      </c>
      <c r="V106" s="2" t="str">
        <f>IF('03_Functionalities'!Q106="","",'03_Functionalities'!Q106)</f>
        <v>Draft</v>
      </c>
      <c r="W106" s="2" t="str">
        <f>IF('03_Functionalities'!R106="","",'03_Functionalities'!R106)</f>
        <v>https://techdocs.broadcom.com/us/en/vmware-cis/vcf/vcf-9-0-and-later/9-1/release-notes/vmware-cloud-foundation-9-1-0-0-release-notes/what-s-new.html</v>
      </c>
      <c r="X106" s="2" t="str">
        <f>IF('03_Functionalities'!S106="","",'03_Functionalities'!S106)</f>
        <v>High</v>
      </c>
    </row>
    <row r="107" spans="1:24" ht="57">
      <c r="A107" s="2" t="str">
        <f>IF('03_Functionalities'!A107="","",'03_Functionalities'!A107)</f>
        <v>FN-NSX-NET-07-01</v>
      </c>
      <c r="B107" s="2" t="str">
        <f>IF('03_Functionalities'!B107="","",'03_Functionalities'!B107)</f>
        <v>FT-NSX-NET-07</v>
      </c>
      <c r="C107" s="2" t="str">
        <f>IF('03_Functionalities'!C107="","",'03_Functionalities'!C107)</f>
        <v>PC-NSX-NET</v>
      </c>
      <c r="D107" s="2" t="e">
        <f ca="1">IF(C107="","",_xludf.XLOOKUP(C107,'01_Products'!A:A,'01_Products'!B:B,"Missing Product"))</f>
        <v>#NAME?</v>
      </c>
      <c r="E107" s="2" t="e">
        <f ca="1">IF(C107="","",_xludf.XLOOKUP(C107,'01_Products'!A:A,'01_Products'!C:C,"Missing Type"))</f>
        <v>#NAME?</v>
      </c>
      <c r="F107" s="2" t="e">
        <f ca="1">IF(B107="","",_xludf.XLOOKUP(B107,'02_Features'!A:A,'02_Features'!C:C,"Missing Feature"))</f>
        <v>#NAME?</v>
      </c>
      <c r="G107" s="2" t="e">
        <f ca="1">IF(B107="","",_xludf.XLOOKUP(B107,'02_Features'!A:A,'02_Features'!E:E,"Missing Prompt"))</f>
        <v>#NAME?</v>
      </c>
      <c r="H107" s="2" t="str">
        <f>IF('03_Functionalities'!D107="","",'03_Functionalities'!D107)</f>
        <v>VPC network abstraction</v>
      </c>
      <c r="I107" s="2" t="str">
        <f>IF('03_Functionalities'!E107="","",'03_Functionalities'!E107)</f>
        <v>Major functionality for vpc network abstraction.</v>
      </c>
      <c r="J107" s="2" t="str">
        <f>IF('03_Functionalities'!F107="","",'03_Functionalities'!F107)</f>
        <v>Includes major assessment behavior for vpc network abstraction in the context of vpc/private cloud networking constructs.</v>
      </c>
      <c r="K107" s="2" t="str">
        <f>IF('03_Functionalities'!G107="","",'03_Functionalities'!G107)</f>
        <v>Excludes low-level configuration toggles, cosmetic UI behavior, and implementation-specific inventory minutiae unless they materially affect parity or risk.</v>
      </c>
      <c r="L107" s="2" t="str">
        <f>IF('03_Functionalities'!I107="","",'03_Functionalities'!I107)</f>
        <v>Network</v>
      </c>
      <c r="M107" s="2" t="str">
        <f>IF('03_Functionalities'!J107="","",'03_Functionalities'!J107)</f>
        <v>VPC Networking</v>
      </c>
      <c r="N107" s="2" t="str">
        <f>IF('03_Functionalities'!K107="","",'03_Functionalities'!K107)</f>
        <v>High</v>
      </c>
      <c r="O107" s="2" t="str">
        <f>IF('03_Functionalities'!L107="","",'03_Functionalities'!L107)</f>
        <v>High</v>
      </c>
      <c r="P107" s="2" t="str">
        <f>IF('03_Functionalities'!M107="","",'03_Functionalities'!M107)</f>
        <v>Official vendor documentation, release notes, validated KB/article, product guide, or architecture reference with version applicability.</v>
      </c>
      <c r="Q107" s="2" t="str">
        <f>IF('03_Functionalities'!N107="","",'03_Functionalities'!N107)</f>
        <v>VCF 9.1 VPC/private cloud networking constructs VPC network abstraction comparator parity evidence</v>
      </c>
      <c r="R107" s="2" t="str">
        <f>IF('03_Functionalities'!O107="","",'03_Functionalities'!O107)</f>
        <v>Yes</v>
      </c>
      <c r="S107" s="2" t="e">
        <f ca="1">IF(C107="","",_xludf.XLOOKUP(C107,'01_Products'!A:A,'01_Products'!K:K,0))</f>
        <v>#NAME?</v>
      </c>
      <c r="T107" s="2" t="e">
        <f ca="1">IF(B107="","",_xludf.XLOOKUP(B107,'02_Features'!A:A,'02_Features'!L:L,0))</f>
        <v>#NAME?</v>
      </c>
      <c r="U107" s="2">
        <f>IF('03_Functionalities'!P107="","",'03_Functionalities'!P107)</f>
        <v>1</v>
      </c>
      <c r="V107" s="2" t="str">
        <f>IF('03_Functionalities'!Q107="","",'03_Functionalities'!Q107)</f>
        <v>Draft</v>
      </c>
      <c r="W107" s="2" t="str">
        <f>IF('03_Functionalities'!R107="","",'03_Functionalities'!R107)</f>
        <v>https://techdocs.broadcom.com/us/en/vmware-cis/vcf/vcf-9-0-and-later/9-1/release-notes/vmware-cloud-foundation-9-1-0-0-release-notes/what-s-new.html</v>
      </c>
      <c r="X107" s="2" t="str">
        <f>IF('03_Functionalities'!S107="","",'03_Functionalities'!S107)</f>
        <v>High</v>
      </c>
    </row>
    <row r="108" spans="1:24" ht="57">
      <c r="A108" s="2" t="str">
        <f>IF('03_Functionalities'!A108="","",'03_Functionalities'!A108)</f>
        <v>FN-NSX-NET-07-02</v>
      </c>
      <c r="B108" s="2" t="str">
        <f>IF('03_Functionalities'!B108="","",'03_Functionalities'!B108)</f>
        <v>FT-NSX-NET-07</v>
      </c>
      <c r="C108" s="2" t="str">
        <f>IF('03_Functionalities'!C108="","",'03_Functionalities'!C108)</f>
        <v>PC-NSX-NET</v>
      </c>
      <c r="D108" s="2" t="e">
        <f ca="1">IF(C108="","",_xludf.XLOOKUP(C108,'01_Products'!A:A,'01_Products'!B:B,"Missing Product"))</f>
        <v>#NAME?</v>
      </c>
      <c r="E108" s="2" t="e">
        <f ca="1">IF(C108="","",_xludf.XLOOKUP(C108,'01_Products'!A:A,'01_Products'!C:C,"Missing Type"))</f>
        <v>#NAME?</v>
      </c>
      <c r="F108" s="2" t="e">
        <f ca="1">IF(B108="","",_xludf.XLOOKUP(B108,'02_Features'!A:A,'02_Features'!C:C,"Missing Feature"))</f>
        <v>#NAME?</v>
      </c>
      <c r="G108" s="2" t="e">
        <f ca="1">IF(B108="","",_xludf.XLOOKUP(B108,'02_Features'!A:A,'02_Features'!E:E,"Missing Prompt"))</f>
        <v>#NAME?</v>
      </c>
      <c r="H108" s="2" t="str">
        <f>IF('03_Functionalities'!D108="","",'03_Functionalities'!D108)</f>
        <v>Consumer network self-service</v>
      </c>
      <c r="I108" s="2" t="str">
        <f>IF('03_Functionalities'!E108="","",'03_Functionalities'!E108)</f>
        <v>Major functionality for consumer network self-service.</v>
      </c>
      <c r="J108" s="2" t="str">
        <f>IF('03_Functionalities'!F108="","",'03_Functionalities'!F108)</f>
        <v>Includes major assessment behavior for consumer network self-service in the context of vpc/private cloud networking constructs.</v>
      </c>
      <c r="K108" s="2" t="str">
        <f>IF('03_Functionalities'!G108="","",'03_Functionalities'!G108)</f>
        <v>Excludes low-level configuration toggles, cosmetic UI behavior, and implementation-specific inventory minutiae unless they materially affect parity or risk.</v>
      </c>
      <c r="L108" s="2" t="str">
        <f>IF('03_Functionalities'!I108="","",'03_Functionalities'!I108)</f>
        <v>Network</v>
      </c>
      <c r="M108" s="2" t="str">
        <f>IF('03_Functionalities'!J108="","",'03_Functionalities'!J108)</f>
        <v>VPC Networking</v>
      </c>
      <c r="N108" s="2" t="str">
        <f>IF('03_Functionalities'!K108="","",'03_Functionalities'!K108)</f>
        <v>High</v>
      </c>
      <c r="O108" s="2" t="str">
        <f>IF('03_Functionalities'!L108="","",'03_Functionalities'!L108)</f>
        <v>High</v>
      </c>
      <c r="P108" s="2" t="str">
        <f>IF('03_Functionalities'!M108="","",'03_Functionalities'!M108)</f>
        <v>Official vendor documentation, release notes, validated KB/article, product guide, or architecture reference with version applicability.</v>
      </c>
      <c r="Q108" s="2" t="str">
        <f>IF('03_Functionalities'!N108="","",'03_Functionalities'!N108)</f>
        <v>VCF 9.1 VPC/private cloud networking constructs Consumer network self-service comparator parity evidence</v>
      </c>
      <c r="R108" s="2" t="str">
        <f>IF('03_Functionalities'!O108="","",'03_Functionalities'!O108)</f>
        <v>Yes</v>
      </c>
      <c r="S108" s="2" t="e">
        <f ca="1">IF(C108="","",_xludf.XLOOKUP(C108,'01_Products'!A:A,'01_Products'!K:K,0))</f>
        <v>#NAME?</v>
      </c>
      <c r="T108" s="2" t="e">
        <f ca="1">IF(B108="","",_xludf.XLOOKUP(B108,'02_Features'!A:A,'02_Features'!L:L,0))</f>
        <v>#NAME?</v>
      </c>
      <c r="U108" s="2">
        <f>IF('03_Functionalities'!P108="","",'03_Functionalities'!P108)</f>
        <v>2</v>
      </c>
      <c r="V108" s="2" t="str">
        <f>IF('03_Functionalities'!Q108="","",'03_Functionalities'!Q108)</f>
        <v>Draft</v>
      </c>
      <c r="W108" s="2" t="str">
        <f>IF('03_Functionalities'!R108="","",'03_Functionalities'!R108)</f>
        <v>https://techdocs.broadcom.com/us/en/vmware-cis/vcf/vcf-9-0-and-later/9-1/release-notes/vmware-cloud-foundation-9-1-0-0-release-notes/what-s-new.html</v>
      </c>
      <c r="X108" s="2" t="str">
        <f>IF('03_Functionalities'!S108="","",'03_Functionalities'!S108)</f>
        <v>High</v>
      </c>
    </row>
    <row r="109" spans="1:24" ht="57">
      <c r="A109" s="2" t="str">
        <f>IF('03_Functionalities'!A109="","",'03_Functionalities'!A109)</f>
        <v>FN-NSX-NET-07-03</v>
      </c>
      <c r="B109" s="2" t="str">
        <f>IF('03_Functionalities'!B109="","",'03_Functionalities'!B109)</f>
        <v>FT-NSX-NET-07</v>
      </c>
      <c r="C109" s="2" t="str">
        <f>IF('03_Functionalities'!C109="","",'03_Functionalities'!C109)</f>
        <v>PC-NSX-NET</v>
      </c>
      <c r="D109" s="2" t="e">
        <f ca="1">IF(C109="","",_xludf.XLOOKUP(C109,'01_Products'!A:A,'01_Products'!B:B,"Missing Product"))</f>
        <v>#NAME?</v>
      </c>
      <c r="E109" s="2" t="e">
        <f ca="1">IF(C109="","",_xludf.XLOOKUP(C109,'01_Products'!A:A,'01_Products'!C:C,"Missing Type"))</f>
        <v>#NAME?</v>
      </c>
      <c r="F109" s="2" t="e">
        <f ca="1">IF(B109="","",_xludf.XLOOKUP(B109,'02_Features'!A:A,'02_Features'!C:C,"Missing Feature"))</f>
        <v>#NAME?</v>
      </c>
      <c r="G109" s="2" t="e">
        <f ca="1">IF(B109="","",_xludf.XLOOKUP(B109,'02_Features'!A:A,'02_Features'!E:E,"Missing Prompt"))</f>
        <v>#NAME?</v>
      </c>
      <c r="H109" s="2" t="str">
        <f>IF('03_Functionalities'!D109="","",'03_Functionalities'!D109)</f>
        <v>Network tenancy and isolation</v>
      </c>
      <c r="I109" s="2" t="str">
        <f>IF('03_Functionalities'!E109="","",'03_Functionalities'!E109)</f>
        <v>Major functionality for network tenancy and isolation.</v>
      </c>
      <c r="J109" s="2" t="str">
        <f>IF('03_Functionalities'!F109="","",'03_Functionalities'!F109)</f>
        <v>Includes major assessment behavior for network tenancy and isolation in the context of vpc/private cloud networking constructs.</v>
      </c>
      <c r="K109" s="2" t="str">
        <f>IF('03_Functionalities'!G109="","",'03_Functionalities'!G109)</f>
        <v>Excludes low-level configuration toggles, cosmetic UI behavior, and implementation-specific inventory minutiae unless they materially affect parity or risk.</v>
      </c>
      <c r="L109" s="2" t="str">
        <f>IF('03_Functionalities'!I109="","",'03_Functionalities'!I109)</f>
        <v>Network</v>
      </c>
      <c r="M109" s="2" t="str">
        <f>IF('03_Functionalities'!J109="","",'03_Functionalities'!J109)</f>
        <v>VPC Networking</v>
      </c>
      <c r="N109" s="2" t="str">
        <f>IF('03_Functionalities'!K109="","",'03_Functionalities'!K109)</f>
        <v>High</v>
      </c>
      <c r="O109" s="2" t="str">
        <f>IF('03_Functionalities'!L109="","",'03_Functionalities'!L109)</f>
        <v>High</v>
      </c>
      <c r="P109" s="2" t="str">
        <f>IF('03_Functionalities'!M109="","",'03_Functionalities'!M109)</f>
        <v>Official vendor documentation, release notes, validated KB/article, product guide, or architecture reference with version applicability.</v>
      </c>
      <c r="Q109" s="2" t="str">
        <f>IF('03_Functionalities'!N109="","",'03_Functionalities'!N109)</f>
        <v>VCF 9.1 VPC/private cloud networking constructs Network tenancy and isolation comparator parity evidence</v>
      </c>
      <c r="R109" s="2" t="str">
        <f>IF('03_Functionalities'!O109="","",'03_Functionalities'!O109)</f>
        <v>Yes</v>
      </c>
      <c r="S109" s="2" t="e">
        <f ca="1">IF(C109="","",_xludf.XLOOKUP(C109,'01_Products'!A:A,'01_Products'!K:K,0))</f>
        <v>#NAME?</v>
      </c>
      <c r="T109" s="2" t="e">
        <f ca="1">IF(B109="","",_xludf.XLOOKUP(B109,'02_Features'!A:A,'02_Features'!L:L,0))</f>
        <v>#NAME?</v>
      </c>
      <c r="U109" s="2">
        <f>IF('03_Functionalities'!P109="","",'03_Functionalities'!P109)</f>
        <v>3</v>
      </c>
      <c r="V109" s="2" t="str">
        <f>IF('03_Functionalities'!Q109="","",'03_Functionalities'!Q109)</f>
        <v>Draft</v>
      </c>
      <c r="W109" s="2" t="str">
        <f>IF('03_Functionalities'!R109="","",'03_Functionalities'!R109)</f>
        <v>https://techdocs.broadcom.com/us/en/vmware-cis/vcf/vcf-9-0-and-later/9-1/release-notes/vmware-cloud-foundation-9-1-0-0-release-notes/what-s-new.html</v>
      </c>
      <c r="X109" s="2" t="str">
        <f>IF('03_Functionalities'!S109="","",'03_Functionalities'!S109)</f>
        <v>High</v>
      </c>
    </row>
    <row r="110" spans="1:24" ht="57">
      <c r="A110" s="2" t="str">
        <f>IF('03_Functionalities'!A110="","",'03_Functionalities'!A110)</f>
        <v>FN-NSX-NET-08-01</v>
      </c>
      <c r="B110" s="2" t="str">
        <f>IF('03_Functionalities'!B110="","",'03_Functionalities'!B110)</f>
        <v>FT-NSX-NET-08</v>
      </c>
      <c r="C110" s="2" t="str">
        <f>IF('03_Functionalities'!C110="","",'03_Functionalities'!C110)</f>
        <v>PC-NSX-NET</v>
      </c>
      <c r="D110" s="2" t="e">
        <f ca="1">IF(C110="","",_xludf.XLOOKUP(C110,'01_Products'!A:A,'01_Products'!B:B,"Missing Product"))</f>
        <v>#NAME?</v>
      </c>
      <c r="E110" s="2" t="e">
        <f ca="1">IF(C110="","",_xludf.XLOOKUP(C110,'01_Products'!A:A,'01_Products'!C:C,"Missing Type"))</f>
        <v>#NAME?</v>
      </c>
      <c r="F110" s="2" t="e">
        <f ca="1">IF(B110="","",_xludf.XLOOKUP(B110,'02_Features'!A:A,'02_Features'!C:C,"Missing Feature"))</f>
        <v>#NAME?</v>
      </c>
      <c r="G110" s="2" t="e">
        <f ca="1">IF(B110="","",_xludf.XLOOKUP(B110,'02_Features'!A:A,'02_Features'!E:E,"Missing Prompt"))</f>
        <v>#NAME?</v>
      </c>
      <c r="H110" s="2" t="str">
        <f>IF('03_Functionalities'!D110="","",'03_Functionalities'!D110)</f>
        <v>Avi load-balancer integration</v>
      </c>
      <c r="I110" s="2" t="str">
        <f>IF('03_Functionalities'!E110="","",'03_Functionalities'!E110)</f>
        <v>Major functionality for avi load-balancer integration.</v>
      </c>
      <c r="J110" s="2" t="str">
        <f>IF('03_Functionalities'!F110="","",'03_Functionalities'!F110)</f>
        <v>Includes major assessment behavior for avi load-balancer integration in the context of load-balancing service integration.</v>
      </c>
      <c r="K110" s="2" t="str">
        <f>IF('03_Functionalities'!G110="","",'03_Functionalities'!G110)</f>
        <v>Excludes low-level configuration toggles, cosmetic UI behavior, and implementation-specific inventory minutiae unless they materially affect parity or risk.</v>
      </c>
      <c r="L110" s="2" t="str">
        <f>IF('03_Functionalities'!I110="","",'03_Functionalities'!I110)</f>
        <v>Network</v>
      </c>
      <c r="M110" s="2" t="str">
        <f>IF('03_Functionalities'!J110="","",'03_Functionalities'!J110)</f>
        <v>Load Balancing</v>
      </c>
      <c r="N110" s="2" t="str">
        <f>IF('03_Functionalities'!K110="","",'03_Functionalities'!K110)</f>
        <v>High</v>
      </c>
      <c r="O110" s="2" t="str">
        <f>IF('03_Functionalities'!L110="","",'03_Functionalities'!L110)</f>
        <v>Medium</v>
      </c>
      <c r="P110" s="2" t="str">
        <f>IF('03_Functionalities'!M110="","",'03_Functionalities'!M110)</f>
        <v>Official vendor documentation, release notes, validated KB/article, product guide, or architecture reference with version applicability.</v>
      </c>
      <c r="Q110" s="2" t="str">
        <f>IF('03_Functionalities'!N110="","",'03_Functionalities'!N110)</f>
        <v>VCF 9.1 Load-balancing service integration Avi load-balancer integration comparator parity evidence</v>
      </c>
      <c r="R110" s="2" t="str">
        <f>IF('03_Functionalities'!O110="","",'03_Functionalities'!O110)</f>
        <v>Yes</v>
      </c>
      <c r="S110" s="2" t="e">
        <f ca="1">IF(C110="","",_xludf.XLOOKUP(C110,'01_Products'!A:A,'01_Products'!K:K,0))</f>
        <v>#NAME?</v>
      </c>
      <c r="T110" s="2" t="e">
        <f ca="1">IF(B110="","",_xludf.XLOOKUP(B110,'02_Features'!A:A,'02_Features'!L:L,0))</f>
        <v>#NAME?</v>
      </c>
      <c r="U110" s="2">
        <f>IF('03_Functionalities'!P110="","",'03_Functionalities'!P110)</f>
        <v>1</v>
      </c>
      <c r="V110" s="2" t="str">
        <f>IF('03_Functionalities'!Q110="","",'03_Functionalities'!Q110)</f>
        <v>Draft</v>
      </c>
      <c r="W110" s="2" t="str">
        <f>IF('03_Functionalities'!R110="","",'03_Functionalities'!R110)</f>
        <v>https://knowledge.broadcom.com/external/article/439411/nsx-load-balancer-to-vmware-avi-load-bal.html</v>
      </c>
      <c r="X110" s="2" t="str">
        <f>IF('03_Functionalities'!S110="","",'03_Functionalities'!S110)</f>
        <v>High</v>
      </c>
    </row>
    <row r="111" spans="1:24" ht="57">
      <c r="A111" s="2" t="str">
        <f>IF('03_Functionalities'!A111="","",'03_Functionalities'!A111)</f>
        <v>FN-NSX-NET-08-02</v>
      </c>
      <c r="B111" s="2" t="str">
        <f>IF('03_Functionalities'!B111="","",'03_Functionalities'!B111)</f>
        <v>FT-NSX-NET-08</v>
      </c>
      <c r="C111" s="2" t="str">
        <f>IF('03_Functionalities'!C111="","",'03_Functionalities'!C111)</f>
        <v>PC-NSX-NET</v>
      </c>
      <c r="D111" s="2" t="e">
        <f ca="1">IF(C111="","",_xludf.XLOOKUP(C111,'01_Products'!A:A,'01_Products'!B:B,"Missing Product"))</f>
        <v>#NAME?</v>
      </c>
      <c r="E111" s="2" t="e">
        <f ca="1">IF(C111="","",_xludf.XLOOKUP(C111,'01_Products'!A:A,'01_Products'!C:C,"Missing Type"))</f>
        <v>#NAME?</v>
      </c>
      <c r="F111" s="2" t="e">
        <f ca="1">IF(B111="","",_xludf.XLOOKUP(B111,'02_Features'!A:A,'02_Features'!C:C,"Missing Feature"))</f>
        <v>#NAME?</v>
      </c>
      <c r="G111" s="2" t="e">
        <f ca="1">IF(B111="","",_xludf.XLOOKUP(B111,'02_Features'!A:A,'02_Features'!E:E,"Missing Prompt"))</f>
        <v>#NAME?</v>
      </c>
      <c r="H111" s="2" t="str">
        <f>IF('03_Functionalities'!D111="","",'03_Functionalities'!D111)</f>
        <v>NSX load-balancer transition handling</v>
      </c>
      <c r="I111" s="2" t="str">
        <f>IF('03_Functionalities'!E111="","",'03_Functionalities'!E111)</f>
        <v>Major functionality for nsx load-balancer transition handling.</v>
      </c>
      <c r="J111" s="2" t="str">
        <f>IF('03_Functionalities'!F111="","",'03_Functionalities'!F111)</f>
        <v>Includes major assessment behavior for nsx load-balancer transition handling in the context of load-balancing service integration.</v>
      </c>
      <c r="K111" s="2" t="str">
        <f>IF('03_Functionalities'!G111="","",'03_Functionalities'!G111)</f>
        <v>Excludes low-level configuration toggles, cosmetic UI behavior, and implementation-specific inventory minutiae unless they materially affect parity or risk.</v>
      </c>
      <c r="L111" s="2" t="str">
        <f>IF('03_Functionalities'!I111="","",'03_Functionalities'!I111)</f>
        <v>Network</v>
      </c>
      <c r="M111" s="2" t="str">
        <f>IF('03_Functionalities'!J111="","",'03_Functionalities'!J111)</f>
        <v>Load Balancing</v>
      </c>
      <c r="N111" s="2" t="str">
        <f>IF('03_Functionalities'!K111="","",'03_Functionalities'!K111)</f>
        <v>High</v>
      </c>
      <c r="O111" s="2" t="str">
        <f>IF('03_Functionalities'!L111="","",'03_Functionalities'!L111)</f>
        <v>Medium</v>
      </c>
      <c r="P111" s="2" t="str">
        <f>IF('03_Functionalities'!M111="","",'03_Functionalities'!M111)</f>
        <v>Official vendor documentation, release notes, validated KB/article, product guide, or architecture reference with version applicability.</v>
      </c>
      <c r="Q111" s="2" t="str">
        <f>IF('03_Functionalities'!N111="","",'03_Functionalities'!N111)</f>
        <v>VCF 9.1 Load-balancing service integration NSX load-balancer transition handling comparator parity evidence</v>
      </c>
      <c r="R111" s="2" t="str">
        <f>IF('03_Functionalities'!O111="","",'03_Functionalities'!O111)</f>
        <v>Yes</v>
      </c>
      <c r="S111" s="2" t="e">
        <f ca="1">IF(C111="","",_xludf.XLOOKUP(C111,'01_Products'!A:A,'01_Products'!K:K,0))</f>
        <v>#NAME?</v>
      </c>
      <c r="T111" s="2" t="e">
        <f ca="1">IF(B111="","",_xludf.XLOOKUP(B111,'02_Features'!A:A,'02_Features'!L:L,0))</f>
        <v>#NAME?</v>
      </c>
      <c r="U111" s="2">
        <f>IF('03_Functionalities'!P111="","",'03_Functionalities'!P111)</f>
        <v>2</v>
      </c>
      <c r="V111" s="2" t="str">
        <f>IF('03_Functionalities'!Q111="","",'03_Functionalities'!Q111)</f>
        <v>Draft</v>
      </c>
      <c r="W111" s="2" t="str">
        <f>IF('03_Functionalities'!R111="","",'03_Functionalities'!R111)</f>
        <v>https://knowledge.broadcom.com/external/article/439411/nsx-load-balancer-to-vmware-avi-load-bal.html</v>
      </c>
      <c r="X111" s="2" t="str">
        <f>IF('03_Functionalities'!S111="","",'03_Functionalities'!S111)</f>
        <v>High</v>
      </c>
    </row>
    <row r="112" spans="1:24" ht="57">
      <c r="A112" s="2" t="str">
        <f>IF('03_Functionalities'!A112="","",'03_Functionalities'!A112)</f>
        <v>FN-NSX-NET-08-03</v>
      </c>
      <c r="B112" s="2" t="str">
        <f>IF('03_Functionalities'!B112="","",'03_Functionalities'!B112)</f>
        <v>FT-NSX-NET-08</v>
      </c>
      <c r="C112" s="2" t="str">
        <f>IF('03_Functionalities'!C112="","",'03_Functionalities'!C112)</f>
        <v>PC-NSX-NET</v>
      </c>
      <c r="D112" s="2" t="e">
        <f ca="1">IF(C112="","",_xludf.XLOOKUP(C112,'01_Products'!A:A,'01_Products'!B:B,"Missing Product"))</f>
        <v>#NAME?</v>
      </c>
      <c r="E112" s="2" t="e">
        <f ca="1">IF(C112="","",_xludf.XLOOKUP(C112,'01_Products'!A:A,'01_Products'!C:C,"Missing Type"))</f>
        <v>#NAME?</v>
      </c>
      <c r="F112" s="2" t="e">
        <f ca="1">IF(B112="","",_xludf.XLOOKUP(B112,'02_Features'!A:A,'02_Features'!C:C,"Missing Feature"))</f>
        <v>#NAME?</v>
      </c>
      <c r="G112" s="2" t="e">
        <f ca="1">IF(B112="","",_xludf.XLOOKUP(B112,'02_Features'!A:A,'02_Features'!E:E,"Missing Prompt"))</f>
        <v>#NAME?</v>
      </c>
      <c r="H112" s="2" t="str">
        <f>IF('03_Functionalities'!D112="","",'03_Functionalities'!D112)</f>
        <v>L4/L7 service placement dependencies</v>
      </c>
      <c r="I112" s="2" t="str">
        <f>IF('03_Functionalities'!E112="","",'03_Functionalities'!E112)</f>
        <v>Major functionality for l4/l7 service placement dependencies.</v>
      </c>
      <c r="J112" s="2" t="str">
        <f>IF('03_Functionalities'!F112="","",'03_Functionalities'!F112)</f>
        <v>Includes major assessment behavior for l4/l7 service placement dependencies in the context of load-balancing service integration.</v>
      </c>
      <c r="K112" s="2" t="str">
        <f>IF('03_Functionalities'!G112="","",'03_Functionalities'!G112)</f>
        <v>Excludes low-level configuration toggles, cosmetic UI behavior, and implementation-specific inventory minutiae unless they materially affect parity or risk.</v>
      </c>
      <c r="L112" s="2" t="str">
        <f>IF('03_Functionalities'!I112="","",'03_Functionalities'!I112)</f>
        <v>Network</v>
      </c>
      <c r="M112" s="2" t="str">
        <f>IF('03_Functionalities'!J112="","",'03_Functionalities'!J112)</f>
        <v>Load Balancing</v>
      </c>
      <c r="N112" s="2" t="str">
        <f>IF('03_Functionalities'!K112="","",'03_Functionalities'!K112)</f>
        <v>High</v>
      </c>
      <c r="O112" s="2" t="str">
        <f>IF('03_Functionalities'!L112="","",'03_Functionalities'!L112)</f>
        <v>Medium</v>
      </c>
      <c r="P112" s="2" t="str">
        <f>IF('03_Functionalities'!M112="","",'03_Functionalities'!M112)</f>
        <v>Official vendor documentation, release notes, validated KB/article, product guide, or architecture reference with version applicability.</v>
      </c>
      <c r="Q112" s="2" t="str">
        <f>IF('03_Functionalities'!N112="","",'03_Functionalities'!N112)</f>
        <v>VCF 9.1 Load-balancing service integration L4/L7 service placement dependencies comparator parity evidence</v>
      </c>
      <c r="R112" s="2" t="str">
        <f>IF('03_Functionalities'!O112="","",'03_Functionalities'!O112)</f>
        <v>Yes</v>
      </c>
      <c r="S112" s="2" t="e">
        <f ca="1">IF(C112="","",_xludf.XLOOKUP(C112,'01_Products'!A:A,'01_Products'!K:K,0))</f>
        <v>#NAME?</v>
      </c>
      <c r="T112" s="2" t="e">
        <f ca="1">IF(B112="","",_xludf.XLOOKUP(B112,'02_Features'!A:A,'02_Features'!L:L,0))</f>
        <v>#NAME?</v>
      </c>
      <c r="U112" s="2">
        <f>IF('03_Functionalities'!P112="","",'03_Functionalities'!P112)</f>
        <v>3</v>
      </c>
      <c r="V112" s="2" t="str">
        <f>IF('03_Functionalities'!Q112="","",'03_Functionalities'!Q112)</f>
        <v>Draft</v>
      </c>
      <c r="W112" s="2" t="str">
        <f>IF('03_Functionalities'!R112="","",'03_Functionalities'!R112)</f>
        <v>https://knowledge.broadcom.com/external/article/439411/nsx-load-balancer-to-vmware-avi-load-bal.html</v>
      </c>
      <c r="X112" s="2" t="str">
        <f>IF('03_Functionalities'!S112="","",'03_Functionalities'!S112)</f>
        <v>High</v>
      </c>
    </row>
    <row r="113" spans="1:24" ht="71.25">
      <c r="A113" s="2" t="str">
        <f>IF('03_Functionalities'!A113="","",'03_Functionalities'!A113)</f>
        <v>FN-NSX-SEC-01-01</v>
      </c>
      <c r="B113" s="2" t="str">
        <f>IF('03_Functionalities'!B113="","",'03_Functionalities'!B113)</f>
        <v>FT-NSX-SEC-01</v>
      </c>
      <c r="C113" s="2" t="str">
        <f>IF('03_Functionalities'!C113="","",'03_Functionalities'!C113)</f>
        <v>PC-NSX-SEC</v>
      </c>
      <c r="D113" s="2" t="e">
        <f ca="1">IF(C113="","",_xludf.XLOOKUP(C113,'01_Products'!A:A,'01_Products'!B:B,"Missing Product"))</f>
        <v>#NAME?</v>
      </c>
      <c r="E113" s="2" t="e">
        <f ca="1">IF(C113="","",_xludf.XLOOKUP(C113,'01_Products'!A:A,'01_Products'!C:C,"Missing Type"))</f>
        <v>#NAME?</v>
      </c>
      <c r="F113" s="2" t="e">
        <f ca="1">IF(B113="","",_xludf.XLOOKUP(B113,'02_Features'!A:A,'02_Features'!C:C,"Missing Feature"))</f>
        <v>#NAME?</v>
      </c>
      <c r="G113" s="2" t="e">
        <f ca="1">IF(B113="","",_xludf.XLOOKUP(B113,'02_Features'!A:A,'02_Features'!E:E,"Missing Prompt"))</f>
        <v>#NAME?</v>
      </c>
      <c r="H113" s="2" t="str">
        <f>IF('03_Functionalities'!D113="","",'03_Functionalities'!D113)</f>
        <v>East-west distributed firewall enforcement</v>
      </c>
      <c r="I113" s="2" t="str">
        <f>IF('03_Functionalities'!E113="","",'03_Functionalities'!E113)</f>
        <v>Major functionality for east-west distributed firewall enforcement.</v>
      </c>
      <c r="J113" s="2" t="str">
        <f>IF('03_Functionalities'!F113="","",'03_Functionalities'!F113)</f>
        <v>Includes major assessment behavior for east-west distributed firewall enforcement in the context of distributed firewall and microsegmentation.</v>
      </c>
      <c r="K113" s="2" t="str">
        <f>IF('03_Functionalities'!G113="","",'03_Functionalities'!G113)</f>
        <v>Excludes low-level configuration toggles, cosmetic UI behavior, and implementation-specific inventory minutiae unless they materially affect parity or risk.</v>
      </c>
      <c r="L113" s="2" t="str">
        <f>IF('03_Functionalities'!I113="","",'03_Functionalities'!I113)</f>
        <v>Security</v>
      </c>
      <c r="M113" s="2" t="str">
        <f>IF('03_Functionalities'!J113="","",'03_Functionalities'!J113)</f>
        <v>Microsegmentation</v>
      </c>
      <c r="N113" s="2" t="str">
        <f>IF('03_Functionalities'!K113="","",'03_Functionalities'!K113)</f>
        <v>Critical</v>
      </c>
      <c r="O113" s="2" t="str">
        <f>IF('03_Functionalities'!L113="","",'03_Functionalities'!L113)</f>
        <v>High</v>
      </c>
      <c r="P113" s="2" t="str">
        <f>IF('03_Functionalities'!M113="","",'03_Functionalities'!M113)</f>
        <v>Official vendor documentation, release notes, validated KB/article, product guide, or architecture reference with version applicability.</v>
      </c>
      <c r="Q113" s="2" t="str">
        <f>IF('03_Functionalities'!N113="","",'03_Functionalities'!N113)</f>
        <v>VCF 9.1 Distributed firewall and microsegmentation East-west distributed firewall enforcement comparator parity evidence</v>
      </c>
      <c r="R113" s="2" t="str">
        <f>IF('03_Functionalities'!O113="","",'03_Functionalities'!O113)</f>
        <v>Yes</v>
      </c>
      <c r="S113" s="2" t="e">
        <f ca="1">IF(C113="","",_xludf.XLOOKUP(C113,'01_Products'!A:A,'01_Products'!K:K,0))</f>
        <v>#NAME?</v>
      </c>
      <c r="T113" s="2" t="e">
        <f ca="1">IF(B113="","",_xludf.XLOOKUP(B113,'02_Features'!A:A,'02_Features'!L:L,0))</f>
        <v>#NAME?</v>
      </c>
      <c r="U113" s="2">
        <f>IF('03_Functionalities'!P113="","",'03_Functionalities'!P113)</f>
        <v>1</v>
      </c>
      <c r="V113" s="2" t="str">
        <f>IF('03_Functionalities'!Q113="","",'03_Functionalities'!Q113)</f>
        <v>Draft</v>
      </c>
      <c r="W113" s="2" t="str">
        <f>IF('03_Functionalities'!R113="","",'03_Functionalities'!R113)</f>
        <v>https://techdocs.broadcom.com/us/en/vmware-cis/vcf/vcf-9-0-and-later/9-1/release-notes/vmware-cloud-foundation-9-1-0-0-release-notes/vmware-cloud-foundation-bill-of-materials.html</v>
      </c>
      <c r="X113" s="2" t="str">
        <f>IF('03_Functionalities'!S113="","",'03_Functionalities'!S113)</f>
        <v>High</v>
      </c>
    </row>
    <row r="114" spans="1:24" ht="71.25">
      <c r="A114" s="2" t="str">
        <f>IF('03_Functionalities'!A114="","",'03_Functionalities'!A114)</f>
        <v>FN-NSX-SEC-01-02</v>
      </c>
      <c r="B114" s="2" t="str">
        <f>IF('03_Functionalities'!B114="","",'03_Functionalities'!B114)</f>
        <v>FT-NSX-SEC-01</v>
      </c>
      <c r="C114" s="2" t="str">
        <f>IF('03_Functionalities'!C114="","",'03_Functionalities'!C114)</f>
        <v>PC-NSX-SEC</v>
      </c>
      <c r="D114" s="2" t="e">
        <f ca="1">IF(C114="","",_xludf.XLOOKUP(C114,'01_Products'!A:A,'01_Products'!B:B,"Missing Product"))</f>
        <v>#NAME?</v>
      </c>
      <c r="E114" s="2" t="e">
        <f ca="1">IF(C114="","",_xludf.XLOOKUP(C114,'01_Products'!A:A,'01_Products'!C:C,"Missing Type"))</f>
        <v>#NAME?</v>
      </c>
      <c r="F114" s="2" t="e">
        <f ca="1">IF(B114="","",_xludf.XLOOKUP(B114,'02_Features'!A:A,'02_Features'!C:C,"Missing Feature"))</f>
        <v>#NAME?</v>
      </c>
      <c r="G114" s="2" t="e">
        <f ca="1">IF(B114="","",_xludf.XLOOKUP(B114,'02_Features'!A:A,'02_Features'!E:E,"Missing Prompt"))</f>
        <v>#NAME?</v>
      </c>
      <c r="H114" s="2" t="str">
        <f>IF('03_Functionalities'!D114="","",'03_Functionalities'!D114)</f>
        <v>Microsegmentation policy model</v>
      </c>
      <c r="I114" s="2" t="str">
        <f>IF('03_Functionalities'!E114="","",'03_Functionalities'!E114)</f>
        <v>Major functionality for microsegmentation policy model.</v>
      </c>
      <c r="J114" s="2" t="str">
        <f>IF('03_Functionalities'!F114="","",'03_Functionalities'!F114)</f>
        <v>Includes major assessment behavior for microsegmentation policy model in the context of distributed firewall and microsegmentation.</v>
      </c>
      <c r="K114" s="2" t="str">
        <f>IF('03_Functionalities'!G114="","",'03_Functionalities'!G114)</f>
        <v>Excludes low-level configuration toggles, cosmetic UI behavior, and implementation-specific inventory minutiae unless they materially affect parity or risk.</v>
      </c>
      <c r="L114" s="2" t="str">
        <f>IF('03_Functionalities'!I114="","",'03_Functionalities'!I114)</f>
        <v>Security</v>
      </c>
      <c r="M114" s="2" t="str">
        <f>IF('03_Functionalities'!J114="","",'03_Functionalities'!J114)</f>
        <v>Microsegmentation</v>
      </c>
      <c r="N114" s="2" t="str">
        <f>IF('03_Functionalities'!K114="","",'03_Functionalities'!K114)</f>
        <v>Critical</v>
      </c>
      <c r="O114" s="2" t="str">
        <f>IF('03_Functionalities'!L114="","",'03_Functionalities'!L114)</f>
        <v>High</v>
      </c>
      <c r="P114" s="2" t="str">
        <f>IF('03_Functionalities'!M114="","",'03_Functionalities'!M114)</f>
        <v>Official vendor documentation, release notes, validated KB/article, product guide, or architecture reference with version applicability.</v>
      </c>
      <c r="Q114" s="2" t="str">
        <f>IF('03_Functionalities'!N114="","",'03_Functionalities'!N114)</f>
        <v>VCF 9.1 Distributed firewall and microsegmentation Microsegmentation policy model comparator parity evidence</v>
      </c>
      <c r="R114" s="2" t="str">
        <f>IF('03_Functionalities'!O114="","",'03_Functionalities'!O114)</f>
        <v>Yes</v>
      </c>
      <c r="S114" s="2" t="e">
        <f ca="1">IF(C114="","",_xludf.XLOOKUP(C114,'01_Products'!A:A,'01_Products'!K:K,0))</f>
        <v>#NAME?</v>
      </c>
      <c r="T114" s="2" t="e">
        <f ca="1">IF(B114="","",_xludf.XLOOKUP(B114,'02_Features'!A:A,'02_Features'!L:L,0))</f>
        <v>#NAME?</v>
      </c>
      <c r="U114" s="2">
        <f>IF('03_Functionalities'!P114="","",'03_Functionalities'!P114)</f>
        <v>2</v>
      </c>
      <c r="V114" s="2" t="str">
        <f>IF('03_Functionalities'!Q114="","",'03_Functionalities'!Q114)</f>
        <v>Draft</v>
      </c>
      <c r="W114" s="2" t="str">
        <f>IF('03_Functionalities'!R114="","",'03_Functionalities'!R114)</f>
        <v>https://techdocs.broadcom.com/us/en/vmware-cis/vcf/vcf-9-0-and-later/9-1/release-notes/vmware-cloud-foundation-9-1-0-0-release-notes/vmware-cloud-foundation-bill-of-materials.html</v>
      </c>
      <c r="X114" s="2" t="str">
        <f>IF('03_Functionalities'!S114="","",'03_Functionalities'!S114)</f>
        <v>High</v>
      </c>
    </row>
    <row r="115" spans="1:24" ht="71.25">
      <c r="A115" s="2" t="str">
        <f>IF('03_Functionalities'!A115="","",'03_Functionalities'!A115)</f>
        <v>FN-NSX-SEC-01-03</v>
      </c>
      <c r="B115" s="2" t="str">
        <f>IF('03_Functionalities'!B115="","",'03_Functionalities'!B115)</f>
        <v>FT-NSX-SEC-01</v>
      </c>
      <c r="C115" s="2" t="str">
        <f>IF('03_Functionalities'!C115="","",'03_Functionalities'!C115)</f>
        <v>PC-NSX-SEC</v>
      </c>
      <c r="D115" s="2" t="e">
        <f ca="1">IF(C115="","",_xludf.XLOOKUP(C115,'01_Products'!A:A,'01_Products'!B:B,"Missing Product"))</f>
        <v>#NAME?</v>
      </c>
      <c r="E115" s="2" t="e">
        <f ca="1">IF(C115="","",_xludf.XLOOKUP(C115,'01_Products'!A:A,'01_Products'!C:C,"Missing Type"))</f>
        <v>#NAME?</v>
      </c>
      <c r="F115" s="2" t="e">
        <f ca="1">IF(B115="","",_xludf.XLOOKUP(B115,'02_Features'!A:A,'02_Features'!C:C,"Missing Feature"))</f>
        <v>#NAME?</v>
      </c>
      <c r="G115" s="2" t="e">
        <f ca="1">IF(B115="","",_xludf.XLOOKUP(B115,'02_Features'!A:A,'02_Features'!E:E,"Missing Prompt"))</f>
        <v>#NAME?</v>
      </c>
      <c r="H115" s="2" t="str">
        <f>IF('03_Functionalities'!D115="","",'03_Functionalities'!D115)</f>
        <v>Distributed firewall rule lifecycle</v>
      </c>
      <c r="I115" s="2" t="str">
        <f>IF('03_Functionalities'!E115="","",'03_Functionalities'!E115)</f>
        <v>Major functionality for distributed firewall rule lifecycle.</v>
      </c>
      <c r="J115" s="2" t="str">
        <f>IF('03_Functionalities'!F115="","",'03_Functionalities'!F115)</f>
        <v>Includes major assessment behavior for distributed firewall rule lifecycle in the context of distributed firewall and microsegmentation.</v>
      </c>
      <c r="K115" s="2" t="str">
        <f>IF('03_Functionalities'!G115="","",'03_Functionalities'!G115)</f>
        <v>Excludes low-level configuration toggles, cosmetic UI behavior, and implementation-specific inventory minutiae unless they materially affect parity or risk.</v>
      </c>
      <c r="L115" s="2" t="str">
        <f>IF('03_Functionalities'!I115="","",'03_Functionalities'!I115)</f>
        <v>Security</v>
      </c>
      <c r="M115" s="2" t="str">
        <f>IF('03_Functionalities'!J115="","",'03_Functionalities'!J115)</f>
        <v>Microsegmentation</v>
      </c>
      <c r="N115" s="2" t="str">
        <f>IF('03_Functionalities'!K115="","",'03_Functionalities'!K115)</f>
        <v>Critical</v>
      </c>
      <c r="O115" s="2" t="str">
        <f>IF('03_Functionalities'!L115="","",'03_Functionalities'!L115)</f>
        <v>High</v>
      </c>
      <c r="P115" s="2" t="str">
        <f>IF('03_Functionalities'!M115="","",'03_Functionalities'!M115)</f>
        <v>Official vendor documentation, release notes, validated KB/article, product guide, or architecture reference with version applicability.</v>
      </c>
      <c r="Q115" s="2" t="str">
        <f>IF('03_Functionalities'!N115="","",'03_Functionalities'!N115)</f>
        <v>VCF 9.1 Distributed firewall and microsegmentation Distributed firewall rule lifecycle comparator parity evidence</v>
      </c>
      <c r="R115" s="2" t="str">
        <f>IF('03_Functionalities'!O115="","",'03_Functionalities'!O115)</f>
        <v>Yes</v>
      </c>
      <c r="S115" s="2" t="e">
        <f ca="1">IF(C115="","",_xludf.XLOOKUP(C115,'01_Products'!A:A,'01_Products'!K:K,0))</f>
        <v>#NAME?</v>
      </c>
      <c r="T115" s="2" t="e">
        <f ca="1">IF(B115="","",_xludf.XLOOKUP(B115,'02_Features'!A:A,'02_Features'!L:L,0))</f>
        <v>#NAME?</v>
      </c>
      <c r="U115" s="2">
        <f>IF('03_Functionalities'!P115="","",'03_Functionalities'!P115)</f>
        <v>3</v>
      </c>
      <c r="V115" s="2" t="str">
        <f>IF('03_Functionalities'!Q115="","",'03_Functionalities'!Q115)</f>
        <v>Draft</v>
      </c>
      <c r="W115" s="2" t="str">
        <f>IF('03_Functionalities'!R115="","",'03_Functionalities'!R115)</f>
        <v>https://techdocs.broadcom.com/us/en/vmware-cis/vcf/vcf-9-0-and-later/9-1/release-notes/vmware-cloud-foundation-9-1-0-0-release-notes/vmware-cloud-foundation-bill-of-materials.html</v>
      </c>
      <c r="X115" s="2" t="str">
        <f>IF('03_Functionalities'!S115="","",'03_Functionalities'!S115)</f>
        <v>High</v>
      </c>
    </row>
    <row r="116" spans="1:24" ht="71.25">
      <c r="A116" s="2" t="str">
        <f>IF('03_Functionalities'!A116="","",'03_Functionalities'!A116)</f>
        <v>FN-NSX-SEC-02-01</v>
      </c>
      <c r="B116" s="2" t="str">
        <f>IF('03_Functionalities'!B116="","",'03_Functionalities'!B116)</f>
        <v>FT-NSX-SEC-02</v>
      </c>
      <c r="C116" s="2" t="str">
        <f>IF('03_Functionalities'!C116="","",'03_Functionalities'!C116)</f>
        <v>PC-NSX-SEC</v>
      </c>
      <c r="D116" s="2" t="e">
        <f ca="1">IF(C116="","",_xludf.XLOOKUP(C116,'01_Products'!A:A,'01_Products'!B:B,"Missing Product"))</f>
        <v>#NAME?</v>
      </c>
      <c r="E116" s="2" t="e">
        <f ca="1">IF(C116="","",_xludf.XLOOKUP(C116,'01_Products'!A:A,'01_Products'!C:C,"Missing Type"))</f>
        <v>#NAME?</v>
      </c>
      <c r="F116" s="2" t="e">
        <f ca="1">IF(B116="","",_xludf.XLOOKUP(B116,'02_Features'!A:A,'02_Features'!C:C,"Missing Feature"))</f>
        <v>#NAME?</v>
      </c>
      <c r="G116" s="2" t="e">
        <f ca="1">IF(B116="","",_xludf.XLOOKUP(B116,'02_Features'!A:A,'02_Features'!E:E,"Missing Prompt"))</f>
        <v>#NAME?</v>
      </c>
      <c r="H116" s="2" t="str">
        <f>IF('03_Functionalities'!D116="","",'03_Functionalities'!D116)</f>
        <v>Gateway firewall policy enforcement</v>
      </c>
      <c r="I116" s="2" t="str">
        <f>IF('03_Functionalities'!E116="","",'03_Functionalities'!E116)</f>
        <v>Major functionality for gateway firewall policy enforcement.</v>
      </c>
      <c r="J116" s="2" t="str">
        <f>IF('03_Functionalities'!F116="","",'03_Functionalities'!F116)</f>
        <v>Includes major assessment behavior for gateway firewall policy enforcement in the context of gateway firewall and perimeter policy.</v>
      </c>
      <c r="K116" s="2" t="str">
        <f>IF('03_Functionalities'!G116="","",'03_Functionalities'!G116)</f>
        <v>Excludes low-level configuration toggles, cosmetic UI behavior, and implementation-specific inventory minutiae unless they materially affect parity or risk.</v>
      </c>
      <c r="L116" s="2" t="str">
        <f>IF('03_Functionalities'!I116="","",'03_Functionalities'!I116)</f>
        <v>Security</v>
      </c>
      <c r="M116" s="2" t="str">
        <f>IF('03_Functionalities'!J116="","",'03_Functionalities'!J116)</f>
        <v>Gateway Security</v>
      </c>
      <c r="N116" s="2" t="str">
        <f>IF('03_Functionalities'!K116="","",'03_Functionalities'!K116)</f>
        <v>High</v>
      </c>
      <c r="O116" s="2" t="str">
        <f>IF('03_Functionalities'!L116="","",'03_Functionalities'!L116)</f>
        <v>High</v>
      </c>
      <c r="P116" s="2" t="str">
        <f>IF('03_Functionalities'!M116="","",'03_Functionalities'!M116)</f>
        <v>Official vendor documentation, release notes, validated KB/article, product guide, or architecture reference with version applicability.</v>
      </c>
      <c r="Q116" s="2" t="str">
        <f>IF('03_Functionalities'!N116="","",'03_Functionalities'!N116)</f>
        <v>VCF 9.1 Gateway firewall and perimeter policy Gateway firewall policy enforcement comparator parity evidence</v>
      </c>
      <c r="R116" s="2" t="str">
        <f>IF('03_Functionalities'!O116="","",'03_Functionalities'!O116)</f>
        <v>Yes</v>
      </c>
      <c r="S116" s="2" t="e">
        <f ca="1">IF(C116="","",_xludf.XLOOKUP(C116,'01_Products'!A:A,'01_Products'!K:K,0))</f>
        <v>#NAME?</v>
      </c>
      <c r="T116" s="2" t="e">
        <f ca="1">IF(B116="","",_xludf.XLOOKUP(B116,'02_Features'!A:A,'02_Features'!L:L,0))</f>
        <v>#NAME?</v>
      </c>
      <c r="U116" s="2">
        <f>IF('03_Functionalities'!P116="","",'03_Functionalities'!P116)</f>
        <v>1</v>
      </c>
      <c r="V116" s="2" t="str">
        <f>IF('03_Functionalities'!Q116="","",'03_Functionalities'!Q116)</f>
        <v>Draft</v>
      </c>
      <c r="W116" s="2" t="str">
        <f>IF('03_Functionalities'!R116="","",'03_Functionalities'!R116)</f>
        <v>https://techdocs.broadcom.com/us/en/vmware-cis/vcf/vcf-9-0-and-later/9-1/release-notes/vmware-cloud-foundation-9-1-0-0-release-notes/vmware-cloud-foundation-bill-of-materials.html</v>
      </c>
      <c r="X116" s="2" t="str">
        <f>IF('03_Functionalities'!S116="","",'03_Functionalities'!S116)</f>
        <v>High</v>
      </c>
    </row>
    <row r="117" spans="1:24" ht="71.25">
      <c r="A117" s="2" t="str">
        <f>IF('03_Functionalities'!A117="","",'03_Functionalities'!A117)</f>
        <v>FN-NSX-SEC-02-02</v>
      </c>
      <c r="B117" s="2" t="str">
        <f>IF('03_Functionalities'!B117="","",'03_Functionalities'!B117)</f>
        <v>FT-NSX-SEC-02</v>
      </c>
      <c r="C117" s="2" t="str">
        <f>IF('03_Functionalities'!C117="","",'03_Functionalities'!C117)</f>
        <v>PC-NSX-SEC</v>
      </c>
      <c r="D117" s="2" t="e">
        <f ca="1">IF(C117="","",_xludf.XLOOKUP(C117,'01_Products'!A:A,'01_Products'!B:B,"Missing Product"))</f>
        <v>#NAME?</v>
      </c>
      <c r="E117" s="2" t="e">
        <f ca="1">IF(C117="","",_xludf.XLOOKUP(C117,'01_Products'!A:A,'01_Products'!C:C,"Missing Type"))</f>
        <v>#NAME?</v>
      </c>
      <c r="F117" s="2" t="e">
        <f ca="1">IF(B117="","",_xludf.XLOOKUP(B117,'02_Features'!A:A,'02_Features'!C:C,"Missing Feature"))</f>
        <v>#NAME?</v>
      </c>
      <c r="G117" s="2" t="e">
        <f ca="1">IF(B117="","",_xludf.XLOOKUP(B117,'02_Features'!A:A,'02_Features'!E:E,"Missing Prompt"))</f>
        <v>#NAME?</v>
      </c>
      <c r="H117" s="2" t="str">
        <f>IF('03_Functionalities'!D117="","",'03_Functionalities'!D117)</f>
        <v>North-south perimeter rule control</v>
      </c>
      <c r="I117" s="2" t="str">
        <f>IF('03_Functionalities'!E117="","",'03_Functionalities'!E117)</f>
        <v>Major functionality for north-south perimeter rule control.</v>
      </c>
      <c r="J117" s="2" t="str">
        <f>IF('03_Functionalities'!F117="","",'03_Functionalities'!F117)</f>
        <v>Includes major assessment behavior for north-south perimeter rule control in the context of gateway firewall and perimeter policy.</v>
      </c>
      <c r="K117" s="2" t="str">
        <f>IF('03_Functionalities'!G117="","",'03_Functionalities'!G117)</f>
        <v>Excludes low-level configuration toggles, cosmetic UI behavior, and implementation-specific inventory minutiae unless they materially affect parity or risk.</v>
      </c>
      <c r="L117" s="2" t="str">
        <f>IF('03_Functionalities'!I117="","",'03_Functionalities'!I117)</f>
        <v>Security</v>
      </c>
      <c r="M117" s="2" t="str">
        <f>IF('03_Functionalities'!J117="","",'03_Functionalities'!J117)</f>
        <v>Gateway Security</v>
      </c>
      <c r="N117" s="2" t="str">
        <f>IF('03_Functionalities'!K117="","",'03_Functionalities'!K117)</f>
        <v>High</v>
      </c>
      <c r="O117" s="2" t="str">
        <f>IF('03_Functionalities'!L117="","",'03_Functionalities'!L117)</f>
        <v>High</v>
      </c>
      <c r="P117" s="2" t="str">
        <f>IF('03_Functionalities'!M117="","",'03_Functionalities'!M117)</f>
        <v>Official vendor documentation, release notes, validated KB/article, product guide, or architecture reference with version applicability.</v>
      </c>
      <c r="Q117" s="2" t="str">
        <f>IF('03_Functionalities'!N117="","",'03_Functionalities'!N117)</f>
        <v>VCF 9.1 Gateway firewall and perimeter policy North-south perimeter rule control comparator parity evidence</v>
      </c>
      <c r="R117" s="2" t="str">
        <f>IF('03_Functionalities'!O117="","",'03_Functionalities'!O117)</f>
        <v>Yes</v>
      </c>
      <c r="S117" s="2" t="e">
        <f ca="1">IF(C117="","",_xludf.XLOOKUP(C117,'01_Products'!A:A,'01_Products'!K:K,0))</f>
        <v>#NAME?</v>
      </c>
      <c r="T117" s="2" t="e">
        <f ca="1">IF(B117="","",_xludf.XLOOKUP(B117,'02_Features'!A:A,'02_Features'!L:L,0))</f>
        <v>#NAME?</v>
      </c>
      <c r="U117" s="2">
        <f>IF('03_Functionalities'!P117="","",'03_Functionalities'!P117)</f>
        <v>2</v>
      </c>
      <c r="V117" s="2" t="str">
        <f>IF('03_Functionalities'!Q117="","",'03_Functionalities'!Q117)</f>
        <v>Draft</v>
      </c>
      <c r="W117" s="2" t="str">
        <f>IF('03_Functionalities'!R117="","",'03_Functionalities'!R117)</f>
        <v>https://techdocs.broadcom.com/us/en/vmware-cis/vcf/vcf-9-0-and-later/9-1/release-notes/vmware-cloud-foundation-9-1-0-0-release-notes/vmware-cloud-foundation-bill-of-materials.html</v>
      </c>
      <c r="X117" s="2" t="str">
        <f>IF('03_Functionalities'!S117="","",'03_Functionalities'!S117)</f>
        <v>High</v>
      </c>
    </row>
    <row r="118" spans="1:24" ht="71.25">
      <c r="A118" s="2" t="str">
        <f>IF('03_Functionalities'!A118="","",'03_Functionalities'!A118)</f>
        <v>FN-NSX-SEC-02-03</v>
      </c>
      <c r="B118" s="2" t="str">
        <f>IF('03_Functionalities'!B118="","",'03_Functionalities'!B118)</f>
        <v>FT-NSX-SEC-02</v>
      </c>
      <c r="C118" s="2" t="str">
        <f>IF('03_Functionalities'!C118="","",'03_Functionalities'!C118)</f>
        <v>PC-NSX-SEC</v>
      </c>
      <c r="D118" s="2" t="e">
        <f ca="1">IF(C118="","",_xludf.XLOOKUP(C118,'01_Products'!A:A,'01_Products'!B:B,"Missing Product"))</f>
        <v>#NAME?</v>
      </c>
      <c r="E118" s="2" t="e">
        <f ca="1">IF(C118="","",_xludf.XLOOKUP(C118,'01_Products'!A:A,'01_Products'!C:C,"Missing Type"))</f>
        <v>#NAME?</v>
      </c>
      <c r="F118" s="2" t="e">
        <f ca="1">IF(B118="","",_xludf.XLOOKUP(B118,'02_Features'!A:A,'02_Features'!C:C,"Missing Feature"))</f>
        <v>#NAME?</v>
      </c>
      <c r="G118" s="2" t="e">
        <f ca="1">IF(B118="","",_xludf.XLOOKUP(B118,'02_Features'!A:A,'02_Features'!E:E,"Missing Prompt"))</f>
        <v>#NAME?</v>
      </c>
      <c r="H118" s="2" t="str">
        <f>IF('03_Functionalities'!D118="","",'03_Functionalities'!D118)</f>
        <v>Gateway firewall logging and evidence</v>
      </c>
      <c r="I118" s="2" t="str">
        <f>IF('03_Functionalities'!E118="","",'03_Functionalities'!E118)</f>
        <v>Major functionality for gateway firewall logging and evidence.</v>
      </c>
      <c r="J118" s="2" t="str">
        <f>IF('03_Functionalities'!F118="","",'03_Functionalities'!F118)</f>
        <v>Includes major assessment behavior for gateway firewall logging and evidence in the context of gateway firewall and perimeter policy.</v>
      </c>
      <c r="K118" s="2" t="str">
        <f>IF('03_Functionalities'!G118="","",'03_Functionalities'!G118)</f>
        <v>Excludes low-level configuration toggles, cosmetic UI behavior, and implementation-specific inventory minutiae unless they materially affect parity or risk.</v>
      </c>
      <c r="L118" s="2" t="str">
        <f>IF('03_Functionalities'!I118="","",'03_Functionalities'!I118)</f>
        <v>Security</v>
      </c>
      <c r="M118" s="2" t="str">
        <f>IF('03_Functionalities'!J118="","",'03_Functionalities'!J118)</f>
        <v>Gateway Security</v>
      </c>
      <c r="N118" s="2" t="str">
        <f>IF('03_Functionalities'!K118="","",'03_Functionalities'!K118)</f>
        <v>High</v>
      </c>
      <c r="O118" s="2" t="str">
        <f>IF('03_Functionalities'!L118="","",'03_Functionalities'!L118)</f>
        <v>High</v>
      </c>
      <c r="P118" s="2" t="str">
        <f>IF('03_Functionalities'!M118="","",'03_Functionalities'!M118)</f>
        <v>Official vendor documentation, release notes, validated KB/article, product guide, or architecture reference with version applicability.</v>
      </c>
      <c r="Q118" s="2" t="str">
        <f>IF('03_Functionalities'!N118="","",'03_Functionalities'!N118)</f>
        <v>VCF 9.1 Gateway firewall and perimeter policy Gateway firewall logging and evidence comparator parity evidence</v>
      </c>
      <c r="R118" s="2" t="str">
        <f>IF('03_Functionalities'!O118="","",'03_Functionalities'!O118)</f>
        <v>Yes</v>
      </c>
      <c r="S118" s="2" t="e">
        <f ca="1">IF(C118="","",_xludf.XLOOKUP(C118,'01_Products'!A:A,'01_Products'!K:K,0))</f>
        <v>#NAME?</v>
      </c>
      <c r="T118" s="2" t="e">
        <f ca="1">IF(B118="","",_xludf.XLOOKUP(B118,'02_Features'!A:A,'02_Features'!L:L,0))</f>
        <v>#NAME?</v>
      </c>
      <c r="U118" s="2">
        <f>IF('03_Functionalities'!P118="","",'03_Functionalities'!P118)</f>
        <v>3</v>
      </c>
      <c r="V118" s="2" t="str">
        <f>IF('03_Functionalities'!Q118="","",'03_Functionalities'!Q118)</f>
        <v>Draft</v>
      </c>
      <c r="W118" s="2" t="str">
        <f>IF('03_Functionalities'!R118="","",'03_Functionalities'!R118)</f>
        <v>https://techdocs.broadcom.com/us/en/vmware-cis/vcf/vcf-9-0-and-later/9-1/release-notes/vmware-cloud-foundation-9-1-0-0-release-notes/vmware-cloud-foundation-bill-of-materials.html</v>
      </c>
      <c r="X118" s="2" t="str">
        <f>IF('03_Functionalities'!S118="","",'03_Functionalities'!S118)</f>
        <v>High</v>
      </c>
    </row>
    <row r="119" spans="1:24" ht="71.25">
      <c r="A119" s="2" t="str">
        <f>IF('03_Functionalities'!A119="","",'03_Functionalities'!A119)</f>
        <v>FN-NSX-SEC-03-01</v>
      </c>
      <c r="B119" s="2" t="str">
        <f>IF('03_Functionalities'!B119="","",'03_Functionalities'!B119)</f>
        <v>FT-NSX-SEC-03</v>
      </c>
      <c r="C119" s="2" t="str">
        <f>IF('03_Functionalities'!C119="","",'03_Functionalities'!C119)</f>
        <v>PC-NSX-SEC</v>
      </c>
      <c r="D119" s="2" t="e">
        <f ca="1">IF(C119="","",_xludf.XLOOKUP(C119,'01_Products'!A:A,'01_Products'!B:B,"Missing Product"))</f>
        <v>#NAME?</v>
      </c>
      <c r="E119" s="2" t="e">
        <f ca="1">IF(C119="","",_xludf.XLOOKUP(C119,'01_Products'!A:A,'01_Products'!C:C,"Missing Type"))</f>
        <v>#NAME?</v>
      </c>
      <c r="F119" s="2" t="e">
        <f ca="1">IF(B119="","",_xludf.XLOOKUP(B119,'02_Features'!A:A,'02_Features'!C:C,"Missing Feature"))</f>
        <v>#NAME?</v>
      </c>
      <c r="G119" s="2" t="e">
        <f ca="1">IF(B119="","",_xludf.XLOOKUP(B119,'02_Features'!A:A,'02_Features'!E:E,"Missing Prompt"))</f>
        <v>#NAME?</v>
      </c>
      <c r="H119" s="2" t="str">
        <f>IF('03_Functionalities'!D119="","",'03_Functionalities'!D119)</f>
        <v>Security group object model</v>
      </c>
      <c r="I119" s="2" t="str">
        <f>IF('03_Functionalities'!E119="","",'03_Functionalities'!E119)</f>
        <v>Major functionality for security group object model.</v>
      </c>
      <c r="J119" s="2" t="str">
        <f>IF('03_Functionalities'!F119="","",'03_Functionalities'!F119)</f>
        <v>Includes major assessment behavior for security group object model in the context of security groups and dynamic membership.</v>
      </c>
      <c r="K119" s="2" t="str">
        <f>IF('03_Functionalities'!G119="","",'03_Functionalities'!G119)</f>
        <v>Excludes low-level configuration toggles, cosmetic UI behavior, and implementation-specific inventory minutiae unless they materially affect parity or risk.</v>
      </c>
      <c r="L119" s="2" t="str">
        <f>IF('03_Functionalities'!I119="","",'03_Functionalities'!I119)</f>
        <v>Security</v>
      </c>
      <c r="M119" s="2" t="str">
        <f>IF('03_Functionalities'!J119="","",'03_Functionalities'!J119)</f>
        <v>Security Policy</v>
      </c>
      <c r="N119" s="2" t="str">
        <f>IF('03_Functionalities'!K119="","",'03_Functionalities'!K119)</f>
        <v>High</v>
      </c>
      <c r="O119" s="2" t="str">
        <f>IF('03_Functionalities'!L119="","",'03_Functionalities'!L119)</f>
        <v>High</v>
      </c>
      <c r="P119" s="2" t="str">
        <f>IF('03_Functionalities'!M119="","",'03_Functionalities'!M119)</f>
        <v>Official vendor documentation, release notes, validated KB/article, product guide, or architecture reference with version applicability.</v>
      </c>
      <c r="Q119" s="2" t="str">
        <f>IF('03_Functionalities'!N119="","",'03_Functionalities'!N119)</f>
        <v>VCF 9.1 Security groups and dynamic membership Security group object model comparator parity evidence</v>
      </c>
      <c r="R119" s="2" t="str">
        <f>IF('03_Functionalities'!O119="","",'03_Functionalities'!O119)</f>
        <v>Yes</v>
      </c>
      <c r="S119" s="2" t="e">
        <f ca="1">IF(C119="","",_xludf.XLOOKUP(C119,'01_Products'!A:A,'01_Products'!K:K,0))</f>
        <v>#NAME?</v>
      </c>
      <c r="T119" s="2" t="e">
        <f ca="1">IF(B119="","",_xludf.XLOOKUP(B119,'02_Features'!A:A,'02_Features'!L:L,0))</f>
        <v>#NAME?</v>
      </c>
      <c r="U119" s="2">
        <f>IF('03_Functionalities'!P119="","",'03_Functionalities'!P119)</f>
        <v>1</v>
      </c>
      <c r="V119" s="2" t="str">
        <f>IF('03_Functionalities'!Q119="","",'03_Functionalities'!Q119)</f>
        <v>Draft</v>
      </c>
      <c r="W119" s="2" t="str">
        <f>IF('03_Functionalities'!R119="","",'03_Functionalities'!R119)</f>
        <v>https://techdocs.broadcom.com/us/en/vmware-cis/vcf/vcf-9-0-and-later/9-1/release-notes/vmware-cloud-foundation-9-1-0-0-release-notes/what-s-new/whats-new-vcf-cli-api-sdk/vcf-changelog.html</v>
      </c>
      <c r="X119" s="2" t="str">
        <f>IF('03_Functionalities'!S119="","",'03_Functionalities'!S119)</f>
        <v>High</v>
      </c>
    </row>
    <row r="120" spans="1:24" ht="71.25">
      <c r="A120" s="2" t="str">
        <f>IF('03_Functionalities'!A120="","",'03_Functionalities'!A120)</f>
        <v>FN-NSX-SEC-03-02</v>
      </c>
      <c r="B120" s="2" t="str">
        <f>IF('03_Functionalities'!B120="","",'03_Functionalities'!B120)</f>
        <v>FT-NSX-SEC-03</v>
      </c>
      <c r="C120" s="2" t="str">
        <f>IF('03_Functionalities'!C120="","",'03_Functionalities'!C120)</f>
        <v>PC-NSX-SEC</v>
      </c>
      <c r="D120" s="2" t="e">
        <f ca="1">IF(C120="","",_xludf.XLOOKUP(C120,'01_Products'!A:A,'01_Products'!B:B,"Missing Product"))</f>
        <v>#NAME?</v>
      </c>
      <c r="E120" s="2" t="e">
        <f ca="1">IF(C120="","",_xludf.XLOOKUP(C120,'01_Products'!A:A,'01_Products'!C:C,"Missing Type"))</f>
        <v>#NAME?</v>
      </c>
      <c r="F120" s="2" t="e">
        <f ca="1">IF(B120="","",_xludf.XLOOKUP(B120,'02_Features'!A:A,'02_Features'!C:C,"Missing Feature"))</f>
        <v>#NAME?</v>
      </c>
      <c r="G120" s="2" t="e">
        <f ca="1">IF(B120="","",_xludf.XLOOKUP(B120,'02_Features'!A:A,'02_Features'!E:E,"Missing Prompt"))</f>
        <v>#NAME?</v>
      </c>
      <c r="H120" s="2" t="str">
        <f>IF('03_Functionalities'!D120="","",'03_Functionalities'!D120)</f>
        <v>Tag-based dynamic membership</v>
      </c>
      <c r="I120" s="2" t="str">
        <f>IF('03_Functionalities'!E120="","",'03_Functionalities'!E120)</f>
        <v>Major functionality for tag-based dynamic membership.</v>
      </c>
      <c r="J120" s="2" t="str">
        <f>IF('03_Functionalities'!F120="","",'03_Functionalities'!F120)</f>
        <v>Includes major assessment behavior for tag-based dynamic membership in the context of security groups and dynamic membership.</v>
      </c>
      <c r="K120" s="2" t="str">
        <f>IF('03_Functionalities'!G120="","",'03_Functionalities'!G120)</f>
        <v>Excludes low-level configuration toggles, cosmetic UI behavior, and implementation-specific inventory minutiae unless they materially affect parity or risk.</v>
      </c>
      <c r="L120" s="2" t="str">
        <f>IF('03_Functionalities'!I120="","",'03_Functionalities'!I120)</f>
        <v>Security</v>
      </c>
      <c r="M120" s="2" t="str">
        <f>IF('03_Functionalities'!J120="","",'03_Functionalities'!J120)</f>
        <v>Security Policy</v>
      </c>
      <c r="N120" s="2" t="str">
        <f>IF('03_Functionalities'!K120="","",'03_Functionalities'!K120)</f>
        <v>High</v>
      </c>
      <c r="O120" s="2" t="str">
        <f>IF('03_Functionalities'!L120="","",'03_Functionalities'!L120)</f>
        <v>High</v>
      </c>
      <c r="P120" s="2" t="str">
        <f>IF('03_Functionalities'!M120="","",'03_Functionalities'!M120)</f>
        <v>Official vendor documentation, release notes, validated KB/article, product guide, or architecture reference with version applicability.</v>
      </c>
      <c r="Q120" s="2" t="str">
        <f>IF('03_Functionalities'!N120="","",'03_Functionalities'!N120)</f>
        <v>VCF 9.1 Security groups and dynamic membership Tag-based dynamic membership comparator parity evidence</v>
      </c>
      <c r="R120" s="2" t="str">
        <f>IF('03_Functionalities'!O120="","",'03_Functionalities'!O120)</f>
        <v>Yes</v>
      </c>
      <c r="S120" s="2" t="e">
        <f ca="1">IF(C120="","",_xludf.XLOOKUP(C120,'01_Products'!A:A,'01_Products'!K:K,0))</f>
        <v>#NAME?</v>
      </c>
      <c r="T120" s="2" t="e">
        <f ca="1">IF(B120="","",_xludf.XLOOKUP(B120,'02_Features'!A:A,'02_Features'!L:L,0))</f>
        <v>#NAME?</v>
      </c>
      <c r="U120" s="2">
        <f>IF('03_Functionalities'!P120="","",'03_Functionalities'!P120)</f>
        <v>2</v>
      </c>
      <c r="V120" s="2" t="str">
        <f>IF('03_Functionalities'!Q120="","",'03_Functionalities'!Q120)</f>
        <v>Draft</v>
      </c>
      <c r="W120" s="2" t="str">
        <f>IF('03_Functionalities'!R120="","",'03_Functionalities'!R120)</f>
        <v>https://techdocs.broadcom.com/us/en/vmware-cis/vcf/vcf-9-0-and-later/9-1/release-notes/vmware-cloud-foundation-9-1-0-0-release-notes/what-s-new/whats-new-vcf-cli-api-sdk/vcf-changelog.html</v>
      </c>
      <c r="X120" s="2" t="str">
        <f>IF('03_Functionalities'!S120="","",'03_Functionalities'!S120)</f>
        <v>High</v>
      </c>
    </row>
    <row r="121" spans="1:24" ht="71.25">
      <c r="A121" s="2" t="str">
        <f>IF('03_Functionalities'!A121="","",'03_Functionalities'!A121)</f>
        <v>FN-NSX-SEC-03-03</v>
      </c>
      <c r="B121" s="2" t="str">
        <f>IF('03_Functionalities'!B121="","",'03_Functionalities'!B121)</f>
        <v>FT-NSX-SEC-03</v>
      </c>
      <c r="C121" s="2" t="str">
        <f>IF('03_Functionalities'!C121="","",'03_Functionalities'!C121)</f>
        <v>PC-NSX-SEC</v>
      </c>
      <c r="D121" s="2" t="e">
        <f ca="1">IF(C121="","",_xludf.XLOOKUP(C121,'01_Products'!A:A,'01_Products'!B:B,"Missing Product"))</f>
        <v>#NAME?</v>
      </c>
      <c r="E121" s="2" t="e">
        <f ca="1">IF(C121="","",_xludf.XLOOKUP(C121,'01_Products'!A:A,'01_Products'!C:C,"Missing Type"))</f>
        <v>#NAME?</v>
      </c>
      <c r="F121" s="2" t="e">
        <f ca="1">IF(B121="","",_xludf.XLOOKUP(B121,'02_Features'!A:A,'02_Features'!C:C,"Missing Feature"))</f>
        <v>#NAME?</v>
      </c>
      <c r="G121" s="2" t="e">
        <f ca="1">IF(B121="","",_xludf.XLOOKUP(B121,'02_Features'!A:A,'02_Features'!E:E,"Missing Prompt"))</f>
        <v>#NAME?</v>
      </c>
      <c r="H121" s="2" t="str">
        <f>IF('03_Functionalities'!D121="","",'03_Functionalities'!D121)</f>
        <v>Policy targeting and exception control</v>
      </c>
      <c r="I121" s="2" t="str">
        <f>IF('03_Functionalities'!E121="","",'03_Functionalities'!E121)</f>
        <v>Major functionality for policy targeting and exception control.</v>
      </c>
      <c r="J121" s="2" t="str">
        <f>IF('03_Functionalities'!F121="","",'03_Functionalities'!F121)</f>
        <v>Includes major assessment behavior for policy targeting and exception control in the context of security groups and dynamic membership.</v>
      </c>
      <c r="K121" s="2" t="str">
        <f>IF('03_Functionalities'!G121="","",'03_Functionalities'!G121)</f>
        <v>Excludes low-level configuration toggles, cosmetic UI behavior, and implementation-specific inventory minutiae unless they materially affect parity or risk.</v>
      </c>
      <c r="L121" s="2" t="str">
        <f>IF('03_Functionalities'!I121="","",'03_Functionalities'!I121)</f>
        <v>Security</v>
      </c>
      <c r="M121" s="2" t="str">
        <f>IF('03_Functionalities'!J121="","",'03_Functionalities'!J121)</f>
        <v>Security Policy</v>
      </c>
      <c r="N121" s="2" t="str">
        <f>IF('03_Functionalities'!K121="","",'03_Functionalities'!K121)</f>
        <v>High</v>
      </c>
      <c r="O121" s="2" t="str">
        <f>IF('03_Functionalities'!L121="","",'03_Functionalities'!L121)</f>
        <v>High</v>
      </c>
      <c r="P121" s="2" t="str">
        <f>IF('03_Functionalities'!M121="","",'03_Functionalities'!M121)</f>
        <v>Official vendor documentation, release notes, validated KB/article, product guide, or architecture reference with version applicability.</v>
      </c>
      <c r="Q121" s="2" t="str">
        <f>IF('03_Functionalities'!N121="","",'03_Functionalities'!N121)</f>
        <v>VCF 9.1 Security groups and dynamic membership Policy targeting and exception control comparator parity evidence</v>
      </c>
      <c r="R121" s="2" t="str">
        <f>IF('03_Functionalities'!O121="","",'03_Functionalities'!O121)</f>
        <v>Yes</v>
      </c>
      <c r="S121" s="2" t="e">
        <f ca="1">IF(C121="","",_xludf.XLOOKUP(C121,'01_Products'!A:A,'01_Products'!K:K,0))</f>
        <v>#NAME?</v>
      </c>
      <c r="T121" s="2" t="e">
        <f ca="1">IF(B121="","",_xludf.XLOOKUP(B121,'02_Features'!A:A,'02_Features'!L:L,0))</f>
        <v>#NAME?</v>
      </c>
      <c r="U121" s="2">
        <f>IF('03_Functionalities'!P121="","",'03_Functionalities'!P121)</f>
        <v>3</v>
      </c>
      <c r="V121" s="2" t="str">
        <f>IF('03_Functionalities'!Q121="","",'03_Functionalities'!Q121)</f>
        <v>Draft</v>
      </c>
      <c r="W121" s="2" t="str">
        <f>IF('03_Functionalities'!R121="","",'03_Functionalities'!R121)</f>
        <v>https://techdocs.broadcom.com/us/en/vmware-cis/vcf/vcf-9-0-and-later/9-1/release-notes/vmware-cloud-foundation-9-1-0-0-release-notes/what-s-new/whats-new-vcf-cli-api-sdk/vcf-changelog.html</v>
      </c>
      <c r="X121" s="2" t="str">
        <f>IF('03_Functionalities'!S121="","",'03_Functionalities'!S121)</f>
        <v>High</v>
      </c>
    </row>
    <row r="122" spans="1:24" ht="57">
      <c r="A122" s="2" t="str">
        <f>IF('03_Functionalities'!A122="","",'03_Functionalities'!A122)</f>
        <v>FN-NSX-SEC-04-01</v>
      </c>
      <c r="B122" s="2" t="str">
        <f>IF('03_Functionalities'!B122="","",'03_Functionalities'!B122)</f>
        <v>FT-NSX-SEC-04</v>
      </c>
      <c r="C122" s="2" t="str">
        <f>IF('03_Functionalities'!C122="","",'03_Functionalities'!C122)</f>
        <v>PC-NSX-SEC</v>
      </c>
      <c r="D122" s="2" t="e">
        <f ca="1">IF(C122="","",_xludf.XLOOKUP(C122,'01_Products'!A:A,'01_Products'!B:B,"Missing Product"))</f>
        <v>#NAME?</v>
      </c>
      <c r="E122" s="2" t="e">
        <f ca="1">IF(C122="","",_xludf.XLOOKUP(C122,'01_Products'!A:A,'01_Products'!C:C,"Missing Type"))</f>
        <v>#NAME?</v>
      </c>
      <c r="F122" s="2" t="e">
        <f ca="1">IF(B122="","",_xludf.XLOOKUP(B122,'02_Features'!A:A,'02_Features'!C:C,"Missing Feature"))</f>
        <v>#NAME?</v>
      </c>
      <c r="G122" s="2" t="e">
        <f ca="1">IF(B122="","",_xludf.XLOOKUP(B122,'02_Features'!A:A,'02_Features'!E:E,"Missing Prompt"))</f>
        <v>#NAME?</v>
      </c>
      <c r="H122" s="2" t="str">
        <f>IF('03_Functionalities'!D122="","",'03_Functionalities'!D122)</f>
        <v>IDS/IPS policy attachment</v>
      </c>
      <c r="I122" s="2" t="str">
        <f>IF('03_Functionalities'!E122="","",'03_Functionalities'!E122)</f>
        <v>Major functionality for ids/ips policy attachment.</v>
      </c>
      <c r="J122" s="2" t="str">
        <f>IF('03_Functionalities'!F122="","",'03_Functionalities'!F122)</f>
        <v>Includes major assessment behavior for ids/ips policy attachment in the context of ids/ips and advanced threat controls.</v>
      </c>
      <c r="K122" s="2" t="str">
        <f>IF('03_Functionalities'!G122="","",'03_Functionalities'!G122)</f>
        <v>Excludes low-level configuration toggles, cosmetic UI behavior, and implementation-specific inventory minutiae unless they materially affect parity or risk.</v>
      </c>
      <c r="L122" s="2" t="str">
        <f>IF('03_Functionalities'!I122="","",'03_Functionalities'!I122)</f>
        <v>Security</v>
      </c>
      <c r="M122" s="2" t="str">
        <f>IF('03_Functionalities'!J122="","",'03_Functionalities'!J122)</f>
        <v>Threat Controls</v>
      </c>
      <c r="N122" s="2" t="str">
        <f>IF('03_Functionalities'!K122="","",'03_Functionalities'!K122)</f>
        <v>High</v>
      </c>
      <c r="O122" s="2" t="str">
        <f>IF('03_Functionalities'!L122="","",'03_Functionalities'!L122)</f>
        <v>High</v>
      </c>
      <c r="P122" s="2" t="str">
        <f>IF('03_Functionalities'!M122="","",'03_Functionalities'!M122)</f>
        <v>Official vendor documentation, release notes, validated KB/article, product guide, or architecture reference with version applicability.</v>
      </c>
      <c r="Q122" s="2" t="str">
        <f>IF('03_Functionalities'!N122="","",'03_Functionalities'!N122)</f>
        <v>VCF 9.1 IDS/IPS and advanced threat controls IDS/IPS policy attachment comparator parity evidence</v>
      </c>
      <c r="R122" s="2" t="str">
        <f>IF('03_Functionalities'!O122="","",'03_Functionalities'!O122)</f>
        <v>Yes</v>
      </c>
      <c r="S122" s="2" t="e">
        <f ca="1">IF(C122="","",_xludf.XLOOKUP(C122,'01_Products'!A:A,'01_Products'!K:K,0))</f>
        <v>#NAME?</v>
      </c>
      <c r="T122" s="2" t="e">
        <f ca="1">IF(B122="","",_xludf.XLOOKUP(B122,'02_Features'!A:A,'02_Features'!L:L,0))</f>
        <v>#NAME?</v>
      </c>
      <c r="U122" s="2">
        <f>IF('03_Functionalities'!P122="","",'03_Functionalities'!P122)</f>
        <v>1</v>
      </c>
      <c r="V122" s="2" t="str">
        <f>IF('03_Functionalities'!Q122="","",'03_Functionalities'!Q122)</f>
        <v>Draft</v>
      </c>
      <c r="W122" s="2" t="str">
        <f>IF('03_Functionalities'!R122="","",'03_Functionalities'!R122)</f>
        <v>https://www.vmware.com/docs/vmware-cloud-foundation-9-1-feature-comparison-and-upgrade-paths</v>
      </c>
      <c r="X122" s="2" t="str">
        <f>IF('03_Functionalities'!S122="","",'03_Functionalities'!S122)</f>
        <v>High</v>
      </c>
    </row>
    <row r="123" spans="1:24" ht="57">
      <c r="A123" s="2" t="str">
        <f>IF('03_Functionalities'!A123="","",'03_Functionalities'!A123)</f>
        <v>FN-NSX-SEC-04-02</v>
      </c>
      <c r="B123" s="2" t="str">
        <f>IF('03_Functionalities'!B123="","",'03_Functionalities'!B123)</f>
        <v>FT-NSX-SEC-04</v>
      </c>
      <c r="C123" s="2" t="str">
        <f>IF('03_Functionalities'!C123="","",'03_Functionalities'!C123)</f>
        <v>PC-NSX-SEC</v>
      </c>
      <c r="D123" s="2" t="e">
        <f ca="1">IF(C123="","",_xludf.XLOOKUP(C123,'01_Products'!A:A,'01_Products'!B:B,"Missing Product"))</f>
        <v>#NAME?</v>
      </c>
      <c r="E123" s="2" t="e">
        <f ca="1">IF(C123="","",_xludf.XLOOKUP(C123,'01_Products'!A:A,'01_Products'!C:C,"Missing Type"))</f>
        <v>#NAME?</v>
      </c>
      <c r="F123" s="2" t="e">
        <f ca="1">IF(B123="","",_xludf.XLOOKUP(B123,'02_Features'!A:A,'02_Features'!C:C,"Missing Feature"))</f>
        <v>#NAME?</v>
      </c>
      <c r="G123" s="2" t="e">
        <f ca="1">IF(B123="","",_xludf.XLOOKUP(B123,'02_Features'!A:A,'02_Features'!E:E,"Missing Prompt"))</f>
        <v>#NAME?</v>
      </c>
      <c r="H123" s="2" t="str">
        <f>IF('03_Functionalities'!D123="","",'03_Functionalities'!D123)</f>
        <v>Threat inspection capability</v>
      </c>
      <c r="I123" s="2" t="str">
        <f>IF('03_Functionalities'!E123="","",'03_Functionalities'!E123)</f>
        <v>Major functionality for threat inspection capability.</v>
      </c>
      <c r="J123" s="2" t="str">
        <f>IF('03_Functionalities'!F123="","",'03_Functionalities'!F123)</f>
        <v>Includes major assessment behavior for threat inspection capability in the context of ids/ips and advanced threat controls.</v>
      </c>
      <c r="K123" s="2" t="str">
        <f>IF('03_Functionalities'!G123="","",'03_Functionalities'!G123)</f>
        <v>Excludes low-level configuration toggles, cosmetic UI behavior, and implementation-specific inventory minutiae unless they materially affect parity or risk.</v>
      </c>
      <c r="L123" s="2" t="str">
        <f>IF('03_Functionalities'!I123="","",'03_Functionalities'!I123)</f>
        <v>Security</v>
      </c>
      <c r="M123" s="2" t="str">
        <f>IF('03_Functionalities'!J123="","",'03_Functionalities'!J123)</f>
        <v>Threat Controls</v>
      </c>
      <c r="N123" s="2" t="str">
        <f>IF('03_Functionalities'!K123="","",'03_Functionalities'!K123)</f>
        <v>High</v>
      </c>
      <c r="O123" s="2" t="str">
        <f>IF('03_Functionalities'!L123="","",'03_Functionalities'!L123)</f>
        <v>High</v>
      </c>
      <c r="P123" s="2" t="str">
        <f>IF('03_Functionalities'!M123="","",'03_Functionalities'!M123)</f>
        <v>Official vendor documentation, release notes, validated KB/article, product guide, or architecture reference with version applicability.</v>
      </c>
      <c r="Q123" s="2" t="str">
        <f>IF('03_Functionalities'!N123="","",'03_Functionalities'!N123)</f>
        <v>VCF 9.1 IDS/IPS and advanced threat controls Threat inspection capability comparator parity evidence</v>
      </c>
      <c r="R123" s="2" t="str">
        <f>IF('03_Functionalities'!O123="","",'03_Functionalities'!O123)</f>
        <v>Yes</v>
      </c>
      <c r="S123" s="2" t="e">
        <f ca="1">IF(C123="","",_xludf.XLOOKUP(C123,'01_Products'!A:A,'01_Products'!K:K,0))</f>
        <v>#NAME?</v>
      </c>
      <c r="T123" s="2" t="e">
        <f ca="1">IF(B123="","",_xludf.XLOOKUP(B123,'02_Features'!A:A,'02_Features'!L:L,0))</f>
        <v>#NAME?</v>
      </c>
      <c r="U123" s="2">
        <f>IF('03_Functionalities'!P123="","",'03_Functionalities'!P123)</f>
        <v>2</v>
      </c>
      <c r="V123" s="2" t="str">
        <f>IF('03_Functionalities'!Q123="","",'03_Functionalities'!Q123)</f>
        <v>Draft</v>
      </c>
      <c r="W123" s="2" t="str">
        <f>IF('03_Functionalities'!R123="","",'03_Functionalities'!R123)</f>
        <v>https://www.vmware.com/docs/vmware-cloud-foundation-9-1-feature-comparison-and-upgrade-paths</v>
      </c>
      <c r="X123" s="2" t="str">
        <f>IF('03_Functionalities'!S123="","",'03_Functionalities'!S123)</f>
        <v>High</v>
      </c>
    </row>
    <row r="124" spans="1:24" ht="57">
      <c r="A124" s="2" t="str">
        <f>IF('03_Functionalities'!A124="","",'03_Functionalities'!A124)</f>
        <v>FN-NSX-SEC-04-03</v>
      </c>
      <c r="B124" s="2" t="str">
        <f>IF('03_Functionalities'!B124="","",'03_Functionalities'!B124)</f>
        <v>FT-NSX-SEC-04</v>
      </c>
      <c r="C124" s="2" t="str">
        <f>IF('03_Functionalities'!C124="","",'03_Functionalities'!C124)</f>
        <v>PC-NSX-SEC</v>
      </c>
      <c r="D124" s="2" t="e">
        <f ca="1">IF(C124="","",_xludf.XLOOKUP(C124,'01_Products'!A:A,'01_Products'!B:B,"Missing Product"))</f>
        <v>#NAME?</v>
      </c>
      <c r="E124" s="2" t="e">
        <f ca="1">IF(C124="","",_xludf.XLOOKUP(C124,'01_Products'!A:A,'01_Products'!C:C,"Missing Type"))</f>
        <v>#NAME?</v>
      </c>
      <c r="F124" s="2" t="e">
        <f ca="1">IF(B124="","",_xludf.XLOOKUP(B124,'02_Features'!A:A,'02_Features'!C:C,"Missing Feature"))</f>
        <v>#NAME?</v>
      </c>
      <c r="G124" s="2" t="e">
        <f ca="1">IF(B124="","",_xludf.XLOOKUP(B124,'02_Features'!A:A,'02_Features'!E:E,"Missing Prompt"))</f>
        <v>#NAME?</v>
      </c>
      <c r="H124" s="2" t="str">
        <f>IF('03_Functionalities'!D124="","",'03_Functionalities'!D124)</f>
        <v>Advanced-security add-on dependency</v>
      </c>
      <c r="I124" s="2" t="str">
        <f>IF('03_Functionalities'!E124="","",'03_Functionalities'!E124)</f>
        <v>Major functionality for advanced-security add-on dependency.</v>
      </c>
      <c r="J124" s="2" t="str">
        <f>IF('03_Functionalities'!F124="","",'03_Functionalities'!F124)</f>
        <v>Includes major assessment behavior for advanced-security add-on dependency in the context of ids/ips and advanced threat controls.</v>
      </c>
      <c r="K124" s="2" t="str">
        <f>IF('03_Functionalities'!G124="","",'03_Functionalities'!G124)</f>
        <v>Excludes low-level configuration toggles, cosmetic UI behavior, and implementation-specific inventory minutiae unless they materially affect parity or risk.</v>
      </c>
      <c r="L124" s="2" t="str">
        <f>IF('03_Functionalities'!I124="","",'03_Functionalities'!I124)</f>
        <v>Security</v>
      </c>
      <c r="M124" s="2" t="str">
        <f>IF('03_Functionalities'!J124="","",'03_Functionalities'!J124)</f>
        <v>Threat Controls</v>
      </c>
      <c r="N124" s="2" t="str">
        <f>IF('03_Functionalities'!K124="","",'03_Functionalities'!K124)</f>
        <v>High</v>
      </c>
      <c r="O124" s="2" t="str">
        <f>IF('03_Functionalities'!L124="","",'03_Functionalities'!L124)</f>
        <v>High</v>
      </c>
      <c r="P124" s="2" t="str">
        <f>IF('03_Functionalities'!M124="","",'03_Functionalities'!M124)</f>
        <v>Official vendor documentation, release notes, validated KB/article, product guide, or architecture reference with version applicability.</v>
      </c>
      <c r="Q124" s="2" t="str">
        <f>IF('03_Functionalities'!N124="","",'03_Functionalities'!N124)</f>
        <v>VCF 9.1 IDS/IPS and advanced threat controls Advanced-security add-on dependency comparator parity evidence</v>
      </c>
      <c r="R124" s="2" t="str">
        <f>IF('03_Functionalities'!O124="","",'03_Functionalities'!O124)</f>
        <v>Yes</v>
      </c>
      <c r="S124" s="2" t="e">
        <f ca="1">IF(C124="","",_xludf.XLOOKUP(C124,'01_Products'!A:A,'01_Products'!K:K,0))</f>
        <v>#NAME?</v>
      </c>
      <c r="T124" s="2" t="e">
        <f ca="1">IF(B124="","",_xludf.XLOOKUP(B124,'02_Features'!A:A,'02_Features'!L:L,0))</f>
        <v>#NAME?</v>
      </c>
      <c r="U124" s="2">
        <f>IF('03_Functionalities'!P124="","",'03_Functionalities'!P124)</f>
        <v>3</v>
      </c>
      <c r="V124" s="2" t="str">
        <f>IF('03_Functionalities'!Q124="","",'03_Functionalities'!Q124)</f>
        <v>Draft</v>
      </c>
      <c r="W124" s="2" t="str">
        <f>IF('03_Functionalities'!R124="","",'03_Functionalities'!R124)</f>
        <v>https://www.vmware.com/docs/vmware-cloud-foundation-9-1-feature-comparison-and-upgrade-paths</v>
      </c>
      <c r="X124" s="2" t="str">
        <f>IF('03_Functionalities'!S124="","",'03_Functionalities'!S124)</f>
        <v>High</v>
      </c>
    </row>
    <row r="125" spans="1:24" ht="71.25">
      <c r="A125" s="2" t="str">
        <f>IF('03_Functionalities'!A125="","",'03_Functionalities'!A125)</f>
        <v>FN-NSX-SEC-05-01</v>
      </c>
      <c r="B125" s="2" t="str">
        <f>IF('03_Functionalities'!B125="","",'03_Functionalities'!B125)</f>
        <v>FT-NSX-SEC-05</v>
      </c>
      <c r="C125" s="2" t="str">
        <f>IF('03_Functionalities'!C125="","",'03_Functionalities'!C125)</f>
        <v>PC-NSX-SEC</v>
      </c>
      <c r="D125" s="2" t="e">
        <f ca="1">IF(C125="","",_xludf.XLOOKUP(C125,'01_Products'!A:A,'01_Products'!B:B,"Missing Product"))</f>
        <v>#NAME?</v>
      </c>
      <c r="E125" s="2" t="e">
        <f ca="1">IF(C125="","",_xludf.XLOOKUP(C125,'01_Products'!A:A,'01_Products'!C:C,"Missing Type"))</f>
        <v>#NAME?</v>
      </c>
      <c r="F125" s="2" t="e">
        <f ca="1">IF(B125="","",_xludf.XLOOKUP(B125,'02_Features'!A:A,'02_Features'!C:C,"Missing Feature"))</f>
        <v>#NAME?</v>
      </c>
      <c r="G125" s="2" t="e">
        <f ca="1">IF(B125="","",_xludf.XLOOKUP(B125,'02_Features'!A:A,'02_Features'!E:E,"Missing Prompt"))</f>
        <v>#NAME?</v>
      </c>
      <c r="H125" s="2" t="str">
        <f>IF('03_Functionalities'!D125="","",'03_Functionalities'!D125)</f>
        <v>Firewall log capture</v>
      </c>
      <c r="I125" s="2" t="str">
        <f>IF('03_Functionalities'!E125="","",'03_Functionalities'!E125)</f>
        <v>Major functionality for firewall log capture.</v>
      </c>
      <c r="J125" s="2" t="str">
        <f>IF('03_Functionalities'!F125="","",'03_Functionalities'!F125)</f>
        <v>Includes major assessment behavior for firewall log capture in the context of network security logging and compliance evidence.</v>
      </c>
      <c r="K125" s="2" t="str">
        <f>IF('03_Functionalities'!G125="","",'03_Functionalities'!G125)</f>
        <v>Excludes low-level configuration toggles, cosmetic UI behavior, and implementation-specific inventory minutiae unless they materially affect parity or risk.</v>
      </c>
      <c r="L125" s="2" t="str">
        <f>IF('03_Functionalities'!I125="","",'03_Functionalities'!I125)</f>
        <v>Security</v>
      </c>
      <c r="M125" s="2" t="str">
        <f>IF('03_Functionalities'!J125="","",'03_Functionalities'!J125)</f>
        <v>Security Evidence</v>
      </c>
      <c r="N125" s="2" t="str">
        <f>IF('03_Functionalities'!K125="","",'03_Functionalities'!K125)</f>
        <v>High</v>
      </c>
      <c r="O125" s="2" t="str">
        <f>IF('03_Functionalities'!L125="","",'03_Functionalities'!L125)</f>
        <v>High</v>
      </c>
      <c r="P125" s="2" t="str">
        <f>IF('03_Functionalities'!M125="","",'03_Functionalities'!M125)</f>
        <v>Official vendor documentation, release notes, validated KB/article, product guide, or architecture reference with version applicability.</v>
      </c>
      <c r="Q125" s="2" t="str">
        <f>IF('03_Functionalities'!N125="","",'03_Functionalities'!N125)</f>
        <v>VCF 9.1 Network security logging and compliance evidence Firewall log capture comparator parity evidence</v>
      </c>
      <c r="R125" s="2" t="str">
        <f>IF('03_Functionalities'!O125="","",'03_Functionalities'!O125)</f>
        <v>Yes</v>
      </c>
      <c r="S125" s="2" t="e">
        <f ca="1">IF(C125="","",_xludf.XLOOKUP(C125,'01_Products'!A:A,'01_Products'!K:K,0))</f>
        <v>#NAME?</v>
      </c>
      <c r="T125" s="2" t="e">
        <f ca="1">IF(B125="","",_xludf.XLOOKUP(B125,'02_Features'!A:A,'02_Features'!L:L,0))</f>
        <v>#NAME?</v>
      </c>
      <c r="U125" s="2">
        <f>IF('03_Functionalities'!P125="","",'03_Functionalities'!P125)</f>
        <v>1</v>
      </c>
      <c r="V125" s="2" t="str">
        <f>IF('03_Functionalities'!Q125="","",'03_Functionalities'!Q125)</f>
        <v>Draft</v>
      </c>
      <c r="W125" s="2" t="str">
        <f>IF('03_Functionalities'!R125="","",'03_Functionalities'!R125)</f>
        <v>https://techdocs.broadcom.com/us/en/vmware-cis/vcf/vcf-9-0-and-later/9-1/release-notes/vmware-cloud-foundation-9-1-0-0-release-notes/what-s-new/whats-new-vcf-ops.html</v>
      </c>
      <c r="X125" s="2" t="str">
        <f>IF('03_Functionalities'!S125="","",'03_Functionalities'!S125)</f>
        <v>High</v>
      </c>
    </row>
    <row r="126" spans="1:24" ht="71.25">
      <c r="A126" s="2" t="str">
        <f>IF('03_Functionalities'!A126="","",'03_Functionalities'!A126)</f>
        <v>FN-NSX-SEC-05-02</v>
      </c>
      <c r="B126" s="2" t="str">
        <f>IF('03_Functionalities'!B126="","",'03_Functionalities'!B126)</f>
        <v>FT-NSX-SEC-05</v>
      </c>
      <c r="C126" s="2" t="str">
        <f>IF('03_Functionalities'!C126="","",'03_Functionalities'!C126)</f>
        <v>PC-NSX-SEC</v>
      </c>
      <c r="D126" s="2" t="e">
        <f ca="1">IF(C126="","",_xludf.XLOOKUP(C126,'01_Products'!A:A,'01_Products'!B:B,"Missing Product"))</f>
        <v>#NAME?</v>
      </c>
      <c r="E126" s="2" t="e">
        <f ca="1">IF(C126="","",_xludf.XLOOKUP(C126,'01_Products'!A:A,'01_Products'!C:C,"Missing Type"))</f>
        <v>#NAME?</v>
      </c>
      <c r="F126" s="2" t="e">
        <f ca="1">IF(B126="","",_xludf.XLOOKUP(B126,'02_Features'!A:A,'02_Features'!C:C,"Missing Feature"))</f>
        <v>#NAME?</v>
      </c>
      <c r="G126" s="2" t="e">
        <f ca="1">IF(B126="","",_xludf.XLOOKUP(B126,'02_Features'!A:A,'02_Features'!E:E,"Missing Prompt"))</f>
        <v>#NAME?</v>
      </c>
      <c r="H126" s="2" t="str">
        <f>IF('03_Functionalities'!D126="","",'03_Functionalities'!D126)</f>
        <v>Policy compliance evidence</v>
      </c>
      <c r="I126" s="2" t="str">
        <f>IF('03_Functionalities'!E126="","",'03_Functionalities'!E126)</f>
        <v>Major functionality for policy compliance evidence.</v>
      </c>
      <c r="J126" s="2" t="str">
        <f>IF('03_Functionalities'!F126="","",'03_Functionalities'!F126)</f>
        <v>Includes major assessment behavior for policy compliance evidence in the context of network security logging and compliance evidence.</v>
      </c>
      <c r="K126" s="2" t="str">
        <f>IF('03_Functionalities'!G126="","",'03_Functionalities'!G126)</f>
        <v>Excludes low-level configuration toggles, cosmetic UI behavior, and implementation-specific inventory minutiae unless they materially affect parity or risk.</v>
      </c>
      <c r="L126" s="2" t="str">
        <f>IF('03_Functionalities'!I126="","",'03_Functionalities'!I126)</f>
        <v>Security</v>
      </c>
      <c r="M126" s="2" t="str">
        <f>IF('03_Functionalities'!J126="","",'03_Functionalities'!J126)</f>
        <v>Security Evidence</v>
      </c>
      <c r="N126" s="2" t="str">
        <f>IF('03_Functionalities'!K126="","",'03_Functionalities'!K126)</f>
        <v>High</v>
      </c>
      <c r="O126" s="2" t="str">
        <f>IF('03_Functionalities'!L126="","",'03_Functionalities'!L126)</f>
        <v>High</v>
      </c>
      <c r="P126" s="2" t="str">
        <f>IF('03_Functionalities'!M126="","",'03_Functionalities'!M126)</f>
        <v>Official vendor documentation, release notes, validated KB/article, product guide, or architecture reference with version applicability.</v>
      </c>
      <c r="Q126" s="2" t="str">
        <f>IF('03_Functionalities'!N126="","",'03_Functionalities'!N126)</f>
        <v>VCF 9.1 Network security logging and compliance evidence Policy compliance evidence comparator parity evidence</v>
      </c>
      <c r="R126" s="2" t="str">
        <f>IF('03_Functionalities'!O126="","",'03_Functionalities'!O126)</f>
        <v>Yes</v>
      </c>
      <c r="S126" s="2" t="e">
        <f ca="1">IF(C126="","",_xludf.XLOOKUP(C126,'01_Products'!A:A,'01_Products'!K:K,0))</f>
        <v>#NAME?</v>
      </c>
      <c r="T126" s="2" t="e">
        <f ca="1">IF(B126="","",_xludf.XLOOKUP(B126,'02_Features'!A:A,'02_Features'!L:L,0))</f>
        <v>#NAME?</v>
      </c>
      <c r="U126" s="2">
        <f>IF('03_Functionalities'!P126="","",'03_Functionalities'!P126)</f>
        <v>2</v>
      </c>
      <c r="V126" s="2" t="str">
        <f>IF('03_Functionalities'!Q126="","",'03_Functionalities'!Q126)</f>
        <v>Draft</v>
      </c>
      <c r="W126" s="2" t="str">
        <f>IF('03_Functionalities'!R126="","",'03_Functionalities'!R126)</f>
        <v>https://techdocs.broadcom.com/us/en/vmware-cis/vcf/vcf-9-0-and-later/9-1/release-notes/vmware-cloud-foundation-9-1-0-0-release-notes/what-s-new/whats-new-vcf-ops.html</v>
      </c>
      <c r="X126" s="2" t="str">
        <f>IF('03_Functionalities'!S126="","",'03_Functionalities'!S126)</f>
        <v>High</v>
      </c>
    </row>
    <row r="127" spans="1:24" ht="71.25">
      <c r="A127" s="2" t="str">
        <f>IF('03_Functionalities'!A127="","",'03_Functionalities'!A127)</f>
        <v>FN-NSX-SEC-05-03</v>
      </c>
      <c r="B127" s="2" t="str">
        <f>IF('03_Functionalities'!B127="","",'03_Functionalities'!B127)</f>
        <v>FT-NSX-SEC-05</v>
      </c>
      <c r="C127" s="2" t="str">
        <f>IF('03_Functionalities'!C127="","",'03_Functionalities'!C127)</f>
        <v>PC-NSX-SEC</v>
      </c>
      <c r="D127" s="2" t="e">
        <f ca="1">IF(C127="","",_xludf.XLOOKUP(C127,'01_Products'!A:A,'01_Products'!B:B,"Missing Product"))</f>
        <v>#NAME?</v>
      </c>
      <c r="E127" s="2" t="e">
        <f ca="1">IF(C127="","",_xludf.XLOOKUP(C127,'01_Products'!A:A,'01_Products'!C:C,"Missing Type"))</f>
        <v>#NAME?</v>
      </c>
      <c r="F127" s="2" t="e">
        <f ca="1">IF(B127="","",_xludf.XLOOKUP(B127,'02_Features'!A:A,'02_Features'!C:C,"Missing Feature"))</f>
        <v>#NAME?</v>
      </c>
      <c r="G127" s="2" t="e">
        <f ca="1">IF(B127="","",_xludf.XLOOKUP(B127,'02_Features'!A:A,'02_Features'!E:E,"Missing Prompt"))</f>
        <v>#NAME?</v>
      </c>
      <c r="H127" s="2" t="str">
        <f>IF('03_Functionalities'!D127="","",'03_Functionalities'!D127)</f>
        <v>Security audit trail and exportability</v>
      </c>
      <c r="I127" s="2" t="str">
        <f>IF('03_Functionalities'!E127="","",'03_Functionalities'!E127)</f>
        <v>Major functionality for security audit trail and exportability.</v>
      </c>
      <c r="J127" s="2" t="str">
        <f>IF('03_Functionalities'!F127="","",'03_Functionalities'!F127)</f>
        <v>Includes major assessment behavior for security audit trail and exportability in the context of network security logging and compliance evidence.</v>
      </c>
      <c r="K127" s="2" t="str">
        <f>IF('03_Functionalities'!G127="","",'03_Functionalities'!G127)</f>
        <v>Excludes low-level configuration toggles, cosmetic UI behavior, and implementation-specific inventory minutiae unless they materially affect parity or risk.</v>
      </c>
      <c r="L127" s="2" t="str">
        <f>IF('03_Functionalities'!I127="","",'03_Functionalities'!I127)</f>
        <v>Security</v>
      </c>
      <c r="M127" s="2" t="str">
        <f>IF('03_Functionalities'!J127="","",'03_Functionalities'!J127)</f>
        <v>Security Evidence</v>
      </c>
      <c r="N127" s="2" t="str">
        <f>IF('03_Functionalities'!K127="","",'03_Functionalities'!K127)</f>
        <v>High</v>
      </c>
      <c r="O127" s="2" t="str">
        <f>IF('03_Functionalities'!L127="","",'03_Functionalities'!L127)</f>
        <v>High</v>
      </c>
      <c r="P127" s="2" t="str">
        <f>IF('03_Functionalities'!M127="","",'03_Functionalities'!M127)</f>
        <v>Official vendor documentation, release notes, validated KB/article, product guide, or architecture reference with version applicability.</v>
      </c>
      <c r="Q127" s="2" t="str">
        <f>IF('03_Functionalities'!N127="","",'03_Functionalities'!N127)</f>
        <v>VCF 9.1 Network security logging and compliance evidence Security audit trail and exportability comparator parity evidence</v>
      </c>
      <c r="R127" s="2" t="str">
        <f>IF('03_Functionalities'!O127="","",'03_Functionalities'!O127)</f>
        <v>Yes</v>
      </c>
      <c r="S127" s="2" t="e">
        <f ca="1">IF(C127="","",_xludf.XLOOKUP(C127,'01_Products'!A:A,'01_Products'!K:K,0))</f>
        <v>#NAME?</v>
      </c>
      <c r="T127" s="2" t="e">
        <f ca="1">IF(B127="","",_xludf.XLOOKUP(B127,'02_Features'!A:A,'02_Features'!L:L,0))</f>
        <v>#NAME?</v>
      </c>
      <c r="U127" s="2">
        <f>IF('03_Functionalities'!P127="","",'03_Functionalities'!P127)</f>
        <v>3</v>
      </c>
      <c r="V127" s="2" t="str">
        <f>IF('03_Functionalities'!Q127="","",'03_Functionalities'!Q127)</f>
        <v>Draft</v>
      </c>
      <c r="W127" s="2" t="str">
        <f>IF('03_Functionalities'!R127="","",'03_Functionalities'!R127)</f>
        <v>https://techdocs.broadcom.com/us/en/vmware-cis/vcf/vcf-9-0-and-later/9-1/release-notes/vmware-cloud-foundation-9-1-0-0-release-notes/what-s-new/whats-new-vcf-ops.html</v>
      </c>
      <c r="X127" s="2" t="str">
        <f>IF('03_Functionalities'!S127="","",'03_Functionalities'!S127)</f>
        <v>High</v>
      </c>
    </row>
    <row r="128" spans="1:24" ht="57">
      <c r="A128" s="2" t="str">
        <f>IF('03_Functionalities'!A128="","",'03_Functionalities'!A128)</f>
        <v>FN-NSX-SEC-06-01</v>
      </c>
      <c r="B128" s="2" t="str">
        <f>IF('03_Functionalities'!B128="","",'03_Functionalities'!B128)</f>
        <v>FT-NSX-SEC-06</v>
      </c>
      <c r="C128" s="2" t="str">
        <f>IF('03_Functionalities'!C128="","",'03_Functionalities'!C128)</f>
        <v>PC-NSX-SEC</v>
      </c>
      <c r="D128" s="2" t="e">
        <f ca="1">IF(C128="","",_xludf.XLOOKUP(C128,'01_Products'!A:A,'01_Products'!B:B,"Missing Product"))</f>
        <v>#NAME?</v>
      </c>
      <c r="E128" s="2" t="e">
        <f ca="1">IF(C128="","",_xludf.XLOOKUP(C128,'01_Products'!A:A,'01_Products'!C:C,"Missing Type"))</f>
        <v>#NAME?</v>
      </c>
      <c r="F128" s="2" t="e">
        <f ca="1">IF(B128="","",_xludf.XLOOKUP(B128,'02_Features'!A:A,'02_Features'!C:C,"Missing Feature"))</f>
        <v>#NAME?</v>
      </c>
      <c r="G128" s="2" t="e">
        <f ca="1">IF(B128="","",_xludf.XLOOKUP(B128,'02_Features'!A:A,'02_Features'!E:E,"Missing Prompt"))</f>
        <v>#NAME?</v>
      </c>
      <c r="H128" s="2" t="str">
        <f>IF('03_Functionalities'!D128="","",'03_Functionalities'!D128)</f>
        <v>vDefend service integration</v>
      </c>
      <c r="I128" s="2" t="str">
        <f>IF('03_Functionalities'!E128="","",'03_Functionalities'!E128)</f>
        <v>Major functionality for vdefend service integration.</v>
      </c>
      <c r="J128" s="2" t="str">
        <f>IF('03_Functionalities'!F128="","",'03_Functionalities'!F128)</f>
        <v>Includes major assessment behavior for vdefend service integration in the context of vdefend and advanced security integration.</v>
      </c>
      <c r="K128" s="2" t="str">
        <f>IF('03_Functionalities'!G128="","",'03_Functionalities'!G128)</f>
        <v>Excludes low-level configuration toggles, cosmetic UI behavior, and implementation-specific inventory minutiae unless they materially affect parity or risk.</v>
      </c>
      <c r="L128" s="2" t="str">
        <f>IF('03_Functionalities'!I128="","",'03_Functionalities'!I128)</f>
        <v>Security</v>
      </c>
      <c r="M128" s="2" t="str">
        <f>IF('03_Functionalities'!J128="","",'03_Functionalities'!J128)</f>
        <v>Advanced Security</v>
      </c>
      <c r="N128" s="2" t="str">
        <f>IF('03_Functionalities'!K128="","",'03_Functionalities'!K128)</f>
        <v>Medium</v>
      </c>
      <c r="O128" s="2" t="str">
        <f>IF('03_Functionalities'!L128="","",'03_Functionalities'!L128)</f>
        <v>High</v>
      </c>
      <c r="P128" s="2" t="str">
        <f>IF('03_Functionalities'!M128="","",'03_Functionalities'!M128)</f>
        <v>Official vendor documentation, release notes, validated KB/article, product guide, or architecture reference with version applicability.</v>
      </c>
      <c r="Q128" s="2" t="str">
        <f>IF('03_Functionalities'!N128="","",'03_Functionalities'!N128)</f>
        <v>VCF 9.1 vDefend and Advanced Security integration vDefend service integration comparator parity evidence</v>
      </c>
      <c r="R128" s="2" t="str">
        <f>IF('03_Functionalities'!O128="","",'03_Functionalities'!O128)</f>
        <v>Yes</v>
      </c>
      <c r="S128" s="2" t="e">
        <f ca="1">IF(C128="","",_xludf.XLOOKUP(C128,'01_Products'!A:A,'01_Products'!K:K,0))</f>
        <v>#NAME?</v>
      </c>
      <c r="T128" s="2" t="e">
        <f ca="1">IF(B128="","",_xludf.XLOOKUP(B128,'02_Features'!A:A,'02_Features'!L:L,0))</f>
        <v>#NAME?</v>
      </c>
      <c r="U128" s="2">
        <f>IF('03_Functionalities'!P128="","",'03_Functionalities'!P128)</f>
        <v>1</v>
      </c>
      <c r="V128" s="2" t="str">
        <f>IF('03_Functionalities'!Q128="","",'03_Functionalities'!Q128)</f>
        <v>Draft</v>
      </c>
      <c r="W128" s="2" t="str">
        <f>IF('03_Functionalities'!R128="","",'03_Functionalities'!R128)</f>
        <v>https://www.vmware.com/docs/vmware-cloud-foundation-9-1-feature-comparison-and-upgrade-paths</v>
      </c>
      <c r="X128" s="2" t="str">
        <f>IF('03_Functionalities'!S128="","",'03_Functionalities'!S128)</f>
        <v>High</v>
      </c>
    </row>
    <row r="129" spans="1:24" ht="57">
      <c r="A129" s="2" t="str">
        <f>IF('03_Functionalities'!A129="","",'03_Functionalities'!A129)</f>
        <v>FN-NSX-SEC-06-02</v>
      </c>
      <c r="B129" s="2" t="str">
        <f>IF('03_Functionalities'!B129="","",'03_Functionalities'!B129)</f>
        <v>FT-NSX-SEC-06</v>
      </c>
      <c r="C129" s="2" t="str">
        <f>IF('03_Functionalities'!C129="","",'03_Functionalities'!C129)</f>
        <v>PC-NSX-SEC</v>
      </c>
      <c r="D129" s="2" t="e">
        <f ca="1">IF(C129="","",_xludf.XLOOKUP(C129,'01_Products'!A:A,'01_Products'!B:B,"Missing Product"))</f>
        <v>#NAME?</v>
      </c>
      <c r="E129" s="2" t="e">
        <f ca="1">IF(C129="","",_xludf.XLOOKUP(C129,'01_Products'!A:A,'01_Products'!C:C,"Missing Type"))</f>
        <v>#NAME?</v>
      </c>
      <c r="F129" s="2" t="e">
        <f ca="1">IF(B129="","",_xludf.XLOOKUP(B129,'02_Features'!A:A,'02_Features'!C:C,"Missing Feature"))</f>
        <v>#NAME?</v>
      </c>
      <c r="G129" s="2" t="e">
        <f ca="1">IF(B129="","",_xludf.XLOOKUP(B129,'02_Features'!A:A,'02_Features'!E:E,"Missing Prompt"))</f>
        <v>#NAME?</v>
      </c>
      <c r="H129" s="2" t="str">
        <f>IF('03_Functionalities'!D129="","",'03_Functionalities'!D129)</f>
        <v>Advanced security entitlement dependency</v>
      </c>
      <c r="I129" s="2" t="str">
        <f>IF('03_Functionalities'!E129="","",'03_Functionalities'!E129)</f>
        <v>Major functionality for advanced security entitlement dependency.</v>
      </c>
      <c r="J129" s="2" t="str">
        <f>IF('03_Functionalities'!F129="","",'03_Functionalities'!F129)</f>
        <v>Includes major assessment behavior for advanced security entitlement dependency in the context of vdefend and advanced security integration.</v>
      </c>
      <c r="K129" s="2" t="str">
        <f>IF('03_Functionalities'!G129="","",'03_Functionalities'!G129)</f>
        <v>Excludes low-level configuration toggles, cosmetic UI behavior, and implementation-specific inventory minutiae unless they materially affect parity or risk.</v>
      </c>
      <c r="L129" s="2" t="str">
        <f>IF('03_Functionalities'!I129="","",'03_Functionalities'!I129)</f>
        <v>Security</v>
      </c>
      <c r="M129" s="2" t="str">
        <f>IF('03_Functionalities'!J129="","",'03_Functionalities'!J129)</f>
        <v>Advanced Security</v>
      </c>
      <c r="N129" s="2" t="str">
        <f>IF('03_Functionalities'!K129="","",'03_Functionalities'!K129)</f>
        <v>Medium</v>
      </c>
      <c r="O129" s="2" t="str">
        <f>IF('03_Functionalities'!L129="","",'03_Functionalities'!L129)</f>
        <v>High</v>
      </c>
      <c r="P129" s="2" t="str">
        <f>IF('03_Functionalities'!M129="","",'03_Functionalities'!M129)</f>
        <v>Official vendor documentation, release notes, validated KB/article, product guide, or architecture reference with version applicability.</v>
      </c>
      <c r="Q129" s="2" t="str">
        <f>IF('03_Functionalities'!N129="","",'03_Functionalities'!N129)</f>
        <v>VCF 9.1 vDefend and Advanced Security integration Advanced security entitlement dependency comparator parity evidence</v>
      </c>
      <c r="R129" s="2" t="str">
        <f>IF('03_Functionalities'!O129="","",'03_Functionalities'!O129)</f>
        <v>Yes</v>
      </c>
      <c r="S129" s="2" t="e">
        <f ca="1">IF(C129="","",_xludf.XLOOKUP(C129,'01_Products'!A:A,'01_Products'!K:K,0))</f>
        <v>#NAME?</v>
      </c>
      <c r="T129" s="2" t="e">
        <f ca="1">IF(B129="","",_xludf.XLOOKUP(B129,'02_Features'!A:A,'02_Features'!L:L,0))</f>
        <v>#NAME?</v>
      </c>
      <c r="U129" s="2">
        <f>IF('03_Functionalities'!P129="","",'03_Functionalities'!P129)</f>
        <v>2</v>
      </c>
      <c r="V129" s="2" t="str">
        <f>IF('03_Functionalities'!Q129="","",'03_Functionalities'!Q129)</f>
        <v>Draft</v>
      </c>
      <c r="W129" s="2" t="str">
        <f>IF('03_Functionalities'!R129="","",'03_Functionalities'!R129)</f>
        <v>https://www.vmware.com/docs/vmware-cloud-foundation-9-1-feature-comparison-and-upgrade-paths</v>
      </c>
      <c r="X129" s="2" t="str">
        <f>IF('03_Functionalities'!S129="","",'03_Functionalities'!S129)</f>
        <v>High</v>
      </c>
    </row>
    <row r="130" spans="1:24" ht="57">
      <c r="A130" s="2" t="str">
        <f>IF('03_Functionalities'!A130="","",'03_Functionalities'!A130)</f>
        <v>FN-NSX-SEC-06-03</v>
      </c>
      <c r="B130" s="2" t="str">
        <f>IF('03_Functionalities'!B130="","",'03_Functionalities'!B130)</f>
        <v>FT-NSX-SEC-06</v>
      </c>
      <c r="C130" s="2" t="str">
        <f>IF('03_Functionalities'!C130="","",'03_Functionalities'!C130)</f>
        <v>PC-NSX-SEC</v>
      </c>
      <c r="D130" s="2" t="e">
        <f ca="1">IF(C130="","",_xludf.XLOOKUP(C130,'01_Products'!A:A,'01_Products'!B:B,"Missing Product"))</f>
        <v>#NAME?</v>
      </c>
      <c r="E130" s="2" t="e">
        <f ca="1">IF(C130="","",_xludf.XLOOKUP(C130,'01_Products'!A:A,'01_Products'!C:C,"Missing Type"))</f>
        <v>#NAME?</v>
      </c>
      <c r="F130" s="2" t="e">
        <f ca="1">IF(B130="","",_xludf.XLOOKUP(B130,'02_Features'!A:A,'02_Features'!C:C,"Missing Feature"))</f>
        <v>#NAME?</v>
      </c>
      <c r="G130" s="2" t="e">
        <f ca="1">IF(B130="","",_xludf.XLOOKUP(B130,'02_Features'!A:A,'02_Features'!E:E,"Missing Prompt"))</f>
        <v>#NAME?</v>
      </c>
      <c r="H130" s="2" t="str">
        <f>IF('03_Functionalities'!D130="","",'03_Functionalities'!D130)</f>
        <v>Security posture integration with operations</v>
      </c>
      <c r="I130" s="2" t="str">
        <f>IF('03_Functionalities'!E130="","",'03_Functionalities'!E130)</f>
        <v>Major functionality for security posture integration with operations.</v>
      </c>
      <c r="J130" s="2" t="str">
        <f>IF('03_Functionalities'!F130="","",'03_Functionalities'!F130)</f>
        <v>Includes major assessment behavior for security posture integration with operations in the context of vdefend and advanced security integration.</v>
      </c>
      <c r="K130" s="2" t="str">
        <f>IF('03_Functionalities'!G130="","",'03_Functionalities'!G130)</f>
        <v>Excludes low-level configuration toggles, cosmetic UI behavior, and implementation-specific inventory minutiae unless they materially affect parity or risk.</v>
      </c>
      <c r="L130" s="2" t="str">
        <f>IF('03_Functionalities'!I130="","",'03_Functionalities'!I130)</f>
        <v>Security</v>
      </c>
      <c r="M130" s="2" t="str">
        <f>IF('03_Functionalities'!J130="","",'03_Functionalities'!J130)</f>
        <v>Advanced Security</v>
      </c>
      <c r="N130" s="2" t="str">
        <f>IF('03_Functionalities'!K130="","",'03_Functionalities'!K130)</f>
        <v>Medium</v>
      </c>
      <c r="O130" s="2" t="str">
        <f>IF('03_Functionalities'!L130="","",'03_Functionalities'!L130)</f>
        <v>High</v>
      </c>
      <c r="P130" s="2" t="str">
        <f>IF('03_Functionalities'!M130="","",'03_Functionalities'!M130)</f>
        <v>Official vendor documentation, release notes, validated KB/article, product guide, or architecture reference with version applicability.</v>
      </c>
      <c r="Q130" s="2" t="str">
        <f>IF('03_Functionalities'!N130="","",'03_Functionalities'!N130)</f>
        <v>VCF 9.1 vDefend and Advanced Security integration Security posture integration with operations comparator parity evidence</v>
      </c>
      <c r="R130" s="2" t="str">
        <f>IF('03_Functionalities'!O130="","",'03_Functionalities'!O130)</f>
        <v>Yes</v>
      </c>
      <c r="S130" s="2" t="e">
        <f ca="1">IF(C130="","",_xludf.XLOOKUP(C130,'01_Products'!A:A,'01_Products'!K:K,0))</f>
        <v>#NAME?</v>
      </c>
      <c r="T130" s="2" t="e">
        <f ca="1">IF(B130="","",_xludf.XLOOKUP(B130,'02_Features'!A:A,'02_Features'!L:L,0))</f>
        <v>#NAME?</v>
      </c>
      <c r="U130" s="2">
        <f>IF('03_Functionalities'!P130="","",'03_Functionalities'!P130)</f>
        <v>3</v>
      </c>
      <c r="V130" s="2" t="str">
        <f>IF('03_Functionalities'!Q130="","",'03_Functionalities'!Q130)</f>
        <v>Draft</v>
      </c>
      <c r="W130" s="2" t="str">
        <f>IF('03_Functionalities'!R130="","",'03_Functionalities'!R130)</f>
        <v>https://www.vmware.com/docs/vmware-cloud-foundation-9-1-feature-comparison-and-upgrade-paths</v>
      </c>
      <c r="X130" s="2" t="str">
        <f>IF('03_Functionalities'!S130="","",'03_Functionalities'!S130)</f>
        <v>High</v>
      </c>
    </row>
    <row r="131" spans="1:24" ht="71.25">
      <c r="A131" s="2" t="str">
        <f>IF('03_Functionalities'!A131="","",'03_Functionalities'!A131)</f>
        <v>FN-OPS-01-01</v>
      </c>
      <c r="B131" s="2" t="str">
        <f>IF('03_Functionalities'!B131="","",'03_Functionalities'!B131)</f>
        <v>FT-OPS-01</v>
      </c>
      <c r="C131" s="2" t="str">
        <f>IF('03_Functionalities'!C131="","",'03_Functionalities'!C131)</f>
        <v>PC-OPS</v>
      </c>
      <c r="D131" s="2" t="e">
        <f ca="1">IF(C131="","",_xludf.XLOOKUP(C131,'01_Products'!A:A,'01_Products'!B:B,"Missing Product"))</f>
        <v>#NAME?</v>
      </c>
      <c r="E131" s="2" t="e">
        <f ca="1">IF(C131="","",_xludf.XLOOKUP(C131,'01_Products'!A:A,'01_Products'!C:C,"Missing Type"))</f>
        <v>#NAME?</v>
      </c>
      <c r="F131" s="2" t="e">
        <f ca="1">IF(B131="","",_xludf.XLOOKUP(B131,'02_Features'!A:A,'02_Features'!C:C,"Missing Feature"))</f>
        <v>#NAME?</v>
      </c>
      <c r="G131" s="2" t="e">
        <f ca="1">IF(B131="","",_xludf.XLOOKUP(B131,'02_Features'!A:A,'02_Features'!E:E,"Missing Prompt"))</f>
        <v>#NAME?</v>
      </c>
      <c r="H131" s="2" t="str">
        <f>IF('03_Functionalities'!D131="","",'03_Functionalities'!D131)</f>
        <v>Health dashboard coverage</v>
      </c>
      <c r="I131" s="2" t="str">
        <f>IF('03_Functionalities'!E131="","",'03_Functionalities'!E131)</f>
        <v>Major functionality for health dashboard coverage.</v>
      </c>
      <c r="J131" s="2" t="str">
        <f>IF('03_Functionalities'!F131="","",'03_Functionalities'!F131)</f>
        <v>Includes major assessment behavior for health dashboard coverage in the context of infrastructure health and operations dashboards.</v>
      </c>
      <c r="K131" s="2" t="str">
        <f>IF('03_Functionalities'!G131="","",'03_Functionalities'!G131)</f>
        <v>Excludes low-level configuration toggles, cosmetic UI behavior, and implementation-specific inventory minutiae unless they materially affect parity or risk.</v>
      </c>
      <c r="L131" s="2" t="str">
        <f>IF('03_Functionalities'!I131="","",'03_Functionalities'!I131)</f>
        <v>Operations</v>
      </c>
      <c r="M131" s="2" t="str">
        <f>IF('03_Functionalities'!J131="","",'03_Functionalities'!J131)</f>
        <v>Health Operations</v>
      </c>
      <c r="N131" s="2" t="str">
        <f>IF('03_Functionalities'!K131="","",'03_Functionalities'!K131)</f>
        <v>Critical</v>
      </c>
      <c r="O131" s="2" t="str">
        <f>IF('03_Functionalities'!L131="","",'03_Functionalities'!L131)</f>
        <v>Medium</v>
      </c>
      <c r="P131" s="2" t="str">
        <f>IF('03_Functionalities'!M131="","",'03_Functionalities'!M131)</f>
        <v>Official vendor documentation, release notes, validated KB/article, product guide, or architecture reference with version applicability.</v>
      </c>
      <c r="Q131" s="2" t="str">
        <f>IF('03_Functionalities'!N131="","",'03_Functionalities'!N131)</f>
        <v>VCF 9.1 Infrastructure health and operations dashboards Health dashboard coverage comparator parity evidence</v>
      </c>
      <c r="R131" s="2" t="str">
        <f>IF('03_Functionalities'!O131="","",'03_Functionalities'!O131)</f>
        <v>Yes</v>
      </c>
      <c r="S131" s="2" t="e">
        <f ca="1">IF(C131="","",_xludf.XLOOKUP(C131,'01_Products'!A:A,'01_Products'!K:K,0))</f>
        <v>#NAME?</v>
      </c>
      <c r="T131" s="2" t="e">
        <f ca="1">IF(B131="","",_xludf.XLOOKUP(B131,'02_Features'!A:A,'02_Features'!L:L,0))</f>
        <v>#NAME?</v>
      </c>
      <c r="U131" s="2">
        <f>IF('03_Functionalities'!P131="","",'03_Functionalities'!P131)</f>
        <v>1</v>
      </c>
      <c r="V131" s="2" t="str">
        <f>IF('03_Functionalities'!Q131="","",'03_Functionalities'!Q131)</f>
        <v>Draft</v>
      </c>
      <c r="W131" s="2" t="str">
        <f>IF('03_Functionalities'!R131="","",'03_Functionalities'!R131)</f>
        <v>https://techdocs.broadcom.com/us/en/vmware-cis/vcf/vcf-9-0-and-later/9-1/release-notes/vmware-cloud-foundation-9-1-0-0-release-notes/what-s-new/whats-new-vcf-ops.html</v>
      </c>
      <c r="X131" s="2" t="str">
        <f>IF('03_Functionalities'!S131="","",'03_Functionalities'!S131)</f>
        <v>High</v>
      </c>
    </row>
    <row r="132" spans="1:24" ht="71.25">
      <c r="A132" s="2" t="str">
        <f>IF('03_Functionalities'!A132="","",'03_Functionalities'!A132)</f>
        <v>FN-OPS-01-02</v>
      </c>
      <c r="B132" s="2" t="str">
        <f>IF('03_Functionalities'!B132="","",'03_Functionalities'!B132)</f>
        <v>FT-OPS-01</v>
      </c>
      <c r="C132" s="2" t="str">
        <f>IF('03_Functionalities'!C132="","",'03_Functionalities'!C132)</f>
        <v>PC-OPS</v>
      </c>
      <c r="D132" s="2" t="e">
        <f ca="1">IF(C132="","",_xludf.XLOOKUP(C132,'01_Products'!A:A,'01_Products'!B:B,"Missing Product"))</f>
        <v>#NAME?</v>
      </c>
      <c r="E132" s="2" t="e">
        <f ca="1">IF(C132="","",_xludf.XLOOKUP(C132,'01_Products'!A:A,'01_Products'!C:C,"Missing Type"))</f>
        <v>#NAME?</v>
      </c>
      <c r="F132" s="2" t="e">
        <f ca="1">IF(B132="","",_xludf.XLOOKUP(B132,'02_Features'!A:A,'02_Features'!C:C,"Missing Feature"))</f>
        <v>#NAME?</v>
      </c>
      <c r="G132" s="2" t="e">
        <f ca="1">IF(B132="","",_xludf.XLOOKUP(B132,'02_Features'!A:A,'02_Features'!E:E,"Missing Prompt"))</f>
        <v>#NAME?</v>
      </c>
      <c r="H132" s="2" t="str">
        <f>IF('03_Functionalities'!D132="","",'03_Functionalities'!D132)</f>
        <v>Alerting and symptom visibility</v>
      </c>
      <c r="I132" s="2" t="str">
        <f>IF('03_Functionalities'!E132="","",'03_Functionalities'!E132)</f>
        <v>Major functionality for alerting and symptom visibility.</v>
      </c>
      <c r="J132" s="2" t="str">
        <f>IF('03_Functionalities'!F132="","",'03_Functionalities'!F132)</f>
        <v>Includes major assessment behavior for alerting and symptom visibility in the context of infrastructure health and operations dashboards.</v>
      </c>
      <c r="K132" s="2" t="str">
        <f>IF('03_Functionalities'!G132="","",'03_Functionalities'!G132)</f>
        <v>Excludes low-level configuration toggles, cosmetic UI behavior, and implementation-specific inventory minutiae unless they materially affect parity or risk.</v>
      </c>
      <c r="L132" s="2" t="str">
        <f>IF('03_Functionalities'!I132="","",'03_Functionalities'!I132)</f>
        <v>Operations</v>
      </c>
      <c r="M132" s="2" t="str">
        <f>IF('03_Functionalities'!J132="","",'03_Functionalities'!J132)</f>
        <v>Health Operations</v>
      </c>
      <c r="N132" s="2" t="str">
        <f>IF('03_Functionalities'!K132="","",'03_Functionalities'!K132)</f>
        <v>Critical</v>
      </c>
      <c r="O132" s="2" t="str">
        <f>IF('03_Functionalities'!L132="","",'03_Functionalities'!L132)</f>
        <v>Medium</v>
      </c>
      <c r="P132" s="2" t="str">
        <f>IF('03_Functionalities'!M132="","",'03_Functionalities'!M132)</f>
        <v>Official vendor documentation, release notes, validated KB/article, product guide, or architecture reference with version applicability.</v>
      </c>
      <c r="Q132" s="2" t="str">
        <f>IF('03_Functionalities'!N132="","",'03_Functionalities'!N132)</f>
        <v>VCF 9.1 Infrastructure health and operations dashboards Alerting and symptom visibility comparator parity evidence</v>
      </c>
      <c r="R132" s="2" t="str">
        <f>IF('03_Functionalities'!O132="","",'03_Functionalities'!O132)</f>
        <v>Yes</v>
      </c>
      <c r="S132" s="2" t="e">
        <f ca="1">IF(C132="","",_xludf.XLOOKUP(C132,'01_Products'!A:A,'01_Products'!K:K,0))</f>
        <v>#NAME?</v>
      </c>
      <c r="T132" s="2" t="e">
        <f ca="1">IF(B132="","",_xludf.XLOOKUP(B132,'02_Features'!A:A,'02_Features'!L:L,0))</f>
        <v>#NAME?</v>
      </c>
      <c r="U132" s="2">
        <f>IF('03_Functionalities'!P132="","",'03_Functionalities'!P132)</f>
        <v>2</v>
      </c>
      <c r="V132" s="2" t="str">
        <f>IF('03_Functionalities'!Q132="","",'03_Functionalities'!Q132)</f>
        <v>Draft</v>
      </c>
      <c r="W132" s="2" t="str">
        <f>IF('03_Functionalities'!R132="","",'03_Functionalities'!R132)</f>
        <v>https://techdocs.broadcom.com/us/en/vmware-cis/vcf/vcf-9-0-and-later/9-1/release-notes/vmware-cloud-foundation-9-1-0-0-release-notes/what-s-new/whats-new-vcf-ops.html</v>
      </c>
      <c r="X132" s="2" t="str">
        <f>IF('03_Functionalities'!S132="","",'03_Functionalities'!S132)</f>
        <v>High</v>
      </c>
    </row>
    <row r="133" spans="1:24" ht="71.25">
      <c r="A133" s="2" t="str">
        <f>IF('03_Functionalities'!A133="","",'03_Functionalities'!A133)</f>
        <v>FN-OPS-01-03</v>
      </c>
      <c r="B133" s="2" t="str">
        <f>IF('03_Functionalities'!B133="","",'03_Functionalities'!B133)</f>
        <v>FT-OPS-01</v>
      </c>
      <c r="C133" s="2" t="str">
        <f>IF('03_Functionalities'!C133="","",'03_Functionalities'!C133)</f>
        <v>PC-OPS</v>
      </c>
      <c r="D133" s="2" t="e">
        <f ca="1">IF(C133="","",_xludf.XLOOKUP(C133,'01_Products'!A:A,'01_Products'!B:B,"Missing Product"))</f>
        <v>#NAME?</v>
      </c>
      <c r="E133" s="2" t="e">
        <f ca="1">IF(C133="","",_xludf.XLOOKUP(C133,'01_Products'!A:A,'01_Products'!C:C,"Missing Type"))</f>
        <v>#NAME?</v>
      </c>
      <c r="F133" s="2" t="e">
        <f ca="1">IF(B133="","",_xludf.XLOOKUP(B133,'02_Features'!A:A,'02_Features'!C:C,"Missing Feature"))</f>
        <v>#NAME?</v>
      </c>
      <c r="G133" s="2" t="e">
        <f ca="1">IF(B133="","",_xludf.XLOOKUP(B133,'02_Features'!A:A,'02_Features'!E:E,"Missing Prompt"))</f>
        <v>#NAME?</v>
      </c>
      <c r="H133" s="2" t="str">
        <f>IF('03_Functionalities'!D133="","",'03_Functionalities'!D133)</f>
        <v>Operations navigation and triage workflow</v>
      </c>
      <c r="I133" s="2" t="str">
        <f>IF('03_Functionalities'!E133="","",'03_Functionalities'!E133)</f>
        <v>Major functionality for operations navigation and triage workflow.</v>
      </c>
      <c r="J133" s="2" t="str">
        <f>IF('03_Functionalities'!F133="","",'03_Functionalities'!F133)</f>
        <v>Includes major assessment behavior for operations navigation and triage workflow in the context of infrastructure health and operations dashboards.</v>
      </c>
      <c r="K133" s="2" t="str">
        <f>IF('03_Functionalities'!G133="","",'03_Functionalities'!G133)</f>
        <v>Excludes low-level configuration toggles, cosmetic UI behavior, and implementation-specific inventory minutiae unless they materially affect parity or risk.</v>
      </c>
      <c r="L133" s="2" t="str">
        <f>IF('03_Functionalities'!I133="","",'03_Functionalities'!I133)</f>
        <v>Operations</v>
      </c>
      <c r="M133" s="2" t="str">
        <f>IF('03_Functionalities'!J133="","",'03_Functionalities'!J133)</f>
        <v>Health Operations</v>
      </c>
      <c r="N133" s="2" t="str">
        <f>IF('03_Functionalities'!K133="","",'03_Functionalities'!K133)</f>
        <v>Critical</v>
      </c>
      <c r="O133" s="2" t="str">
        <f>IF('03_Functionalities'!L133="","",'03_Functionalities'!L133)</f>
        <v>Medium</v>
      </c>
      <c r="P133" s="2" t="str">
        <f>IF('03_Functionalities'!M133="","",'03_Functionalities'!M133)</f>
        <v>Official vendor documentation, release notes, validated KB/article, product guide, or architecture reference with version applicability.</v>
      </c>
      <c r="Q133" s="2" t="str">
        <f>IF('03_Functionalities'!N133="","",'03_Functionalities'!N133)</f>
        <v>VCF 9.1 Infrastructure health and operations dashboards Operations navigation and triage workflow comparator parity evidence</v>
      </c>
      <c r="R133" s="2" t="str">
        <f>IF('03_Functionalities'!O133="","",'03_Functionalities'!O133)</f>
        <v>Yes</v>
      </c>
      <c r="S133" s="2" t="e">
        <f ca="1">IF(C133="","",_xludf.XLOOKUP(C133,'01_Products'!A:A,'01_Products'!K:K,0))</f>
        <v>#NAME?</v>
      </c>
      <c r="T133" s="2" t="e">
        <f ca="1">IF(B133="","",_xludf.XLOOKUP(B133,'02_Features'!A:A,'02_Features'!L:L,0))</f>
        <v>#NAME?</v>
      </c>
      <c r="U133" s="2">
        <f>IF('03_Functionalities'!P133="","",'03_Functionalities'!P133)</f>
        <v>3</v>
      </c>
      <c r="V133" s="2" t="str">
        <f>IF('03_Functionalities'!Q133="","",'03_Functionalities'!Q133)</f>
        <v>Draft</v>
      </c>
      <c r="W133" s="2" t="str">
        <f>IF('03_Functionalities'!R133="","",'03_Functionalities'!R133)</f>
        <v>https://techdocs.broadcom.com/us/en/vmware-cis/vcf/vcf-9-0-and-later/9-1/release-notes/vmware-cloud-foundation-9-1-0-0-release-notes/what-s-new/whats-new-vcf-ops.html</v>
      </c>
      <c r="X133" s="2" t="str">
        <f>IF('03_Functionalities'!S133="","",'03_Functionalities'!S133)</f>
        <v>High</v>
      </c>
    </row>
    <row r="134" spans="1:24" ht="57">
      <c r="A134" s="2" t="str">
        <f>IF('03_Functionalities'!A134="","",'03_Functionalities'!A134)</f>
        <v>FN-OPS-02-01</v>
      </c>
      <c r="B134" s="2" t="str">
        <f>IF('03_Functionalities'!B134="","",'03_Functionalities'!B134)</f>
        <v>FT-OPS-02</v>
      </c>
      <c r="C134" s="2" t="str">
        <f>IF('03_Functionalities'!C134="","",'03_Functionalities'!C134)</f>
        <v>PC-OPS</v>
      </c>
      <c r="D134" s="2" t="e">
        <f ca="1">IF(C134="","",_xludf.XLOOKUP(C134,'01_Products'!A:A,'01_Products'!B:B,"Missing Product"))</f>
        <v>#NAME?</v>
      </c>
      <c r="E134" s="2" t="e">
        <f ca="1">IF(C134="","",_xludf.XLOOKUP(C134,'01_Products'!A:A,'01_Products'!C:C,"Missing Type"))</f>
        <v>#NAME?</v>
      </c>
      <c r="F134" s="2" t="e">
        <f ca="1">IF(B134="","",_xludf.XLOOKUP(B134,'02_Features'!A:A,'02_Features'!C:C,"Missing Feature"))</f>
        <v>#NAME?</v>
      </c>
      <c r="G134" s="2" t="e">
        <f ca="1">IF(B134="","",_xludf.XLOOKUP(B134,'02_Features'!A:A,'02_Features'!E:E,"Missing Prompt"))</f>
        <v>#NAME?</v>
      </c>
      <c r="H134" s="2" t="str">
        <f>IF('03_Functionalities'!D134="","",'03_Functionalities'!D134)</f>
        <v>Capacity analytics</v>
      </c>
      <c r="I134" s="2" t="str">
        <f>IF('03_Functionalities'!E134="","",'03_Functionalities'!E134)</f>
        <v>Major functionality for capacity analytics.</v>
      </c>
      <c r="J134" s="2" t="str">
        <f>IF('03_Functionalities'!F134="","",'03_Functionalities'!F134)</f>
        <v>Includes major assessment behavior for capacity analytics in the context of capacity, cost and performance management.</v>
      </c>
      <c r="K134" s="2" t="str">
        <f>IF('03_Functionalities'!G134="","",'03_Functionalities'!G134)</f>
        <v>Excludes low-level configuration toggles, cosmetic UI behavior, and implementation-specific inventory minutiae unless they materially affect parity or risk.</v>
      </c>
      <c r="L134" s="2" t="str">
        <f>IF('03_Functionalities'!I134="","",'03_Functionalities'!I134)</f>
        <v>Operations</v>
      </c>
      <c r="M134" s="2" t="str">
        <f>IF('03_Functionalities'!J134="","",'03_Functionalities'!J134)</f>
        <v>Capacity Management</v>
      </c>
      <c r="N134" s="2" t="str">
        <f>IF('03_Functionalities'!K134="","",'03_Functionalities'!K134)</f>
        <v>High</v>
      </c>
      <c r="O134" s="2" t="str">
        <f>IF('03_Functionalities'!L134="","",'03_Functionalities'!L134)</f>
        <v>Medium</v>
      </c>
      <c r="P134" s="2" t="str">
        <f>IF('03_Functionalities'!M134="","",'03_Functionalities'!M134)</f>
        <v>Official vendor documentation, release notes, validated KB/article, product guide, or architecture reference with version applicability.</v>
      </c>
      <c r="Q134" s="2" t="str">
        <f>IF('03_Functionalities'!N134="","",'03_Functionalities'!N134)</f>
        <v>VCF 9.1 Capacity, cost and performance management Capacity analytics comparator parity evidence</v>
      </c>
      <c r="R134" s="2" t="str">
        <f>IF('03_Functionalities'!O134="","",'03_Functionalities'!O134)</f>
        <v>Yes</v>
      </c>
      <c r="S134" s="2" t="e">
        <f ca="1">IF(C134="","",_xludf.XLOOKUP(C134,'01_Products'!A:A,'01_Products'!K:K,0))</f>
        <v>#NAME?</v>
      </c>
      <c r="T134" s="2" t="e">
        <f ca="1">IF(B134="","",_xludf.XLOOKUP(B134,'02_Features'!A:A,'02_Features'!L:L,0))</f>
        <v>#NAME?</v>
      </c>
      <c r="U134" s="2">
        <f>IF('03_Functionalities'!P134="","",'03_Functionalities'!P134)</f>
        <v>1</v>
      </c>
      <c r="V134" s="2" t="str">
        <f>IF('03_Functionalities'!Q134="","",'03_Functionalities'!Q134)</f>
        <v>Draft</v>
      </c>
      <c r="W134" s="2" t="str">
        <f>IF('03_Functionalities'!R134="","",'03_Functionalities'!R134)</f>
        <v>https://www.vmware.com/docs/vmware-cloud-foundation-9-1-feature-comparison-and-upgrade-paths</v>
      </c>
      <c r="X134" s="2" t="str">
        <f>IF('03_Functionalities'!S134="","",'03_Functionalities'!S134)</f>
        <v>High</v>
      </c>
    </row>
    <row r="135" spans="1:24" ht="57">
      <c r="A135" s="2" t="str">
        <f>IF('03_Functionalities'!A135="","",'03_Functionalities'!A135)</f>
        <v>FN-OPS-02-02</v>
      </c>
      <c r="B135" s="2" t="str">
        <f>IF('03_Functionalities'!B135="","",'03_Functionalities'!B135)</f>
        <v>FT-OPS-02</v>
      </c>
      <c r="C135" s="2" t="str">
        <f>IF('03_Functionalities'!C135="","",'03_Functionalities'!C135)</f>
        <v>PC-OPS</v>
      </c>
      <c r="D135" s="2" t="e">
        <f ca="1">IF(C135="","",_xludf.XLOOKUP(C135,'01_Products'!A:A,'01_Products'!B:B,"Missing Product"))</f>
        <v>#NAME?</v>
      </c>
      <c r="E135" s="2" t="e">
        <f ca="1">IF(C135="","",_xludf.XLOOKUP(C135,'01_Products'!A:A,'01_Products'!C:C,"Missing Type"))</f>
        <v>#NAME?</v>
      </c>
      <c r="F135" s="2" t="e">
        <f ca="1">IF(B135="","",_xludf.XLOOKUP(B135,'02_Features'!A:A,'02_Features'!C:C,"Missing Feature"))</f>
        <v>#NAME?</v>
      </c>
      <c r="G135" s="2" t="e">
        <f ca="1">IF(B135="","",_xludf.XLOOKUP(B135,'02_Features'!A:A,'02_Features'!E:E,"Missing Prompt"))</f>
        <v>#NAME?</v>
      </c>
      <c r="H135" s="2" t="str">
        <f>IF('03_Functionalities'!D135="","",'03_Functionalities'!D135)</f>
        <v>Performance analytics</v>
      </c>
      <c r="I135" s="2" t="str">
        <f>IF('03_Functionalities'!E135="","",'03_Functionalities'!E135)</f>
        <v>Major functionality for performance analytics.</v>
      </c>
      <c r="J135" s="2" t="str">
        <f>IF('03_Functionalities'!F135="","",'03_Functionalities'!F135)</f>
        <v>Includes major assessment behavior for performance analytics in the context of capacity, cost and performance management.</v>
      </c>
      <c r="K135" s="2" t="str">
        <f>IF('03_Functionalities'!G135="","",'03_Functionalities'!G135)</f>
        <v>Excludes low-level configuration toggles, cosmetic UI behavior, and implementation-specific inventory minutiae unless they materially affect parity or risk.</v>
      </c>
      <c r="L135" s="2" t="str">
        <f>IF('03_Functionalities'!I135="","",'03_Functionalities'!I135)</f>
        <v>Operations</v>
      </c>
      <c r="M135" s="2" t="str">
        <f>IF('03_Functionalities'!J135="","",'03_Functionalities'!J135)</f>
        <v>Capacity Management</v>
      </c>
      <c r="N135" s="2" t="str">
        <f>IF('03_Functionalities'!K135="","",'03_Functionalities'!K135)</f>
        <v>High</v>
      </c>
      <c r="O135" s="2" t="str">
        <f>IF('03_Functionalities'!L135="","",'03_Functionalities'!L135)</f>
        <v>Medium</v>
      </c>
      <c r="P135" s="2" t="str">
        <f>IF('03_Functionalities'!M135="","",'03_Functionalities'!M135)</f>
        <v>Official vendor documentation, release notes, validated KB/article, product guide, or architecture reference with version applicability.</v>
      </c>
      <c r="Q135" s="2" t="str">
        <f>IF('03_Functionalities'!N135="","",'03_Functionalities'!N135)</f>
        <v>VCF 9.1 Capacity, cost and performance management Performance analytics comparator parity evidence</v>
      </c>
      <c r="R135" s="2" t="str">
        <f>IF('03_Functionalities'!O135="","",'03_Functionalities'!O135)</f>
        <v>Yes</v>
      </c>
      <c r="S135" s="2" t="e">
        <f ca="1">IF(C135="","",_xludf.XLOOKUP(C135,'01_Products'!A:A,'01_Products'!K:K,0))</f>
        <v>#NAME?</v>
      </c>
      <c r="T135" s="2" t="e">
        <f ca="1">IF(B135="","",_xludf.XLOOKUP(B135,'02_Features'!A:A,'02_Features'!L:L,0))</f>
        <v>#NAME?</v>
      </c>
      <c r="U135" s="2">
        <f>IF('03_Functionalities'!P135="","",'03_Functionalities'!P135)</f>
        <v>2</v>
      </c>
      <c r="V135" s="2" t="str">
        <f>IF('03_Functionalities'!Q135="","",'03_Functionalities'!Q135)</f>
        <v>Draft</v>
      </c>
      <c r="W135" s="2" t="str">
        <f>IF('03_Functionalities'!R135="","",'03_Functionalities'!R135)</f>
        <v>https://www.vmware.com/docs/vmware-cloud-foundation-9-1-feature-comparison-and-upgrade-paths</v>
      </c>
      <c r="X135" s="2" t="str">
        <f>IF('03_Functionalities'!S135="","",'03_Functionalities'!S135)</f>
        <v>High</v>
      </c>
    </row>
    <row r="136" spans="1:24" ht="57">
      <c r="A136" s="2" t="str">
        <f>IF('03_Functionalities'!A136="","",'03_Functionalities'!A136)</f>
        <v>FN-OPS-02-03</v>
      </c>
      <c r="B136" s="2" t="str">
        <f>IF('03_Functionalities'!B136="","",'03_Functionalities'!B136)</f>
        <v>FT-OPS-02</v>
      </c>
      <c r="C136" s="2" t="str">
        <f>IF('03_Functionalities'!C136="","",'03_Functionalities'!C136)</f>
        <v>PC-OPS</v>
      </c>
      <c r="D136" s="2" t="e">
        <f ca="1">IF(C136="","",_xludf.XLOOKUP(C136,'01_Products'!A:A,'01_Products'!B:B,"Missing Product"))</f>
        <v>#NAME?</v>
      </c>
      <c r="E136" s="2" t="e">
        <f ca="1">IF(C136="","",_xludf.XLOOKUP(C136,'01_Products'!A:A,'01_Products'!C:C,"Missing Type"))</f>
        <v>#NAME?</v>
      </c>
      <c r="F136" s="2" t="e">
        <f ca="1">IF(B136="","",_xludf.XLOOKUP(B136,'02_Features'!A:A,'02_Features'!C:C,"Missing Feature"))</f>
        <v>#NAME?</v>
      </c>
      <c r="G136" s="2" t="e">
        <f ca="1">IF(B136="","",_xludf.XLOOKUP(B136,'02_Features'!A:A,'02_Features'!E:E,"Missing Prompt"))</f>
        <v>#NAME?</v>
      </c>
      <c r="H136" s="2" t="str">
        <f>IF('03_Functionalities'!D136="","",'03_Functionalities'!D136)</f>
        <v>Cost/business insight visibility</v>
      </c>
      <c r="I136" s="2" t="str">
        <f>IF('03_Functionalities'!E136="","",'03_Functionalities'!E136)</f>
        <v>Major functionality for cost/business insight visibility.</v>
      </c>
      <c r="J136" s="2" t="str">
        <f>IF('03_Functionalities'!F136="","",'03_Functionalities'!F136)</f>
        <v>Includes major assessment behavior for cost/business insight visibility in the context of capacity, cost and performance management.</v>
      </c>
      <c r="K136" s="2" t="str">
        <f>IF('03_Functionalities'!G136="","",'03_Functionalities'!G136)</f>
        <v>Excludes low-level configuration toggles, cosmetic UI behavior, and implementation-specific inventory minutiae unless they materially affect parity or risk.</v>
      </c>
      <c r="L136" s="2" t="str">
        <f>IF('03_Functionalities'!I136="","",'03_Functionalities'!I136)</f>
        <v>Operations</v>
      </c>
      <c r="M136" s="2" t="str">
        <f>IF('03_Functionalities'!J136="","",'03_Functionalities'!J136)</f>
        <v>Capacity Management</v>
      </c>
      <c r="N136" s="2" t="str">
        <f>IF('03_Functionalities'!K136="","",'03_Functionalities'!K136)</f>
        <v>High</v>
      </c>
      <c r="O136" s="2" t="str">
        <f>IF('03_Functionalities'!L136="","",'03_Functionalities'!L136)</f>
        <v>Medium</v>
      </c>
      <c r="P136" s="2" t="str">
        <f>IF('03_Functionalities'!M136="","",'03_Functionalities'!M136)</f>
        <v>Official vendor documentation, release notes, validated KB/article, product guide, or architecture reference with version applicability.</v>
      </c>
      <c r="Q136" s="2" t="str">
        <f>IF('03_Functionalities'!N136="","",'03_Functionalities'!N136)</f>
        <v>VCF 9.1 Capacity, cost and performance management Cost/business insight visibility comparator parity evidence</v>
      </c>
      <c r="R136" s="2" t="str">
        <f>IF('03_Functionalities'!O136="","",'03_Functionalities'!O136)</f>
        <v>Yes</v>
      </c>
      <c r="S136" s="2" t="e">
        <f ca="1">IF(C136="","",_xludf.XLOOKUP(C136,'01_Products'!A:A,'01_Products'!K:K,0))</f>
        <v>#NAME?</v>
      </c>
      <c r="T136" s="2" t="e">
        <f ca="1">IF(B136="","",_xludf.XLOOKUP(B136,'02_Features'!A:A,'02_Features'!L:L,0))</f>
        <v>#NAME?</v>
      </c>
      <c r="U136" s="2">
        <f>IF('03_Functionalities'!P136="","",'03_Functionalities'!P136)</f>
        <v>3</v>
      </c>
      <c r="V136" s="2" t="str">
        <f>IF('03_Functionalities'!Q136="","",'03_Functionalities'!Q136)</f>
        <v>Draft</v>
      </c>
      <c r="W136" s="2" t="str">
        <f>IF('03_Functionalities'!R136="","",'03_Functionalities'!R136)</f>
        <v>https://www.vmware.com/docs/vmware-cloud-foundation-9-1-feature-comparison-and-upgrade-paths</v>
      </c>
      <c r="X136" s="2" t="str">
        <f>IF('03_Functionalities'!S136="","",'03_Functionalities'!S136)</f>
        <v>High</v>
      </c>
    </row>
    <row r="137" spans="1:24" ht="71.25">
      <c r="A137" s="2" t="str">
        <f>IF('03_Functionalities'!A137="","",'03_Functionalities'!A137)</f>
        <v>FN-OPS-03-01</v>
      </c>
      <c r="B137" s="2" t="str">
        <f>IF('03_Functionalities'!B137="","",'03_Functionalities'!B137)</f>
        <v>FT-OPS-03</v>
      </c>
      <c r="C137" s="2" t="str">
        <f>IF('03_Functionalities'!C137="","",'03_Functionalities'!C137)</f>
        <v>PC-OPS</v>
      </c>
      <c r="D137" s="2" t="e">
        <f ca="1">IF(C137="","",_xludf.XLOOKUP(C137,'01_Products'!A:A,'01_Products'!B:B,"Missing Product"))</f>
        <v>#NAME?</v>
      </c>
      <c r="E137" s="2" t="e">
        <f ca="1">IF(C137="","",_xludf.XLOOKUP(C137,'01_Products'!A:A,'01_Products'!C:C,"Missing Type"))</f>
        <v>#NAME?</v>
      </c>
      <c r="F137" s="2" t="e">
        <f ca="1">IF(B137="","",_xludf.XLOOKUP(B137,'02_Features'!A:A,'02_Features'!C:C,"Missing Feature"))</f>
        <v>#NAME?</v>
      </c>
      <c r="G137" s="2" t="e">
        <f ca="1">IF(B137="","",_xludf.XLOOKUP(B137,'02_Features'!A:A,'02_Features'!E:E,"Missing Prompt"))</f>
        <v>#NAME?</v>
      </c>
      <c r="H137" s="2" t="str">
        <f>IF('03_Functionalities'!D137="","",'03_Functionalities'!D137)</f>
        <v>Log ingestion and indexing</v>
      </c>
      <c r="I137" s="2" t="str">
        <f>IF('03_Functionalities'!E137="","",'03_Functionalities'!E137)</f>
        <v>Major functionality for log ingestion and indexing.</v>
      </c>
      <c r="J137" s="2" t="str">
        <f>IF('03_Functionalities'!F137="","",'03_Functionalities'!F137)</f>
        <v>Includes major assessment behavior for log ingestion and indexing in the context of log management and troubleshooting.</v>
      </c>
      <c r="K137" s="2" t="str">
        <f>IF('03_Functionalities'!G137="","",'03_Functionalities'!G137)</f>
        <v>Excludes low-level configuration toggles, cosmetic UI behavior, and implementation-specific inventory minutiae unless they materially affect parity or risk.</v>
      </c>
      <c r="L137" s="2" t="str">
        <f>IF('03_Functionalities'!I137="","",'03_Functionalities'!I137)</f>
        <v>Operations</v>
      </c>
      <c r="M137" s="2" t="str">
        <f>IF('03_Functionalities'!J137="","",'03_Functionalities'!J137)</f>
        <v>Log Operations</v>
      </c>
      <c r="N137" s="2" t="str">
        <f>IF('03_Functionalities'!K137="","",'03_Functionalities'!K137)</f>
        <v>High</v>
      </c>
      <c r="O137" s="2" t="str">
        <f>IF('03_Functionalities'!L137="","",'03_Functionalities'!L137)</f>
        <v>High</v>
      </c>
      <c r="P137" s="2" t="str">
        <f>IF('03_Functionalities'!M137="","",'03_Functionalities'!M137)</f>
        <v>Official vendor documentation, release notes, validated KB/article, product guide, or architecture reference with version applicability.</v>
      </c>
      <c r="Q137" s="2" t="str">
        <f>IF('03_Functionalities'!N137="","",'03_Functionalities'!N137)</f>
        <v>VCF 9.1 Log management and troubleshooting Log ingestion and indexing comparator parity evidence</v>
      </c>
      <c r="R137" s="2" t="str">
        <f>IF('03_Functionalities'!O137="","",'03_Functionalities'!O137)</f>
        <v>Yes</v>
      </c>
      <c r="S137" s="2" t="e">
        <f ca="1">IF(C137="","",_xludf.XLOOKUP(C137,'01_Products'!A:A,'01_Products'!K:K,0))</f>
        <v>#NAME?</v>
      </c>
      <c r="T137" s="2" t="e">
        <f ca="1">IF(B137="","",_xludf.XLOOKUP(B137,'02_Features'!A:A,'02_Features'!L:L,0))</f>
        <v>#NAME?</v>
      </c>
      <c r="U137" s="2">
        <f>IF('03_Functionalities'!P137="","",'03_Functionalities'!P137)</f>
        <v>1</v>
      </c>
      <c r="V137" s="2" t="str">
        <f>IF('03_Functionalities'!Q137="","",'03_Functionalities'!Q137)</f>
        <v>Draft</v>
      </c>
      <c r="W137" s="2" t="str">
        <f>IF('03_Functionalities'!R137="","",'03_Functionalities'!R137)</f>
        <v>https://techdocs.broadcom.com/us/en/vmware-cis/vcf/vcf-9-0-and-later/9-1/release-notes/vmware-cloud-foundation-9-1-0-0-release-notes/vmware-cloud-foundation-bill-of-materials.html</v>
      </c>
      <c r="X137" s="2" t="str">
        <f>IF('03_Functionalities'!S137="","",'03_Functionalities'!S137)</f>
        <v>High</v>
      </c>
    </row>
    <row r="138" spans="1:24" ht="71.25">
      <c r="A138" s="2" t="str">
        <f>IF('03_Functionalities'!A138="","",'03_Functionalities'!A138)</f>
        <v>FN-OPS-03-02</v>
      </c>
      <c r="B138" s="2" t="str">
        <f>IF('03_Functionalities'!B138="","",'03_Functionalities'!B138)</f>
        <v>FT-OPS-03</v>
      </c>
      <c r="C138" s="2" t="str">
        <f>IF('03_Functionalities'!C138="","",'03_Functionalities'!C138)</f>
        <v>PC-OPS</v>
      </c>
      <c r="D138" s="2" t="e">
        <f ca="1">IF(C138="","",_xludf.XLOOKUP(C138,'01_Products'!A:A,'01_Products'!B:B,"Missing Product"))</f>
        <v>#NAME?</v>
      </c>
      <c r="E138" s="2" t="e">
        <f ca="1">IF(C138="","",_xludf.XLOOKUP(C138,'01_Products'!A:A,'01_Products'!C:C,"Missing Type"))</f>
        <v>#NAME?</v>
      </c>
      <c r="F138" s="2" t="e">
        <f ca="1">IF(B138="","",_xludf.XLOOKUP(B138,'02_Features'!A:A,'02_Features'!C:C,"Missing Feature"))</f>
        <v>#NAME?</v>
      </c>
      <c r="G138" s="2" t="e">
        <f ca="1">IF(B138="","",_xludf.XLOOKUP(B138,'02_Features'!A:A,'02_Features'!E:E,"Missing Prompt"))</f>
        <v>#NAME?</v>
      </c>
      <c r="H138" s="2" t="str">
        <f>IF('03_Functionalities'!D138="","",'03_Functionalities'!D138)</f>
        <v>Search/correlation workflows</v>
      </c>
      <c r="I138" s="2" t="str">
        <f>IF('03_Functionalities'!E138="","",'03_Functionalities'!E138)</f>
        <v>Major functionality for search/correlation workflows.</v>
      </c>
      <c r="J138" s="2" t="str">
        <f>IF('03_Functionalities'!F138="","",'03_Functionalities'!F138)</f>
        <v>Includes major assessment behavior for search/correlation workflows in the context of log management and troubleshooting.</v>
      </c>
      <c r="K138" s="2" t="str">
        <f>IF('03_Functionalities'!G138="","",'03_Functionalities'!G138)</f>
        <v>Excludes low-level configuration toggles, cosmetic UI behavior, and implementation-specific inventory minutiae unless they materially affect parity or risk.</v>
      </c>
      <c r="L138" s="2" t="str">
        <f>IF('03_Functionalities'!I138="","",'03_Functionalities'!I138)</f>
        <v>Operations</v>
      </c>
      <c r="M138" s="2" t="str">
        <f>IF('03_Functionalities'!J138="","",'03_Functionalities'!J138)</f>
        <v>Log Operations</v>
      </c>
      <c r="N138" s="2" t="str">
        <f>IF('03_Functionalities'!K138="","",'03_Functionalities'!K138)</f>
        <v>High</v>
      </c>
      <c r="O138" s="2" t="str">
        <f>IF('03_Functionalities'!L138="","",'03_Functionalities'!L138)</f>
        <v>High</v>
      </c>
      <c r="P138" s="2" t="str">
        <f>IF('03_Functionalities'!M138="","",'03_Functionalities'!M138)</f>
        <v>Official vendor documentation, release notes, validated KB/article, product guide, or architecture reference with version applicability.</v>
      </c>
      <c r="Q138" s="2" t="str">
        <f>IF('03_Functionalities'!N138="","",'03_Functionalities'!N138)</f>
        <v>VCF 9.1 Log management and troubleshooting Search/correlation workflows comparator parity evidence</v>
      </c>
      <c r="R138" s="2" t="str">
        <f>IF('03_Functionalities'!O138="","",'03_Functionalities'!O138)</f>
        <v>Yes</v>
      </c>
      <c r="S138" s="2" t="e">
        <f ca="1">IF(C138="","",_xludf.XLOOKUP(C138,'01_Products'!A:A,'01_Products'!K:K,0))</f>
        <v>#NAME?</v>
      </c>
      <c r="T138" s="2" t="e">
        <f ca="1">IF(B138="","",_xludf.XLOOKUP(B138,'02_Features'!A:A,'02_Features'!L:L,0))</f>
        <v>#NAME?</v>
      </c>
      <c r="U138" s="2">
        <f>IF('03_Functionalities'!P138="","",'03_Functionalities'!P138)</f>
        <v>2</v>
      </c>
      <c r="V138" s="2" t="str">
        <f>IF('03_Functionalities'!Q138="","",'03_Functionalities'!Q138)</f>
        <v>Draft</v>
      </c>
      <c r="W138" s="2" t="str">
        <f>IF('03_Functionalities'!R138="","",'03_Functionalities'!R138)</f>
        <v>https://techdocs.broadcom.com/us/en/vmware-cis/vcf/vcf-9-0-and-later/9-1/release-notes/vmware-cloud-foundation-9-1-0-0-release-notes/vmware-cloud-foundation-bill-of-materials.html</v>
      </c>
      <c r="X138" s="2" t="str">
        <f>IF('03_Functionalities'!S138="","",'03_Functionalities'!S138)</f>
        <v>High</v>
      </c>
    </row>
    <row r="139" spans="1:24" ht="71.25">
      <c r="A139" s="2" t="str">
        <f>IF('03_Functionalities'!A139="","",'03_Functionalities'!A139)</f>
        <v>FN-OPS-03-03</v>
      </c>
      <c r="B139" s="2" t="str">
        <f>IF('03_Functionalities'!B139="","",'03_Functionalities'!B139)</f>
        <v>FT-OPS-03</v>
      </c>
      <c r="C139" s="2" t="str">
        <f>IF('03_Functionalities'!C139="","",'03_Functionalities'!C139)</f>
        <v>PC-OPS</v>
      </c>
      <c r="D139" s="2" t="e">
        <f ca="1">IF(C139="","",_xludf.XLOOKUP(C139,'01_Products'!A:A,'01_Products'!B:B,"Missing Product"))</f>
        <v>#NAME?</v>
      </c>
      <c r="E139" s="2" t="e">
        <f ca="1">IF(C139="","",_xludf.XLOOKUP(C139,'01_Products'!A:A,'01_Products'!C:C,"Missing Type"))</f>
        <v>#NAME?</v>
      </c>
      <c r="F139" s="2" t="e">
        <f ca="1">IF(B139="","",_xludf.XLOOKUP(B139,'02_Features'!A:A,'02_Features'!C:C,"Missing Feature"))</f>
        <v>#NAME?</v>
      </c>
      <c r="G139" s="2" t="e">
        <f ca="1">IF(B139="","",_xludf.XLOOKUP(B139,'02_Features'!A:A,'02_Features'!E:E,"Missing Prompt"))</f>
        <v>#NAME?</v>
      </c>
      <c r="H139" s="2" t="str">
        <f>IF('03_Functionalities'!D139="","",'03_Functionalities'!D139)</f>
        <v>Troubleshooting dashboard integration</v>
      </c>
      <c r="I139" s="2" t="str">
        <f>IF('03_Functionalities'!E139="","",'03_Functionalities'!E139)</f>
        <v>Major functionality for troubleshooting dashboard integration.</v>
      </c>
      <c r="J139" s="2" t="str">
        <f>IF('03_Functionalities'!F139="","",'03_Functionalities'!F139)</f>
        <v>Includes major assessment behavior for troubleshooting dashboard integration in the context of log management and troubleshooting.</v>
      </c>
      <c r="K139" s="2" t="str">
        <f>IF('03_Functionalities'!G139="","",'03_Functionalities'!G139)</f>
        <v>Excludes low-level configuration toggles, cosmetic UI behavior, and implementation-specific inventory minutiae unless they materially affect parity or risk.</v>
      </c>
      <c r="L139" s="2" t="str">
        <f>IF('03_Functionalities'!I139="","",'03_Functionalities'!I139)</f>
        <v>Operations</v>
      </c>
      <c r="M139" s="2" t="str">
        <f>IF('03_Functionalities'!J139="","",'03_Functionalities'!J139)</f>
        <v>Log Operations</v>
      </c>
      <c r="N139" s="2" t="str">
        <f>IF('03_Functionalities'!K139="","",'03_Functionalities'!K139)</f>
        <v>High</v>
      </c>
      <c r="O139" s="2" t="str">
        <f>IF('03_Functionalities'!L139="","",'03_Functionalities'!L139)</f>
        <v>High</v>
      </c>
      <c r="P139" s="2" t="str">
        <f>IF('03_Functionalities'!M139="","",'03_Functionalities'!M139)</f>
        <v>Official vendor documentation, release notes, validated KB/article, product guide, or architecture reference with version applicability.</v>
      </c>
      <c r="Q139" s="2" t="str">
        <f>IF('03_Functionalities'!N139="","",'03_Functionalities'!N139)</f>
        <v>VCF 9.1 Log management and troubleshooting Troubleshooting dashboard integration comparator parity evidence</v>
      </c>
      <c r="R139" s="2" t="str">
        <f>IF('03_Functionalities'!O139="","",'03_Functionalities'!O139)</f>
        <v>Yes</v>
      </c>
      <c r="S139" s="2" t="e">
        <f ca="1">IF(C139="","",_xludf.XLOOKUP(C139,'01_Products'!A:A,'01_Products'!K:K,0))</f>
        <v>#NAME?</v>
      </c>
      <c r="T139" s="2" t="e">
        <f ca="1">IF(B139="","",_xludf.XLOOKUP(B139,'02_Features'!A:A,'02_Features'!L:L,0))</f>
        <v>#NAME?</v>
      </c>
      <c r="U139" s="2">
        <f>IF('03_Functionalities'!P139="","",'03_Functionalities'!P139)</f>
        <v>3</v>
      </c>
      <c r="V139" s="2" t="str">
        <f>IF('03_Functionalities'!Q139="","",'03_Functionalities'!Q139)</f>
        <v>Draft</v>
      </c>
      <c r="W139" s="2" t="str">
        <f>IF('03_Functionalities'!R139="","",'03_Functionalities'!R139)</f>
        <v>https://techdocs.broadcom.com/us/en/vmware-cis/vcf/vcf-9-0-and-later/9-1/release-notes/vmware-cloud-foundation-9-1-0-0-release-notes/vmware-cloud-foundation-bill-of-materials.html</v>
      </c>
      <c r="X139" s="2" t="str">
        <f>IF('03_Functionalities'!S139="","",'03_Functionalities'!S139)</f>
        <v>High</v>
      </c>
    </row>
    <row r="140" spans="1:24" ht="71.25">
      <c r="A140" s="2" t="str">
        <f>IF('03_Functionalities'!A140="","",'03_Functionalities'!A140)</f>
        <v>FN-OPS-04-01</v>
      </c>
      <c r="B140" s="2" t="str">
        <f>IF('03_Functionalities'!B140="","",'03_Functionalities'!B140)</f>
        <v>FT-OPS-04</v>
      </c>
      <c r="C140" s="2" t="str">
        <f>IF('03_Functionalities'!C140="","",'03_Functionalities'!C140)</f>
        <v>PC-OPS</v>
      </c>
      <c r="D140" s="2" t="e">
        <f ca="1">IF(C140="","",_xludf.XLOOKUP(C140,'01_Products'!A:A,'01_Products'!B:B,"Missing Product"))</f>
        <v>#NAME?</v>
      </c>
      <c r="E140" s="2" t="e">
        <f ca="1">IF(C140="","",_xludf.XLOOKUP(C140,'01_Products'!A:A,'01_Products'!C:C,"Missing Type"))</f>
        <v>#NAME?</v>
      </c>
      <c r="F140" s="2" t="e">
        <f ca="1">IF(B140="","",_xludf.XLOOKUP(B140,'02_Features'!A:A,'02_Features'!C:C,"Missing Feature"))</f>
        <v>#NAME?</v>
      </c>
      <c r="G140" s="2" t="e">
        <f ca="1">IF(B140="","",_xludf.XLOOKUP(B140,'02_Features'!A:A,'02_Features'!E:E,"Missing Prompt"))</f>
        <v>#NAME?</v>
      </c>
      <c r="H140" s="2" t="str">
        <f>IF('03_Functionalities'!D140="","",'03_Functionalities'!D140)</f>
        <v>Network topology/path visibility</v>
      </c>
      <c r="I140" s="2" t="str">
        <f>IF('03_Functionalities'!E140="","",'03_Functionalities'!E140)</f>
        <v>Major functionality for network topology/path visibility.</v>
      </c>
      <c r="J140" s="2" t="str">
        <f>IF('03_Functionalities'!F140="","",'03_Functionalities'!F140)</f>
        <v>Includes major assessment behavior for network topology/path visibility in the context of network observability and flow analytics.</v>
      </c>
      <c r="K140" s="2" t="str">
        <f>IF('03_Functionalities'!G140="","",'03_Functionalities'!G140)</f>
        <v>Excludes low-level configuration toggles, cosmetic UI behavior, and implementation-specific inventory minutiae unless they materially affect parity or risk.</v>
      </c>
      <c r="L140" s="2" t="str">
        <f>IF('03_Functionalities'!I140="","",'03_Functionalities'!I140)</f>
        <v>Operations</v>
      </c>
      <c r="M140" s="2" t="str">
        <f>IF('03_Functionalities'!J140="","",'03_Functionalities'!J140)</f>
        <v>Network Observability</v>
      </c>
      <c r="N140" s="2" t="str">
        <f>IF('03_Functionalities'!K140="","",'03_Functionalities'!K140)</f>
        <v>High</v>
      </c>
      <c r="O140" s="2" t="str">
        <f>IF('03_Functionalities'!L140="","",'03_Functionalities'!L140)</f>
        <v>High</v>
      </c>
      <c r="P140" s="2" t="str">
        <f>IF('03_Functionalities'!M140="","",'03_Functionalities'!M140)</f>
        <v>Official vendor documentation, release notes, validated KB/article, product guide, or architecture reference with version applicability.</v>
      </c>
      <c r="Q140" s="2" t="str">
        <f>IF('03_Functionalities'!N140="","",'03_Functionalities'!N140)</f>
        <v>VCF 9.1 Network observability and flow analytics Network topology/path visibility comparator parity evidence</v>
      </c>
      <c r="R140" s="2" t="str">
        <f>IF('03_Functionalities'!O140="","",'03_Functionalities'!O140)</f>
        <v>Yes</v>
      </c>
      <c r="S140" s="2" t="e">
        <f ca="1">IF(C140="","",_xludf.XLOOKUP(C140,'01_Products'!A:A,'01_Products'!K:K,0))</f>
        <v>#NAME?</v>
      </c>
      <c r="T140" s="2" t="e">
        <f ca="1">IF(B140="","",_xludf.XLOOKUP(B140,'02_Features'!A:A,'02_Features'!L:L,0))</f>
        <v>#NAME?</v>
      </c>
      <c r="U140" s="2">
        <f>IF('03_Functionalities'!P140="","",'03_Functionalities'!P140)</f>
        <v>1</v>
      </c>
      <c r="V140" s="2" t="str">
        <f>IF('03_Functionalities'!Q140="","",'03_Functionalities'!Q140)</f>
        <v>Draft</v>
      </c>
      <c r="W140" s="2" t="str">
        <f>IF('03_Functionalities'!R140="","",'03_Functionalities'!R140)</f>
        <v>https://techdocs.broadcom.com/us/en/vmware-cis/vcf/vcf-9-0-and-later/9-1/release-notes/vmware-cloud-foundation-9-1-0-0-release-notes/vmware-cloud-foundation-bill-of-materials.html</v>
      </c>
      <c r="X140" s="2" t="str">
        <f>IF('03_Functionalities'!S140="","",'03_Functionalities'!S140)</f>
        <v>High</v>
      </c>
    </row>
    <row r="141" spans="1:24" ht="71.25">
      <c r="A141" s="2" t="str">
        <f>IF('03_Functionalities'!A141="","",'03_Functionalities'!A141)</f>
        <v>FN-OPS-04-02</v>
      </c>
      <c r="B141" s="2" t="str">
        <f>IF('03_Functionalities'!B141="","",'03_Functionalities'!B141)</f>
        <v>FT-OPS-04</v>
      </c>
      <c r="C141" s="2" t="str">
        <f>IF('03_Functionalities'!C141="","",'03_Functionalities'!C141)</f>
        <v>PC-OPS</v>
      </c>
      <c r="D141" s="2" t="e">
        <f ca="1">IF(C141="","",_xludf.XLOOKUP(C141,'01_Products'!A:A,'01_Products'!B:B,"Missing Product"))</f>
        <v>#NAME?</v>
      </c>
      <c r="E141" s="2" t="e">
        <f ca="1">IF(C141="","",_xludf.XLOOKUP(C141,'01_Products'!A:A,'01_Products'!C:C,"Missing Type"))</f>
        <v>#NAME?</v>
      </c>
      <c r="F141" s="2" t="e">
        <f ca="1">IF(B141="","",_xludf.XLOOKUP(B141,'02_Features'!A:A,'02_Features'!C:C,"Missing Feature"))</f>
        <v>#NAME?</v>
      </c>
      <c r="G141" s="2" t="e">
        <f ca="1">IF(B141="","",_xludf.XLOOKUP(B141,'02_Features'!A:A,'02_Features'!E:E,"Missing Prompt"))</f>
        <v>#NAME?</v>
      </c>
      <c r="H141" s="2" t="str">
        <f>IF('03_Functionalities'!D141="","",'03_Functionalities'!D141)</f>
        <v>Flow analytics and dependency mapping</v>
      </c>
      <c r="I141" s="2" t="str">
        <f>IF('03_Functionalities'!E141="","",'03_Functionalities'!E141)</f>
        <v>Major functionality for flow analytics and dependency mapping.</v>
      </c>
      <c r="J141" s="2" t="str">
        <f>IF('03_Functionalities'!F141="","",'03_Functionalities'!F141)</f>
        <v>Includes major assessment behavior for flow analytics and dependency mapping in the context of network observability and flow analytics.</v>
      </c>
      <c r="K141" s="2" t="str">
        <f>IF('03_Functionalities'!G141="","",'03_Functionalities'!G141)</f>
        <v>Excludes low-level configuration toggles, cosmetic UI behavior, and implementation-specific inventory minutiae unless they materially affect parity or risk.</v>
      </c>
      <c r="L141" s="2" t="str">
        <f>IF('03_Functionalities'!I141="","",'03_Functionalities'!I141)</f>
        <v>Operations</v>
      </c>
      <c r="M141" s="2" t="str">
        <f>IF('03_Functionalities'!J141="","",'03_Functionalities'!J141)</f>
        <v>Network Observability</v>
      </c>
      <c r="N141" s="2" t="str">
        <f>IF('03_Functionalities'!K141="","",'03_Functionalities'!K141)</f>
        <v>High</v>
      </c>
      <c r="O141" s="2" t="str">
        <f>IF('03_Functionalities'!L141="","",'03_Functionalities'!L141)</f>
        <v>High</v>
      </c>
      <c r="P141" s="2" t="str">
        <f>IF('03_Functionalities'!M141="","",'03_Functionalities'!M141)</f>
        <v>Official vendor documentation, release notes, validated KB/article, product guide, or architecture reference with version applicability.</v>
      </c>
      <c r="Q141" s="2" t="str">
        <f>IF('03_Functionalities'!N141="","",'03_Functionalities'!N141)</f>
        <v>VCF 9.1 Network observability and flow analytics Flow analytics and dependency mapping comparator parity evidence</v>
      </c>
      <c r="R141" s="2" t="str">
        <f>IF('03_Functionalities'!O141="","",'03_Functionalities'!O141)</f>
        <v>Yes</v>
      </c>
      <c r="S141" s="2" t="e">
        <f ca="1">IF(C141="","",_xludf.XLOOKUP(C141,'01_Products'!A:A,'01_Products'!K:K,0))</f>
        <v>#NAME?</v>
      </c>
      <c r="T141" s="2" t="e">
        <f ca="1">IF(B141="","",_xludf.XLOOKUP(B141,'02_Features'!A:A,'02_Features'!L:L,0))</f>
        <v>#NAME?</v>
      </c>
      <c r="U141" s="2">
        <f>IF('03_Functionalities'!P141="","",'03_Functionalities'!P141)</f>
        <v>2</v>
      </c>
      <c r="V141" s="2" t="str">
        <f>IF('03_Functionalities'!Q141="","",'03_Functionalities'!Q141)</f>
        <v>Draft</v>
      </c>
      <c r="W141" s="2" t="str">
        <f>IF('03_Functionalities'!R141="","",'03_Functionalities'!R141)</f>
        <v>https://techdocs.broadcom.com/us/en/vmware-cis/vcf/vcf-9-0-and-later/9-1/release-notes/vmware-cloud-foundation-9-1-0-0-release-notes/vmware-cloud-foundation-bill-of-materials.html</v>
      </c>
      <c r="X141" s="2" t="str">
        <f>IF('03_Functionalities'!S141="","",'03_Functionalities'!S141)</f>
        <v>High</v>
      </c>
    </row>
    <row r="142" spans="1:24" ht="71.25">
      <c r="A142" s="2" t="str">
        <f>IF('03_Functionalities'!A142="","",'03_Functionalities'!A142)</f>
        <v>FN-OPS-04-03</v>
      </c>
      <c r="B142" s="2" t="str">
        <f>IF('03_Functionalities'!B142="","",'03_Functionalities'!B142)</f>
        <v>FT-OPS-04</v>
      </c>
      <c r="C142" s="2" t="str">
        <f>IF('03_Functionalities'!C142="","",'03_Functionalities'!C142)</f>
        <v>PC-OPS</v>
      </c>
      <c r="D142" s="2" t="e">
        <f ca="1">IF(C142="","",_xludf.XLOOKUP(C142,'01_Products'!A:A,'01_Products'!B:B,"Missing Product"))</f>
        <v>#NAME?</v>
      </c>
      <c r="E142" s="2" t="e">
        <f ca="1">IF(C142="","",_xludf.XLOOKUP(C142,'01_Products'!A:A,'01_Products'!C:C,"Missing Type"))</f>
        <v>#NAME?</v>
      </c>
      <c r="F142" s="2" t="e">
        <f ca="1">IF(B142="","",_xludf.XLOOKUP(B142,'02_Features'!A:A,'02_Features'!C:C,"Missing Feature"))</f>
        <v>#NAME?</v>
      </c>
      <c r="G142" s="2" t="e">
        <f ca="1">IF(B142="","",_xludf.XLOOKUP(B142,'02_Features'!A:A,'02_Features'!E:E,"Missing Prompt"))</f>
        <v>#NAME?</v>
      </c>
      <c r="H142" s="2" t="str">
        <f>IF('03_Functionalities'!D142="","",'03_Functionalities'!D142)</f>
        <v>Physical/virtual network correlation</v>
      </c>
      <c r="I142" s="2" t="str">
        <f>IF('03_Functionalities'!E142="","",'03_Functionalities'!E142)</f>
        <v>Major functionality for physical/virtual network correlation.</v>
      </c>
      <c r="J142" s="2" t="str">
        <f>IF('03_Functionalities'!F142="","",'03_Functionalities'!F142)</f>
        <v>Includes major assessment behavior for physical/virtual network correlation in the context of network observability and flow analytics.</v>
      </c>
      <c r="K142" s="2" t="str">
        <f>IF('03_Functionalities'!G142="","",'03_Functionalities'!G142)</f>
        <v>Excludes low-level configuration toggles, cosmetic UI behavior, and implementation-specific inventory minutiae unless they materially affect parity or risk.</v>
      </c>
      <c r="L142" s="2" t="str">
        <f>IF('03_Functionalities'!I142="","",'03_Functionalities'!I142)</f>
        <v>Operations</v>
      </c>
      <c r="M142" s="2" t="str">
        <f>IF('03_Functionalities'!J142="","",'03_Functionalities'!J142)</f>
        <v>Network Observability</v>
      </c>
      <c r="N142" s="2" t="str">
        <f>IF('03_Functionalities'!K142="","",'03_Functionalities'!K142)</f>
        <v>High</v>
      </c>
      <c r="O142" s="2" t="str">
        <f>IF('03_Functionalities'!L142="","",'03_Functionalities'!L142)</f>
        <v>High</v>
      </c>
      <c r="P142" s="2" t="str">
        <f>IF('03_Functionalities'!M142="","",'03_Functionalities'!M142)</f>
        <v>Official vendor documentation, release notes, validated KB/article, product guide, or architecture reference with version applicability.</v>
      </c>
      <c r="Q142" s="2" t="str">
        <f>IF('03_Functionalities'!N142="","",'03_Functionalities'!N142)</f>
        <v>VCF 9.1 Network observability and flow analytics Physical/virtual network correlation comparator parity evidence</v>
      </c>
      <c r="R142" s="2" t="str">
        <f>IF('03_Functionalities'!O142="","",'03_Functionalities'!O142)</f>
        <v>Yes</v>
      </c>
      <c r="S142" s="2" t="e">
        <f ca="1">IF(C142="","",_xludf.XLOOKUP(C142,'01_Products'!A:A,'01_Products'!K:K,0))</f>
        <v>#NAME?</v>
      </c>
      <c r="T142" s="2" t="e">
        <f ca="1">IF(B142="","",_xludf.XLOOKUP(B142,'02_Features'!A:A,'02_Features'!L:L,0))</f>
        <v>#NAME?</v>
      </c>
      <c r="U142" s="2">
        <f>IF('03_Functionalities'!P142="","",'03_Functionalities'!P142)</f>
        <v>3</v>
      </c>
      <c r="V142" s="2" t="str">
        <f>IF('03_Functionalities'!Q142="","",'03_Functionalities'!Q142)</f>
        <v>Draft</v>
      </c>
      <c r="W142" s="2" t="str">
        <f>IF('03_Functionalities'!R142="","",'03_Functionalities'!R142)</f>
        <v>https://techdocs.broadcom.com/us/en/vmware-cis/vcf/vcf-9-0-and-later/9-1/release-notes/vmware-cloud-foundation-9-1-0-0-release-notes/vmware-cloud-foundation-bill-of-materials.html</v>
      </c>
      <c r="X142" s="2" t="str">
        <f>IF('03_Functionalities'!S142="","",'03_Functionalities'!S142)</f>
        <v>High</v>
      </c>
    </row>
    <row r="143" spans="1:24" ht="71.25">
      <c r="A143" s="2" t="str">
        <f>IF('03_Functionalities'!A143="","",'03_Functionalities'!A143)</f>
        <v>FN-OPS-05-01</v>
      </c>
      <c r="B143" s="2" t="str">
        <f>IF('03_Functionalities'!B143="","",'03_Functionalities'!B143)</f>
        <v>FT-OPS-05</v>
      </c>
      <c r="C143" s="2" t="str">
        <f>IF('03_Functionalities'!C143="","",'03_Functionalities'!C143)</f>
        <v>PC-OPS</v>
      </c>
      <c r="D143" s="2" t="e">
        <f ca="1">IF(C143="","",_xludf.XLOOKUP(C143,'01_Products'!A:A,'01_Products'!B:B,"Missing Product"))</f>
        <v>#NAME?</v>
      </c>
      <c r="E143" s="2" t="e">
        <f ca="1">IF(C143="","",_xludf.XLOOKUP(C143,'01_Products'!A:A,'01_Products'!C:C,"Missing Type"))</f>
        <v>#NAME?</v>
      </c>
      <c r="F143" s="2" t="e">
        <f ca="1">IF(B143="","",_xludf.XLOOKUP(B143,'02_Features'!A:A,'02_Features'!C:C,"Missing Feature"))</f>
        <v>#NAME?</v>
      </c>
      <c r="G143" s="2" t="e">
        <f ca="1">IF(B143="","",_xludf.XLOOKUP(B143,'02_Features'!A:A,'02_Features'!E:E,"Missing Prompt"))</f>
        <v>#NAME?</v>
      </c>
      <c r="H143" s="2" t="str">
        <f>IF('03_Functionalities'!D143="","",'03_Functionalities'!D143)</f>
        <v>Real-time metric collection</v>
      </c>
      <c r="I143" s="2" t="str">
        <f>IF('03_Functionalities'!E143="","",'03_Functionalities'!E143)</f>
        <v>Major functionality for real-time metric collection.</v>
      </c>
      <c r="J143" s="2" t="str">
        <f>IF('03_Functionalities'!F143="","",'03_Functionalities'!F143)</f>
        <v>Includes major assessment behavior for real-time metric collection in the context of real-time metrics and metrics store.</v>
      </c>
      <c r="K143" s="2" t="str">
        <f>IF('03_Functionalities'!G143="","",'03_Functionalities'!G143)</f>
        <v>Excludes low-level configuration toggles, cosmetic UI behavior, and implementation-specific inventory minutiae unless they materially affect parity or risk.</v>
      </c>
      <c r="L143" s="2" t="str">
        <f>IF('03_Functionalities'!I143="","",'03_Functionalities'!I143)</f>
        <v>Operations</v>
      </c>
      <c r="M143" s="2" t="str">
        <f>IF('03_Functionalities'!J143="","",'03_Functionalities'!J143)</f>
        <v>Metrics</v>
      </c>
      <c r="N143" s="2" t="str">
        <f>IF('03_Functionalities'!K143="","",'03_Functionalities'!K143)</f>
        <v>Medium</v>
      </c>
      <c r="O143" s="2" t="str">
        <f>IF('03_Functionalities'!L143="","",'03_Functionalities'!L143)</f>
        <v>Medium</v>
      </c>
      <c r="P143" s="2" t="str">
        <f>IF('03_Functionalities'!M143="","",'03_Functionalities'!M143)</f>
        <v>Official vendor documentation, release notes, validated KB/article, product guide, or architecture reference with version applicability.</v>
      </c>
      <c r="Q143" s="2" t="str">
        <f>IF('03_Functionalities'!N143="","",'03_Functionalities'!N143)</f>
        <v>VCF 9.1 Real-time metrics and metrics store Real-time metric collection comparator parity evidence</v>
      </c>
      <c r="R143" s="2" t="str">
        <f>IF('03_Functionalities'!O143="","",'03_Functionalities'!O143)</f>
        <v>Yes</v>
      </c>
      <c r="S143" s="2" t="e">
        <f ca="1">IF(C143="","",_xludf.XLOOKUP(C143,'01_Products'!A:A,'01_Products'!K:K,0))</f>
        <v>#NAME?</v>
      </c>
      <c r="T143" s="2" t="e">
        <f ca="1">IF(B143="","",_xludf.XLOOKUP(B143,'02_Features'!A:A,'02_Features'!L:L,0))</f>
        <v>#NAME?</v>
      </c>
      <c r="U143" s="2">
        <f>IF('03_Functionalities'!P143="","",'03_Functionalities'!P143)</f>
        <v>1</v>
      </c>
      <c r="V143" s="2" t="str">
        <f>IF('03_Functionalities'!Q143="","",'03_Functionalities'!Q143)</f>
        <v>Draft</v>
      </c>
      <c r="W143" s="2" t="str">
        <f>IF('03_Functionalities'!R143="","",'03_Functionalities'!R143)</f>
        <v>https://techdocs.broadcom.com/us/en/vmware-cis/vcf/vcf-9-0-and-later/9-1/release-notes/vmware-cloud-foundation-9-1-0-0-release-notes/vmware-cloud-foundation-bill-of-materials.html</v>
      </c>
      <c r="X143" s="2" t="str">
        <f>IF('03_Functionalities'!S143="","",'03_Functionalities'!S143)</f>
        <v>High</v>
      </c>
    </row>
    <row r="144" spans="1:24" ht="71.25">
      <c r="A144" s="2" t="str">
        <f>IF('03_Functionalities'!A144="","",'03_Functionalities'!A144)</f>
        <v>FN-OPS-05-02</v>
      </c>
      <c r="B144" s="2" t="str">
        <f>IF('03_Functionalities'!B144="","",'03_Functionalities'!B144)</f>
        <v>FT-OPS-05</v>
      </c>
      <c r="C144" s="2" t="str">
        <f>IF('03_Functionalities'!C144="","",'03_Functionalities'!C144)</f>
        <v>PC-OPS</v>
      </c>
      <c r="D144" s="2" t="e">
        <f ca="1">IF(C144="","",_xludf.XLOOKUP(C144,'01_Products'!A:A,'01_Products'!B:B,"Missing Product"))</f>
        <v>#NAME?</v>
      </c>
      <c r="E144" s="2" t="e">
        <f ca="1">IF(C144="","",_xludf.XLOOKUP(C144,'01_Products'!A:A,'01_Products'!C:C,"Missing Type"))</f>
        <v>#NAME?</v>
      </c>
      <c r="F144" s="2" t="e">
        <f ca="1">IF(B144="","",_xludf.XLOOKUP(B144,'02_Features'!A:A,'02_Features'!C:C,"Missing Feature"))</f>
        <v>#NAME?</v>
      </c>
      <c r="G144" s="2" t="e">
        <f ca="1">IF(B144="","",_xludf.XLOOKUP(B144,'02_Features'!A:A,'02_Features'!E:E,"Missing Prompt"))</f>
        <v>#NAME?</v>
      </c>
      <c r="H144" s="2" t="str">
        <f>IF('03_Functionalities'!D144="","",'03_Functionalities'!D144)</f>
        <v>Metrics store retention and query</v>
      </c>
      <c r="I144" s="2" t="str">
        <f>IF('03_Functionalities'!E144="","",'03_Functionalities'!E144)</f>
        <v>Major functionality for metrics store retention and query.</v>
      </c>
      <c r="J144" s="2" t="str">
        <f>IF('03_Functionalities'!F144="","",'03_Functionalities'!F144)</f>
        <v>Includes major assessment behavior for metrics store retention and query in the context of real-time metrics and metrics store.</v>
      </c>
      <c r="K144" s="2" t="str">
        <f>IF('03_Functionalities'!G144="","",'03_Functionalities'!G144)</f>
        <v>Excludes low-level configuration toggles, cosmetic UI behavior, and implementation-specific inventory minutiae unless they materially affect parity or risk.</v>
      </c>
      <c r="L144" s="2" t="str">
        <f>IF('03_Functionalities'!I144="","",'03_Functionalities'!I144)</f>
        <v>Operations</v>
      </c>
      <c r="M144" s="2" t="str">
        <f>IF('03_Functionalities'!J144="","",'03_Functionalities'!J144)</f>
        <v>Metrics</v>
      </c>
      <c r="N144" s="2" t="str">
        <f>IF('03_Functionalities'!K144="","",'03_Functionalities'!K144)</f>
        <v>Medium</v>
      </c>
      <c r="O144" s="2" t="str">
        <f>IF('03_Functionalities'!L144="","",'03_Functionalities'!L144)</f>
        <v>Medium</v>
      </c>
      <c r="P144" s="2" t="str">
        <f>IF('03_Functionalities'!M144="","",'03_Functionalities'!M144)</f>
        <v>Official vendor documentation, release notes, validated KB/article, product guide, or architecture reference with version applicability.</v>
      </c>
      <c r="Q144" s="2" t="str">
        <f>IF('03_Functionalities'!N144="","",'03_Functionalities'!N144)</f>
        <v>VCF 9.1 Real-time metrics and metrics store Metrics store retention and query comparator parity evidence</v>
      </c>
      <c r="R144" s="2" t="str">
        <f>IF('03_Functionalities'!O144="","",'03_Functionalities'!O144)</f>
        <v>Yes</v>
      </c>
      <c r="S144" s="2" t="e">
        <f ca="1">IF(C144="","",_xludf.XLOOKUP(C144,'01_Products'!A:A,'01_Products'!K:K,0))</f>
        <v>#NAME?</v>
      </c>
      <c r="T144" s="2" t="e">
        <f ca="1">IF(B144="","",_xludf.XLOOKUP(B144,'02_Features'!A:A,'02_Features'!L:L,0))</f>
        <v>#NAME?</v>
      </c>
      <c r="U144" s="2">
        <f>IF('03_Functionalities'!P144="","",'03_Functionalities'!P144)</f>
        <v>2</v>
      </c>
      <c r="V144" s="2" t="str">
        <f>IF('03_Functionalities'!Q144="","",'03_Functionalities'!Q144)</f>
        <v>Draft</v>
      </c>
      <c r="W144" s="2" t="str">
        <f>IF('03_Functionalities'!R144="","",'03_Functionalities'!R144)</f>
        <v>https://techdocs.broadcom.com/us/en/vmware-cis/vcf/vcf-9-0-and-later/9-1/release-notes/vmware-cloud-foundation-9-1-0-0-release-notes/vmware-cloud-foundation-bill-of-materials.html</v>
      </c>
      <c r="X144" s="2" t="str">
        <f>IF('03_Functionalities'!S144="","",'03_Functionalities'!S144)</f>
        <v>High</v>
      </c>
    </row>
    <row r="145" spans="1:24" ht="71.25">
      <c r="A145" s="2" t="str">
        <f>IF('03_Functionalities'!A145="","",'03_Functionalities'!A145)</f>
        <v>FN-OPS-05-03</v>
      </c>
      <c r="B145" s="2" t="str">
        <f>IF('03_Functionalities'!B145="","",'03_Functionalities'!B145)</f>
        <v>FT-OPS-05</v>
      </c>
      <c r="C145" s="2" t="str">
        <f>IF('03_Functionalities'!C145="","",'03_Functionalities'!C145)</f>
        <v>PC-OPS</v>
      </c>
      <c r="D145" s="2" t="e">
        <f ca="1">IF(C145="","",_xludf.XLOOKUP(C145,'01_Products'!A:A,'01_Products'!B:B,"Missing Product"))</f>
        <v>#NAME?</v>
      </c>
      <c r="E145" s="2" t="e">
        <f ca="1">IF(C145="","",_xludf.XLOOKUP(C145,'01_Products'!A:A,'01_Products'!C:C,"Missing Type"))</f>
        <v>#NAME?</v>
      </c>
      <c r="F145" s="2" t="e">
        <f ca="1">IF(B145="","",_xludf.XLOOKUP(B145,'02_Features'!A:A,'02_Features'!C:C,"Missing Feature"))</f>
        <v>#NAME?</v>
      </c>
      <c r="G145" s="2" t="e">
        <f ca="1">IF(B145="","",_xludf.XLOOKUP(B145,'02_Features'!A:A,'02_Features'!E:E,"Missing Prompt"))</f>
        <v>#NAME?</v>
      </c>
      <c r="H145" s="2" t="str">
        <f>IF('03_Functionalities'!D145="","",'03_Functionalities'!D145)</f>
        <v>Metric consumption by operations components</v>
      </c>
      <c r="I145" s="2" t="str">
        <f>IF('03_Functionalities'!E145="","",'03_Functionalities'!E145)</f>
        <v>Major functionality for metric consumption by operations components.</v>
      </c>
      <c r="J145" s="2" t="str">
        <f>IF('03_Functionalities'!F145="","",'03_Functionalities'!F145)</f>
        <v>Includes major assessment behavior for metric consumption by operations components in the context of real-time metrics and metrics store.</v>
      </c>
      <c r="K145" s="2" t="str">
        <f>IF('03_Functionalities'!G145="","",'03_Functionalities'!G145)</f>
        <v>Excludes low-level configuration toggles, cosmetic UI behavior, and implementation-specific inventory minutiae unless they materially affect parity or risk.</v>
      </c>
      <c r="L145" s="2" t="str">
        <f>IF('03_Functionalities'!I145="","",'03_Functionalities'!I145)</f>
        <v>Operations</v>
      </c>
      <c r="M145" s="2" t="str">
        <f>IF('03_Functionalities'!J145="","",'03_Functionalities'!J145)</f>
        <v>Metrics</v>
      </c>
      <c r="N145" s="2" t="str">
        <f>IF('03_Functionalities'!K145="","",'03_Functionalities'!K145)</f>
        <v>Medium</v>
      </c>
      <c r="O145" s="2" t="str">
        <f>IF('03_Functionalities'!L145="","",'03_Functionalities'!L145)</f>
        <v>Medium</v>
      </c>
      <c r="P145" s="2" t="str">
        <f>IF('03_Functionalities'!M145="","",'03_Functionalities'!M145)</f>
        <v>Official vendor documentation, release notes, validated KB/article, product guide, or architecture reference with version applicability.</v>
      </c>
      <c r="Q145" s="2" t="str">
        <f>IF('03_Functionalities'!N145="","",'03_Functionalities'!N145)</f>
        <v>VCF 9.1 Real-time metrics and metrics store Metric consumption by operations components comparator parity evidence</v>
      </c>
      <c r="R145" s="2" t="str">
        <f>IF('03_Functionalities'!O145="","",'03_Functionalities'!O145)</f>
        <v>Yes</v>
      </c>
      <c r="S145" s="2" t="e">
        <f ca="1">IF(C145="","",_xludf.XLOOKUP(C145,'01_Products'!A:A,'01_Products'!K:K,0))</f>
        <v>#NAME?</v>
      </c>
      <c r="T145" s="2" t="e">
        <f ca="1">IF(B145="","",_xludf.XLOOKUP(B145,'02_Features'!A:A,'02_Features'!L:L,0))</f>
        <v>#NAME?</v>
      </c>
      <c r="U145" s="2">
        <f>IF('03_Functionalities'!P145="","",'03_Functionalities'!P145)</f>
        <v>3</v>
      </c>
      <c r="V145" s="2" t="str">
        <f>IF('03_Functionalities'!Q145="","",'03_Functionalities'!Q145)</f>
        <v>Draft</v>
      </c>
      <c r="W145" s="2" t="str">
        <f>IF('03_Functionalities'!R145="","",'03_Functionalities'!R145)</f>
        <v>https://techdocs.broadcom.com/us/en/vmware-cis/vcf/vcf-9-0-and-later/9-1/release-notes/vmware-cloud-foundation-9-1-0-0-release-notes/vmware-cloud-foundation-bill-of-materials.html</v>
      </c>
      <c r="X145" s="2" t="str">
        <f>IF('03_Functionalities'!S145="","",'03_Functionalities'!S145)</f>
        <v>High</v>
      </c>
    </row>
    <row r="146" spans="1:24" ht="57">
      <c r="A146" s="2" t="str">
        <f>IF('03_Functionalities'!A146="","",'03_Functionalities'!A146)</f>
        <v>FN-OPS-06-01</v>
      </c>
      <c r="B146" s="2" t="str">
        <f>IF('03_Functionalities'!B146="","",'03_Functionalities'!B146)</f>
        <v>FT-OPS-06</v>
      </c>
      <c r="C146" s="2" t="str">
        <f>IF('03_Functionalities'!C146="","",'03_Functionalities'!C146)</f>
        <v>PC-OPS</v>
      </c>
      <c r="D146" s="2" t="e">
        <f ca="1">IF(C146="","",_xludf.XLOOKUP(C146,'01_Products'!A:A,'01_Products'!B:B,"Missing Product"))</f>
        <v>#NAME?</v>
      </c>
      <c r="E146" s="2" t="e">
        <f ca="1">IF(C146="","",_xludf.XLOOKUP(C146,'01_Products'!A:A,'01_Products'!C:C,"Missing Type"))</f>
        <v>#NAME?</v>
      </c>
      <c r="F146" s="2" t="e">
        <f ca="1">IF(B146="","",_xludf.XLOOKUP(B146,'02_Features'!A:A,'02_Features'!C:C,"Missing Feature"))</f>
        <v>#NAME?</v>
      </c>
      <c r="G146" s="2" t="e">
        <f ca="1">IF(B146="","",_xludf.XLOOKUP(B146,'02_Features'!A:A,'02_Features'!E:E,"Missing Prompt"))</f>
        <v>#NAME?</v>
      </c>
      <c r="H146" s="2" t="str">
        <f>IF('03_Functionalities'!D146="","",'03_Functionalities'!D146)</f>
        <v>Compliance posture assessment</v>
      </c>
      <c r="I146" s="2" t="str">
        <f>IF('03_Functionalities'!E146="","",'03_Functionalities'!E146)</f>
        <v>Major functionality for compliance posture assessment.</v>
      </c>
      <c r="J146" s="2" t="str">
        <f>IF('03_Functionalities'!F146="","",'03_Functionalities'!F146)</f>
        <v>Includes major assessment behavior for compliance posture assessment in the context of compliance posture and configuration drift.</v>
      </c>
      <c r="K146" s="2" t="str">
        <f>IF('03_Functionalities'!G146="","",'03_Functionalities'!G146)</f>
        <v>Excludes low-level configuration toggles, cosmetic UI behavior, and implementation-specific inventory minutiae unless they materially affect parity or risk.</v>
      </c>
      <c r="L146" s="2" t="str">
        <f>IF('03_Functionalities'!I146="","",'03_Functionalities'!I146)</f>
        <v>Security</v>
      </c>
      <c r="M146" s="2" t="str">
        <f>IF('03_Functionalities'!J146="","",'03_Functionalities'!J146)</f>
        <v>Compliance Operations</v>
      </c>
      <c r="N146" s="2" t="str">
        <f>IF('03_Functionalities'!K146="","",'03_Functionalities'!K146)</f>
        <v>High</v>
      </c>
      <c r="O146" s="2" t="str">
        <f>IF('03_Functionalities'!L146="","",'03_Functionalities'!L146)</f>
        <v>High</v>
      </c>
      <c r="P146" s="2" t="str">
        <f>IF('03_Functionalities'!M146="","",'03_Functionalities'!M146)</f>
        <v>Official vendor documentation, release notes, validated KB/article, product guide, or architecture reference with version applicability.</v>
      </c>
      <c r="Q146" s="2" t="str">
        <f>IF('03_Functionalities'!N146="","",'03_Functionalities'!N146)</f>
        <v>VCF 9.1 Compliance posture and configuration drift Compliance posture assessment comparator parity evidence</v>
      </c>
      <c r="R146" s="2" t="str">
        <f>IF('03_Functionalities'!O146="","",'03_Functionalities'!O146)</f>
        <v>Yes</v>
      </c>
      <c r="S146" s="2" t="e">
        <f ca="1">IF(C146="","",_xludf.XLOOKUP(C146,'01_Products'!A:A,'01_Products'!K:K,0))</f>
        <v>#NAME?</v>
      </c>
      <c r="T146" s="2" t="e">
        <f ca="1">IF(B146="","",_xludf.XLOOKUP(B146,'02_Features'!A:A,'02_Features'!L:L,0))</f>
        <v>#NAME?</v>
      </c>
      <c r="U146" s="2">
        <f>IF('03_Functionalities'!P146="","",'03_Functionalities'!P146)</f>
        <v>1</v>
      </c>
      <c r="V146" s="2" t="str">
        <f>IF('03_Functionalities'!Q146="","",'03_Functionalities'!Q146)</f>
        <v>Draft</v>
      </c>
      <c r="W146" s="2" t="str">
        <f>IF('03_Functionalities'!R146="","",'03_Functionalities'!R146)</f>
        <v>https://www.vmware.com/docs/vmware-cloud-foundation-9-1-general-faqs</v>
      </c>
      <c r="X146" s="2" t="str">
        <f>IF('03_Functionalities'!S146="","",'03_Functionalities'!S146)</f>
        <v>High</v>
      </c>
    </row>
    <row r="147" spans="1:24" ht="57">
      <c r="A147" s="2" t="str">
        <f>IF('03_Functionalities'!A147="","",'03_Functionalities'!A147)</f>
        <v>FN-OPS-06-02</v>
      </c>
      <c r="B147" s="2" t="str">
        <f>IF('03_Functionalities'!B147="","",'03_Functionalities'!B147)</f>
        <v>FT-OPS-06</v>
      </c>
      <c r="C147" s="2" t="str">
        <f>IF('03_Functionalities'!C147="","",'03_Functionalities'!C147)</f>
        <v>PC-OPS</v>
      </c>
      <c r="D147" s="2" t="e">
        <f ca="1">IF(C147="","",_xludf.XLOOKUP(C147,'01_Products'!A:A,'01_Products'!B:B,"Missing Product"))</f>
        <v>#NAME?</v>
      </c>
      <c r="E147" s="2" t="e">
        <f ca="1">IF(C147="","",_xludf.XLOOKUP(C147,'01_Products'!A:A,'01_Products'!C:C,"Missing Type"))</f>
        <v>#NAME?</v>
      </c>
      <c r="F147" s="2" t="e">
        <f ca="1">IF(B147="","",_xludf.XLOOKUP(B147,'02_Features'!A:A,'02_Features'!C:C,"Missing Feature"))</f>
        <v>#NAME?</v>
      </c>
      <c r="G147" s="2" t="e">
        <f ca="1">IF(B147="","",_xludf.XLOOKUP(B147,'02_Features'!A:A,'02_Features'!E:E,"Missing Prompt"))</f>
        <v>#NAME?</v>
      </c>
      <c r="H147" s="2" t="str">
        <f>IF('03_Functionalities'!D147="","",'03_Functionalities'!D147)</f>
        <v>Configuration drift detection</v>
      </c>
      <c r="I147" s="2" t="str">
        <f>IF('03_Functionalities'!E147="","",'03_Functionalities'!E147)</f>
        <v>Major functionality for configuration drift detection.</v>
      </c>
      <c r="J147" s="2" t="str">
        <f>IF('03_Functionalities'!F147="","",'03_Functionalities'!F147)</f>
        <v>Includes major assessment behavior for configuration drift detection in the context of compliance posture and configuration drift.</v>
      </c>
      <c r="K147" s="2" t="str">
        <f>IF('03_Functionalities'!G147="","",'03_Functionalities'!G147)</f>
        <v>Excludes low-level configuration toggles, cosmetic UI behavior, and implementation-specific inventory minutiae unless they materially affect parity or risk.</v>
      </c>
      <c r="L147" s="2" t="str">
        <f>IF('03_Functionalities'!I147="","",'03_Functionalities'!I147)</f>
        <v>Security</v>
      </c>
      <c r="M147" s="2" t="str">
        <f>IF('03_Functionalities'!J147="","",'03_Functionalities'!J147)</f>
        <v>Compliance Operations</v>
      </c>
      <c r="N147" s="2" t="str">
        <f>IF('03_Functionalities'!K147="","",'03_Functionalities'!K147)</f>
        <v>High</v>
      </c>
      <c r="O147" s="2" t="str">
        <f>IF('03_Functionalities'!L147="","",'03_Functionalities'!L147)</f>
        <v>High</v>
      </c>
      <c r="P147" s="2" t="str">
        <f>IF('03_Functionalities'!M147="","",'03_Functionalities'!M147)</f>
        <v>Official vendor documentation, release notes, validated KB/article, product guide, or architecture reference with version applicability.</v>
      </c>
      <c r="Q147" s="2" t="str">
        <f>IF('03_Functionalities'!N147="","",'03_Functionalities'!N147)</f>
        <v>VCF 9.1 Compliance posture and configuration drift Configuration drift detection comparator parity evidence</v>
      </c>
      <c r="R147" s="2" t="str">
        <f>IF('03_Functionalities'!O147="","",'03_Functionalities'!O147)</f>
        <v>Yes</v>
      </c>
      <c r="S147" s="2" t="e">
        <f ca="1">IF(C147="","",_xludf.XLOOKUP(C147,'01_Products'!A:A,'01_Products'!K:K,0))</f>
        <v>#NAME?</v>
      </c>
      <c r="T147" s="2" t="e">
        <f ca="1">IF(B147="","",_xludf.XLOOKUP(B147,'02_Features'!A:A,'02_Features'!L:L,0))</f>
        <v>#NAME?</v>
      </c>
      <c r="U147" s="2">
        <f>IF('03_Functionalities'!P147="","",'03_Functionalities'!P147)</f>
        <v>2</v>
      </c>
      <c r="V147" s="2" t="str">
        <f>IF('03_Functionalities'!Q147="","",'03_Functionalities'!Q147)</f>
        <v>Draft</v>
      </c>
      <c r="W147" s="2" t="str">
        <f>IF('03_Functionalities'!R147="","",'03_Functionalities'!R147)</f>
        <v>https://www.vmware.com/docs/vmware-cloud-foundation-9-1-general-faqs</v>
      </c>
      <c r="X147" s="2" t="str">
        <f>IF('03_Functionalities'!S147="","",'03_Functionalities'!S147)</f>
        <v>High</v>
      </c>
    </row>
    <row r="148" spans="1:24" ht="57">
      <c r="A148" s="2" t="str">
        <f>IF('03_Functionalities'!A148="","",'03_Functionalities'!A148)</f>
        <v>FN-OPS-06-03</v>
      </c>
      <c r="B148" s="2" t="str">
        <f>IF('03_Functionalities'!B148="","",'03_Functionalities'!B148)</f>
        <v>FT-OPS-06</v>
      </c>
      <c r="C148" s="2" t="str">
        <f>IF('03_Functionalities'!C148="","",'03_Functionalities'!C148)</f>
        <v>PC-OPS</v>
      </c>
      <c r="D148" s="2" t="e">
        <f ca="1">IF(C148="","",_xludf.XLOOKUP(C148,'01_Products'!A:A,'01_Products'!B:B,"Missing Product"))</f>
        <v>#NAME?</v>
      </c>
      <c r="E148" s="2" t="e">
        <f ca="1">IF(C148="","",_xludf.XLOOKUP(C148,'01_Products'!A:A,'01_Products'!C:C,"Missing Type"))</f>
        <v>#NAME?</v>
      </c>
      <c r="F148" s="2" t="e">
        <f ca="1">IF(B148="","",_xludf.XLOOKUP(B148,'02_Features'!A:A,'02_Features'!C:C,"Missing Feature"))</f>
        <v>#NAME?</v>
      </c>
      <c r="G148" s="2" t="e">
        <f ca="1">IF(B148="","",_xludf.XLOOKUP(B148,'02_Features'!A:A,'02_Features'!E:E,"Missing Prompt"))</f>
        <v>#NAME?</v>
      </c>
      <c r="H148" s="2" t="str">
        <f>IF('03_Functionalities'!D148="","",'03_Functionalities'!D148)</f>
        <v>Remediation evidence and reporting</v>
      </c>
      <c r="I148" s="2" t="str">
        <f>IF('03_Functionalities'!E148="","",'03_Functionalities'!E148)</f>
        <v>Major functionality for remediation evidence and reporting.</v>
      </c>
      <c r="J148" s="2" t="str">
        <f>IF('03_Functionalities'!F148="","",'03_Functionalities'!F148)</f>
        <v>Includes major assessment behavior for remediation evidence and reporting in the context of compliance posture and configuration drift.</v>
      </c>
      <c r="K148" s="2" t="str">
        <f>IF('03_Functionalities'!G148="","",'03_Functionalities'!G148)</f>
        <v>Excludes low-level configuration toggles, cosmetic UI behavior, and implementation-specific inventory minutiae unless they materially affect parity or risk.</v>
      </c>
      <c r="L148" s="2" t="str">
        <f>IF('03_Functionalities'!I148="","",'03_Functionalities'!I148)</f>
        <v>Security</v>
      </c>
      <c r="M148" s="2" t="str">
        <f>IF('03_Functionalities'!J148="","",'03_Functionalities'!J148)</f>
        <v>Compliance Operations</v>
      </c>
      <c r="N148" s="2" t="str">
        <f>IF('03_Functionalities'!K148="","",'03_Functionalities'!K148)</f>
        <v>High</v>
      </c>
      <c r="O148" s="2" t="str">
        <f>IF('03_Functionalities'!L148="","",'03_Functionalities'!L148)</f>
        <v>High</v>
      </c>
      <c r="P148" s="2" t="str">
        <f>IF('03_Functionalities'!M148="","",'03_Functionalities'!M148)</f>
        <v>Official vendor documentation, release notes, validated KB/article, product guide, or architecture reference with version applicability.</v>
      </c>
      <c r="Q148" s="2" t="str">
        <f>IF('03_Functionalities'!N148="","",'03_Functionalities'!N148)</f>
        <v>VCF 9.1 Compliance posture and configuration drift Remediation evidence and reporting comparator parity evidence</v>
      </c>
      <c r="R148" s="2" t="str">
        <f>IF('03_Functionalities'!O148="","",'03_Functionalities'!O148)</f>
        <v>Yes</v>
      </c>
      <c r="S148" s="2" t="e">
        <f ca="1">IF(C148="","",_xludf.XLOOKUP(C148,'01_Products'!A:A,'01_Products'!K:K,0))</f>
        <v>#NAME?</v>
      </c>
      <c r="T148" s="2" t="e">
        <f ca="1">IF(B148="","",_xludf.XLOOKUP(B148,'02_Features'!A:A,'02_Features'!L:L,0))</f>
        <v>#NAME?</v>
      </c>
      <c r="U148" s="2">
        <f>IF('03_Functionalities'!P148="","",'03_Functionalities'!P148)</f>
        <v>3</v>
      </c>
      <c r="V148" s="2" t="str">
        <f>IF('03_Functionalities'!Q148="","",'03_Functionalities'!Q148)</f>
        <v>Draft</v>
      </c>
      <c r="W148" s="2" t="str">
        <f>IF('03_Functionalities'!R148="","",'03_Functionalities'!R148)</f>
        <v>https://www.vmware.com/docs/vmware-cloud-foundation-9-1-general-faqs</v>
      </c>
      <c r="X148" s="2" t="str">
        <f>IF('03_Functionalities'!S148="","",'03_Functionalities'!S148)</f>
        <v>High</v>
      </c>
    </row>
    <row r="149" spans="1:24" ht="71.25">
      <c r="A149" s="2" t="str">
        <f>IF('03_Functionalities'!A149="","",'03_Functionalities'!A149)</f>
        <v>FN-OPS-07-01</v>
      </c>
      <c r="B149" s="2" t="str">
        <f>IF('03_Functionalities'!B149="","",'03_Functionalities'!B149)</f>
        <v>FT-OPS-07</v>
      </c>
      <c r="C149" s="2" t="str">
        <f>IF('03_Functionalities'!C149="","",'03_Functionalities'!C149)</f>
        <v>PC-OPS</v>
      </c>
      <c r="D149" s="2" t="e">
        <f ca="1">IF(C149="","",_xludf.XLOOKUP(C149,'01_Products'!A:A,'01_Products'!B:B,"Missing Product"))</f>
        <v>#NAME?</v>
      </c>
      <c r="E149" s="2" t="e">
        <f ca="1">IF(C149="","",_xludf.XLOOKUP(C149,'01_Products'!A:A,'01_Products'!C:C,"Missing Type"))</f>
        <v>#NAME?</v>
      </c>
      <c r="F149" s="2" t="e">
        <f ca="1">IF(B149="","",_xludf.XLOOKUP(B149,'02_Features'!A:A,'02_Features'!C:C,"Missing Feature"))</f>
        <v>#NAME?</v>
      </c>
      <c r="G149" s="2" t="e">
        <f ca="1">IF(B149="","",_xludf.XLOOKUP(B149,'02_Features'!A:A,'02_Features'!E:E,"Missing Prompt"))</f>
        <v>#NAME?</v>
      </c>
      <c r="H149" s="2" t="str">
        <f>IF('03_Functionalities'!D149="","",'03_Functionalities'!D149)</f>
        <v>Management pack framework</v>
      </c>
      <c r="I149" s="2" t="str">
        <f>IF('03_Functionalities'!E149="","",'03_Functionalities'!E149)</f>
        <v>Major functionality for management pack framework.</v>
      </c>
      <c r="J149" s="2" t="str">
        <f>IF('03_Functionalities'!F149="","",'03_Functionalities'!F149)</f>
        <v>Includes major assessment behavior for management pack framework in the context of management packs and external telemetry ingestion.</v>
      </c>
      <c r="K149" s="2" t="str">
        <f>IF('03_Functionalities'!G149="","",'03_Functionalities'!G149)</f>
        <v>Excludes low-level configuration toggles, cosmetic UI behavior, and implementation-specific inventory minutiae unless they materially affect parity or risk.</v>
      </c>
      <c r="L149" s="2" t="str">
        <f>IF('03_Functionalities'!I149="","",'03_Functionalities'!I149)</f>
        <v>Operations</v>
      </c>
      <c r="M149" s="2" t="str">
        <f>IF('03_Functionalities'!J149="","",'03_Functionalities'!J149)</f>
        <v>Telemetry Integration</v>
      </c>
      <c r="N149" s="2" t="str">
        <f>IF('03_Functionalities'!K149="","",'03_Functionalities'!K149)</f>
        <v>Medium</v>
      </c>
      <c r="O149" s="2" t="str">
        <f>IF('03_Functionalities'!L149="","",'03_Functionalities'!L149)</f>
        <v>Medium</v>
      </c>
      <c r="P149" s="2" t="str">
        <f>IF('03_Functionalities'!M149="","",'03_Functionalities'!M149)</f>
        <v>Official vendor documentation, release notes, validated KB/article, product guide, or architecture reference with version applicability.</v>
      </c>
      <c r="Q149" s="2" t="str">
        <f>IF('03_Functionalities'!N149="","",'03_Functionalities'!N149)</f>
        <v>VCF 9.1 Management packs and external telemetry ingestion Management pack framework comparator parity evidence</v>
      </c>
      <c r="R149" s="2" t="str">
        <f>IF('03_Functionalities'!O149="","",'03_Functionalities'!O149)</f>
        <v>Yes</v>
      </c>
      <c r="S149" s="2" t="e">
        <f ca="1">IF(C149="","",_xludf.XLOOKUP(C149,'01_Products'!A:A,'01_Products'!K:K,0))</f>
        <v>#NAME?</v>
      </c>
      <c r="T149" s="2" t="e">
        <f ca="1">IF(B149="","",_xludf.XLOOKUP(B149,'02_Features'!A:A,'02_Features'!L:L,0))</f>
        <v>#NAME?</v>
      </c>
      <c r="U149" s="2">
        <f>IF('03_Functionalities'!P149="","",'03_Functionalities'!P149)</f>
        <v>1</v>
      </c>
      <c r="V149" s="2" t="str">
        <f>IF('03_Functionalities'!Q149="","",'03_Functionalities'!Q149)</f>
        <v>Draft</v>
      </c>
      <c r="W149" s="2" t="str">
        <f>IF('03_Functionalities'!R149="","",'03_Functionalities'!R149)</f>
        <v>https://techdocs.broadcom.com/us/en/vmware-cis/vcf/vcf-9-0-and-later/9-1/release-notes/vmware-cloud-foundation-9-1-0-0-release-notes/what-s-new/whats-new-vcf-ops.html</v>
      </c>
      <c r="X149" s="2" t="str">
        <f>IF('03_Functionalities'!S149="","",'03_Functionalities'!S149)</f>
        <v>High</v>
      </c>
    </row>
    <row r="150" spans="1:24" ht="71.25">
      <c r="A150" s="2" t="str">
        <f>IF('03_Functionalities'!A150="","",'03_Functionalities'!A150)</f>
        <v>FN-OPS-07-02</v>
      </c>
      <c r="B150" s="2" t="str">
        <f>IF('03_Functionalities'!B150="","",'03_Functionalities'!B150)</f>
        <v>FT-OPS-07</v>
      </c>
      <c r="C150" s="2" t="str">
        <f>IF('03_Functionalities'!C150="","",'03_Functionalities'!C150)</f>
        <v>PC-OPS</v>
      </c>
      <c r="D150" s="2" t="e">
        <f ca="1">IF(C150="","",_xludf.XLOOKUP(C150,'01_Products'!A:A,'01_Products'!B:B,"Missing Product"))</f>
        <v>#NAME?</v>
      </c>
      <c r="E150" s="2" t="e">
        <f ca="1">IF(C150="","",_xludf.XLOOKUP(C150,'01_Products'!A:A,'01_Products'!C:C,"Missing Type"))</f>
        <v>#NAME?</v>
      </c>
      <c r="F150" s="2" t="e">
        <f ca="1">IF(B150="","",_xludf.XLOOKUP(B150,'02_Features'!A:A,'02_Features'!C:C,"Missing Feature"))</f>
        <v>#NAME?</v>
      </c>
      <c r="G150" s="2" t="e">
        <f ca="1">IF(B150="","",_xludf.XLOOKUP(B150,'02_Features'!A:A,'02_Features'!E:E,"Missing Prompt"))</f>
        <v>#NAME?</v>
      </c>
      <c r="H150" s="2" t="str">
        <f>IF('03_Functionalities'!D150="","",'03_Functionalities'!D150)</f>
        <v>Prometheus/external metric ingestion</v>
      </c>
      <c r="I150" s="2" t="str">
        <f>IF('03_Functionalities'!E150="","",'03_Functionalities'!E150)</f>
        <v>Major functionality for prometheus/external metric ingestion.</v>
      </c>
      <c r="J150" s="2" t="str">
        <f>IF('03_Functionalities'!F150="","",'03_Functionalities'!F150)</f>
        <v>Includes major assessment behavior for prometheus/external metric ingestion in the context of management packs and external telemetry ingestion.</v>
      </c>
      <c r="K150" s="2" t="str">
        <f>IF('03_Functionalities'!G150="","",'03_Functionalities'!G150)</f>
        <v>Excludes low-level configuration toggles, cosmetic UI behavior, and implementation-specific inventory minutiae unless they materially affect parity or risk.</v>
      </c>
      <c r="L150" s="2" t="str">
        <f>IF('03_Functionalities'!I150="","",'03_Functionalities'!I150)</f>
        <v>Operations</v>
      </c>
      <c r="M150" s="2" t="str">
        <f>IF('03_Functionalities'!J150="","",'03_Functionalities'!J150)</f>
        <v>Telemetry Integration</v>
      </c>
      <c r="N150" s="2" t="str">
        <f>IF('03_Functionalities'!K150="","",'03_Functionalities'!K150)</f>
        <v>Medium</v>
      </c>
      <c r="O150" s="2" t="str">
        <f>IF('03_Functionalities'!L150="","",'03_Functionalities'!L150)</f>
        <v>Medium</v>
      </c>
      <c r="P150" s="2" t="str">
        <f>IF('03_Functionalities'!M150="","",'03_Functionalities'!M150)</f>
        <v>Official vendor documentation, release notes, validated KB/article, product guide, or architecture reference with version applicability.</v>
      </c>
      <c r="Q150" s="2" t="str">
        <f>IF('03_Functionalities'!N150="","",'03_Functionalities'!N150)</f>
        <v>VCF 9.1 Management packs and external telemetry ingestion Prometheus/external metric ingestion comparator parity evidence</v>
      </c>
      <c r="R150" s="2" t="str">
        <f>IF('03_Functionalities'!O150="","",'03_Functionalities'!O150)</f>
        <v>Yes</v>
      </c>
      <c r="S150" s="2" t="e">
        <f ca="1">IF(C150="","",_xludf.XLOOKUP(C150,'01_Products'!A:A,'01_Products'!K:K,0))</f>
        <v>#NAME?</v>
      </c>
      <c r="T150" s="2" t="e">
        <f ca="1">IF(B150="","",_xludf.XLOOKUP(B150,'02_Features'!A:A,'02_Features'!L:L,0))</f>
        <v>#NAME?</v>
      </c>
      <c r="U150" s="2">
        <f>IF('03_Functionalities'!P150="","",'03_Functionalities'!P150)</f>
        <v>2</v>
      </c>
      <c r="V150" s="2" t="str">
        <f>IF('03_Functionalities'!Q150="","",'03_Functionalities'!Q150)</f>
        <v>Draft</v>
      </c>
      <c r="W150" s="2" t="str">
        <f>IF('03_Functionalities'!R150="","",'03_Functionalities'!R150)</f>
        <v>https://techdocs.broadcom.com/us/en/vmware-cis/vcf/vcf-9-0-and-later/9-1/release-notes/vmware-cloud-foundation-9-1-0-0-release-notes/what-s-new/whats-new-vcf-ops.html</v>
      </c>
      <c r="X150" s="2" t="str">
        <f>IF('03_Functionalities'!S150="","",'03_Functionalities'!S150)</f>
        <v>High</v>
      </c>
    </row>
    <row r="151" spans="1:24" ht="71.25">
      <c r="A151" s="2" t="str">
        <f>IF('03_Functionalities'!A151="","",'03_Functionalities'!A151)</f>
        <v>FN-OPS-07-03</v>
      </c>
      <c r="B151" s="2" t="str">
        <f>IF('03_Functionalities'!B151="","",'03_Functionalities'!B151)</f>
        <v>FT-OPS-07</v>
      </c>
      <c r="C151" s="2" t="str">
        <f>IF('03_Functionalities'!C151="","",'03_Functionalities'!C151)</f>
        <v>PC-OPS</v>
      </c>
      <c r="D151" s="2" t="e">
        <f ca="1">IF(C151="","",_xludf.XLOOKUP(C151,'01_Products'!A:A,'01_Products'!B:B,"Missing Product"))</f>
        <v>#NAME?</v>
      </c>
      <c r="E151" s="2" t="e">
        <f ca="1">IF(C151="","",_xludf.XLOOKUP(C151,'01_Products'!A:A,'01_Products'!C:C,"Missing Type"))</f>
        <v>#NAME?</v>
      </c>
      <c r="F151" s="2" t="e">
        <f ca="1">IF(B151="","",_xludf.XLOOKUP(B151,'02_Features'!A:A,'02_Features'!C:C,"Missing Feature"))</f>
        <v>#NAME?</v>
      </c>
      <c r="G151" s="2" t="e">
        <f ca="1">IF(B151="","",_xludf.XLOOKUP(B151,'02_Features'!A:A,'02_Features'!E:E,"Missing Prompt"))</f>
        <v>#NAME?</v>
      </c>
      <c r="H151" s="2" t="str">
        <f>IF('03_Functionalities'!D151="","",'03_Functionalities'!D151)</f>
        <v>Third-party monitoring integration</v>
      </c>
      <c r="I151" s="2" t="str">
        <f>IF('03_Functionalities'!E151="","",'03_Functionalities'!E151)</f>
        <v>Major functionality for third-party monitoring integration.</v>
      </c>
      <c r="J151" s="2" t="str">
        <f>IF('03_Functionalities'!F151="","",'03_Functionalities'!F151)</f>
        <v>Includes major assessment behavior for third-party monitoring integration in the context of management packs and external telemetry ingestion.</v>
      </c>
      <c r="K151" s="2" t="str">
        <f>IF('03_Functionalities'!G151="","",'03_Functionalities'!G151)</f>
        <v>Excludes low-level configuration toggles, cosmetic UI behavior, and implementation-specific inventory minutiae unless they materially affect parity or risk.</v>
      </c>
      <c r="L151" s="2" t="str">
        <f>IF('03_Functionalities'!I151="","",'03_Functionalities'!I151)</f>
        <v>Operations</v>
      </c>
      <c r="M151" s="2" t="str">
        <f>IF('03_Functionalities'!J151="","",'03_Functionalities'!J151)</f>
        <v>Telemetry Integration</v>
      </c>
      <c r="N151" s="2" t="str">
        <f>IF('03_Functionalities'!K151="","",'03_Functionalities'!K151)</f>
        <v>Medium</v>
      </c>
      <c r="O151" s="2" t="str">
        <f>IF('03_Functionalities'!L151="","",'03_Functionalities'!L151)</f>
        <v>Medium</v>
      </c>
      <c r="P151" s="2" t="str">
        <f>IF('03_Functionalities'!M151="","",'03_Functionalities'!M151)</f>
        <v>Official vendor documentation, release notes, validated KB/article, product guide, or architecture reference with version applicability.</v>
      </c>
      <c r="Q151" s="2" t="str">
        <f>IF('03_Functionalities'!N151="","",'03_Functionalities'!N151)</f>
        <v>VCF 9.1 Management packs and external telemetry ingestion Third-party monitoring integration comparator parity evidence</v>
      </c>
      <c r="R151" s="2" t="str">
        <f>IF('03_Functionalities'!O151="","",'03_Functionalities'!O151)</f>
        <v>Yes</v>
      </c>
      <c r="S151" s="2" t="e">
        <f ca="1">IF(C151="","",_xludf.XLOOKUP(C151,'01_Products'!A:A,'01_Products'!K:K,0))</f>
        <v>#NAME?</v>
      </c>
      <c r="T151" s="2" t="e">
        <f ca="1">IF(B151="","",_xludf.XLOOKUP(B151,'02_Features'!A:A,'02_Features'!L:L,0))</f>
        <v>#NAME?</v>
      </c>
      <c r="U151" s="2">
        <f>IF('03_Functionalities'!P151="","",'03_Functionalities'!P151)</f>
        <v>3</v>
      </c>
      <c r="V151" s="2" t="str">
        <f>IF('03_Functionalities'!Q151="","",'03_Functionalities'!Q151)</f>
        <v>Draft</v>
      </c>
      <c r="W151" s="2" t="str">
        <f>IF('03_Functionalities'!R151="","",'03_Functionalities'!R151)</f>
        <v>https://techdocs.broadcom.com/us/en/vmware-cis/vcf/vcf-9-0-and-later/9-1/release-notes/vmware-cloud-foundation-9-1-0-0-release-notes/what-s-new/whats-new-vcf-ops.html</v>
      </c>
      <c r="X151" s="2" t="str">
        <f>IF('03_Functionalities'!S151="","",'03_Functionalities'!S151)</f>
        <v>High</v>
      </c>
    </row>
    <row r="152" spans="1:24" ht="71.25">
      <c r="A152" s="2" t="str">
        <f>IF('03_Functionalities'!A152="","",'03_Functionalities'!A152)</f>
        <v>FN-OPS-08-01</v>
      </c>
      <c r="B152" s="2" t="str">
        <f>IF('03_Functionalities'!B152="","",'03_Functionalities'!B152)</f>
        <v>FT-OPS-08</v>
      </c>
      <c r="C152" s="2" t="str">
        <f>IF('03_Functionalities'!C152="","",'03_Functionalities'!C152)</f>
        <v>PC-OPS</v>
      </c>
      <c r="D152" s="2" t="e">
        <f ca="1">IF(C152="","",_xludf.XLOOKUP(C152,'01_Products'!A:A,'01_Products'!B:B,"Missing Product"))</f>
        <v>#NAME?</v>
      </c>
      <c r="E152" s="2" t="e">
        <f ca="1">IF(C152="","",_xludf.XLOOKUP(C152,'01_Products'!A:A,'01_Products'!C:C,"Missing Type"))</f>
        <v>#NAME?</v>
      </c>
      <c r="F152" s="2" t="e">
        <f ca="1">IF(B152="","",_xludf.XLOOKUP(B152,'02_Features'!A:A,'02_Features'!C:C,"Missing Feature"))</f>
        <v>#NAME?</v>
      </c>
      <c r="G152" s="2" t="e">
        <f ca="1">IF(B152="","",_xludf.XLOOKUP(B152,'02_Features'!A:A,'02_Features'!E:E,"Missing Prompt"))</f>
        <v>#NAME?</v>
      </c>
      <c r="H152" s="2" t="str">
        <f>IF('03_Functionalities'!D152="","",'03_Functionalities'!D152)</f>
        <v>Operational workflow execution</v>
      </c>
      <c r="I152" s="2" t="str">
        <f>IF('03_Functionalities'!E152="","",'03_Functionalities'!E152)</f>
        <v>Major functionality for operational workflow execution.</v>
      </c>
      <c r="J152" s="2" t="str">
        <f>IF('03_Functionalities'!F152="","",'03_Functionalities'!F152)</f>
        <v>Includes major assessment behavior for operational workflow execution in the context of vcf operations orchestrator workflows.</v>
      </c>
      <c r="K152" s="2" t="str">
        <f>IF('03_Functionalities'!G152="","",'03_Functionalities'!G152)</f>
        <v>Excludes low-level configuration toggles, cosmetic UI behavior, and implementation-specific inventory minutiae unless they materially affect parity or risk.</v>
      </c>
      <c r="L152" s="2" t="str">
        <f>IF('03_Functionalities'!I152="","",'03_Functionalities'!I152)</f>
        <v>Operations</v>
      </c>
      <c r="M152" s="2" t="str">
        <f>IF('03_Functionalities'!J152="","",'03_Functionalities'!J152)</f>
        <v>Operations Automation</v>
      </c>
      <c r="N152" s="2" t="str">
        <f>IF('03_Functionalities'!K152="","",'03_Functionalities'!K152)</f>
        <v>Medium</v>
      </c>
      <c r="O152" s="2" t="str">
        <f>IF('03_Functionalities'!L152="","",'03_Functionalities'!L152)</f>
        <v>Medium</v>
      </c>
      <c r="P152" s="2" t="str">
        <f>IF('03_Functionalities'!M152="","",'03_Functionalities'!M152)</f>
        <v>Official vendor documentation, release notes, validated KB/article, product guide, or architecture reference with version applicability.</v>
      </c>
      <c r="Q152" s="2" t="str">
        <f>IF('03_Functionalities'!N152="","",'03_Functionalities'!N152)</f>
        <v>VCF 9.1 VCF Operations orchestrator workflows Operational workflow execution comparator parity evidence</v>
      </c>
      <c r="R152" s="2" t="str">
        <f>IF('03_Functionalities'!O152="","",'03_Functionalities'!O152)</f>
        <v>Yes</v>
      </c>
      <c r="S152" s="2" t="e">
        <f ca="1">IF(C152="","",_xludf.XLOOKUP(C152,'01_Products'!A:A,'01_Products'!K:K,0))</f>
        <v>#NAME?</v>
      </c>
      <c r="T152" s="2" t="e">
        <f ca="1">IF(B152="","",_xludf.XLOOKUP(B152,'02_Features'!A:A,'02_Features'!L:L,0))</f>
        <v>#NAME?</v>
      </c>
      <c r="U152" s="2">
        <f>IF('03_Functionalities'!P152="","",'03_Functionalities'!P152)</f>
        <v>1</v>
      </c>
      <c r="V152" s="2" t="str">
        <f>IF('03_Functionalities'!Q152="","",'03_Functionalities'!Q152)</f>
        <v>Draft</v>
      </c>
      <c r="W152" s="2" t="str">
        <f>IF('03_Functionalities'!R152="","",'03_Functionalities'!R152)</f>
        <v>https://techdocs.broadcom.com/us/en/vmware-cis/vcf/vcf-9-0-and-later/9-1/release-notes/vmware-cloud-foundation-9-1-0-0-release-notes/vmware-cloud-foundation-bill-of-materials.html</v>
      </c>
      <c r="X152" s="2" t="str">
        <f>IF('03_Functionalities'!S152="","",'03_Functionalities'!S152)</f>
        <v>High</v>
      </c>
    </row>
    <row r="153" spans="1:24" ht="71.25">
      <c r="A153" s="2" t="str">
        <f>IF('03_Functionalities'!A153="","",'03_Functionalities'!A153)</f>
        <v>FN-OPS-08-02</v>
      </c>
      <c r="B153" s="2" t="str">
        <f>IF('03_Functionalities'!B153="","",'03_Functionalities'!B153)</f>
        <v>FT-OPS-08</v>
      </c>
      <c r="C153" s="2" t="str">
        <f>IF('03_Functionalities'!C153="","",'03_Functionalities'!C153)</f>
        <v>PC-OPS</v>
      </c>
      <c r="D153" s="2" t="e">
        <f ca="1">IF(C153="","",_xludf.XLOOKUP(C153,'01_Products'!A:A,'01_Products'!B:B,"Missing Product"))</f>
        <v>#NAME?</v>
      </c>
      <c r="E153" s="2" t="e">
        <f ca="1">IF(C153="","",_xludf.XLOOKUP(C153,'01_Products'!A:A,'01_Products'!C:C,"Missing Type"))</f>
        <v>#NAME?</v>
      </c>
      <c r="F153" s="2" t="e">
        <f ca="1">IF(B153="","",_xludf.XLOOKUP(B153,'02_Features'!A:A,'02_Features'!C:C,"Missing Feature"))</f>
        <v>#NAME?</v>
      </c>
      <c r="G153" s="2" t="e">
        <f ca="1">IF(B153="","",_xludf.XLOOKUP(B153,'02_Features'!A:A,'02_Features'!E:E,"Missing Prompt"))</f>
        <v>#NAME?</v>
      </c>
      <c r="H153" s="2" t="str">
        <f>IF('03_Functionalities'!D153="","",'03_Functionalities'!D153)</f>
        <v>Runbook action integration</v>
      </c>
      <c r="I153" s="2" t="str">
        <f>IF('03_Functionalities'!E153="","",'03_Functionalities'!E153)</f>
        <v>Major functionality for runbook action integration.</v>
      </c>
      <c r="J153" s="2" t="str">
        <f>IF('03_Functionalities'!F153="","",'03_Functionalities'!F153)</f>
        <v>Includes major assessment behavior for runbook action integration in the context of vcf operations orchestrator workflows.</v>
      </c>
      <c r="K153" s="2" t="str">
        <f>IF('03_Functionalities'!G153="","",'03_Functionalities'!G153)</f>
        <v>Excludes low-level configuration toggles, cosmetic UI behavior, and implementation-specific inventory minutiae unless they materially affect parity or risk.</v>
      </c>
      <c r="L153" s="2" t="str">
        <f>IF('03_Functionalities'!I153="","",'03_Functionalities'!I153)</f>
        <v>Operations</v>
      </c>
      <c r="M153" s="2" t="str">
        <f>IF('03_Functionalities'!J153="","",'03_Functionalities'!J153)</f>
        <v>Operations Automation</v>
      </c>
      <c r="N153" s="2" t="str">
        <f>IF('03_Functionalities'!K153="","",'03_Functionalities'!K153)</f>
        <v>Medium</v>
      </c>
      <c r="O153" s="2" t="str">
        <f>IF('03_Functionalities'!L153="","",'03_Functionalities'!L153)</f>
        <v>Medium</v>
      </c>
      <c r="P153" s="2" t="str">
        <f>IF('03_Functionalities'!M153="","",'03_Functionalities'!M153)</f>
        <v>Official vendor documentation, release notes, validated KB/article, product guide, or architecture reference with version applicability.</v>
      </c>
      <c r="Q153" s="2" t="str">
        <f>IF('03_Functionalities'!N153="","",'03_Functionalities'!N153)</f>
        <v>VCF 9.1 VCF Operations orchestrator workflows Runbook action integration comparator parity evidence</v>
      </c>
      <c r="R153" s="2" t="str">
        <f>IF('03_Functionalities'!O153="","",'03_Functionalities'!O153)</f>
        <v>Yes</v>
      </c>
      <c r="S153" s="2" t="e">
        <f ca="1">IF(C153="","",_xludf.XLOOKUP(C153,'01_Products'!A:A,'01_Products'!K:K,0))</f>
        <v>#NAME?</v>
      </c>
      <c r="T153" s="2" t="e">
        <f ca="1">IF(B153="","",_xludf.XLOOKUP(B153,'02_Features'!A:A,'02_Features'!L:L,0))</f>
        <v>#NAME?</v>
      </c>
      <c r="U153" s="2">
        <f>IF('03_Functionalities'!P153="","",'03_Functionalities'!P153)</f>
        <v>2</v>
      </c>
      <c r="V153" s="2" t="str">
        <f>IF('03_Functionalities'!Q153="","",'03_Functionalities'!Q153)</f>
        <v>Draft</v>
      </c>
      <c r="W153" s="2" t="str">
        <f>IF('03_Functionalities'!R153="","",'03_Functionalities'!R153)</f>
        <v>https://techdocs.broadcom.com/us/en/vmware-cis/vcf/vcf-9-0-and-later/9-1/release-notes/vmware-cloud-foundation-9-1-0-0-release-notes/vmware-cloud-foundation-bill-of-materials.html</v>
      </c>
      <c r="X153" s="2" t="str">
        <f>IF('03_Functionalities'!S153="","",'03_Functionalities'!S153)</f>
        <v>High</v>
      </c>
    </row>
    <row r="154" spans="1:24" ht="71.25">
      <c r="A154" s="2" t="str">
        <f>IF('03_Functionalities'!A154="","",'03_Functionalities'!A154)</f>
        <v>FN-OPS-08-03</v>
      </c>
      <c r="B154" s="2" t="str">
        <f>IF('03_Functionalities'!B154="","",'03_Functionalities'!B154)</f>
        <v>FT-OPS-08</v>
      </c>
      <c r="C154" s="2" t="str">
        <f>IF('03_Functionalities'!C154="","",'03_Functionalities'!C154)</f>
        <v>PC-OPS</v>
      </c>
      <c r="D154" s="2" t="e">
        <f ca="1">IF(C154="","",_xludf.XLOOKUP(C154,'01_Products'!A:A,'01_Products'!B:B,"Missing Product"))</f>
        <v>#NAME?</v>
      </c>
      <c r="E154" s="2" t="e">
        <f ca="1">IF(C154="","",_xludf.XLOOKUP(C154,'01_Products'!A:A,'01_Products'!C:C,"Missing Type"))</f>
        <v>#NAME?</v>
      </c>
      <c r="F154" s="2" t="e">
        <f ca="1">IF(B154="","",_xludf.XLOOKUP(B154,'02_Features'!A:A,'02_Features'!C:C,"Missing Feature"))</f>
        <v>#NAME?</v>
      </c>
      <c r="G154" s="2" t="e">
        <f ca="1">IF(B154="","",_xludf.XLOOKUP(B154,'02_Features'!A:A,'02_Features'!E:E,"Missing Prompt"))</f>
        <v>#NAME?</v>
      </c>
      <c r="H154" s="2" t="str">
        <f>IF('03_Functionalities'!D154="","",'03_Functionalities'!D154)</f>
        <v>Workflow audit and status tracking</v>
      </c>
      <c r="I154" s="2" t="str">
        <f>IF('03_Functionalities'!E154="","",'03_Functionalities'!E154)</f>
        <v>Major functionality for workflow audit and status tracking.</v>
      </c>
      <c r="J154" s="2" t="str">
        <f>IF('03_Functionalities'!F154="","",'03_Functionalities'!F154)</f>
        <v>Includes major assessment behavior for workflow audit and status tracking in the context of vcf operations orchestrator workflows.</v>
      </c>
      <c r="K154" s="2" t="str">
        <f>IF('03_Functionalities'!G154="","",'03_Functionalities'!G154)</f>
        <v>Excludes low-level configuration toggles, cosmetic UI behavior, and implementation-specific inventory minutiae unless they materially affect parity or risk.</v>
      </c>
      <c r="L154" s="2" t="str">
        <f>IF('03_Functionalities'!I154="","",'03_Functionalities'!I154)</f>
        <v>Operations</v>
      </c>
      <c r="M154" s="2" t="str">
        <f>IF('03_Functionalities'!J154="","",'03_Functionalities'!J154)</f>
        <v>Operations Automation</v>
      </c>
      <c r="N154" s="2" t="str">
        <f>IF('03_Functionalities'!K154="","",'03_Functionalities'!K154)</f>
        <v>Medium</v>
      </c>
      <c r="O154" s="2" t="str">
        <f>IF('03_Functionalities'!L154="","",'03_Functionalities'!L154)</f>
        <v>Medium</v>
      </c>
      <c r="P154" s="2" t="str">
        <f>IF('03_Functionalities'!M154="","",'03_Functionalities'!M154)</f>
        <v>Official vendor documentation, release notes, validated KB/article, product guide, or architecture reference with version applicability.</v>
      </c>
      <c r="Q154" s="2" t="str">
        <f>IF('03_Functionalities'!N154="","",'03_Functionalities'!N154)</f>
        <v>VCF 9.1 VCF Operations orchestrator workflows Workflow audit and status tracking comparator parity evidence</v>
      </c>
      <c r="R154" s="2" t="str">
        <f>IF('03_Functionalities'!O154="","",'03_Functionalities'!O154)</f>
        <v>Yes</v>
      </c>
      <c r="S154" s="2" t="e">
        <f ca="1">IF(C154="","",_xludf.XLOOKUP(C154,'01_Products'!A:A,'01_Products'!K:K,0))</f>
        <v>#NAME?</v>
      </c>
      <c r="T154" s="2" t="e">
        <f ca="1">IF(B154="","",_xludf.XLOOKUP(B154,'02_Features'!A:A,'02_Features'!L:L,0))</f>
        <v>#NAME?</v>
      </c>
      <c r="U154" s="2">
        <f>IF('03_Functionalities'!P154="","",'03_Functionalities'!P154)</f>
        <v>3</v>
      </c>
      <c r="V154" s="2" t="str">
        <f>IF('03_Functionalities'!Q154="","",'03_Functionalities'!Q154)</f>
        <v>Draft</v>
      </c>
      <c r="W154" s="2" t="str">
        <f>IF('03_Functionalities'!R154="","",'03_Functionalities'!R154)</f>
        <v>https://techdocs.broadcom.com/us/en/vmware-cis/vcf/vcf-9-0-and-later/9-1/release-notes/vmware-cloud-foundation-9-1-0-0-release-notes/vmware-cloud-foundation-bill-of-materials.html</v>
      </c>
      <c r="X154" s="2" t="str">
        <f>IF('03_Functionalities'!S154="","",'03_Functionalities'!S154)</f>
        <v>High</v>
      </c>
    </row>
    <row r="155" spans="1:24" ht="57">
      <c r="A155" s="2" t="str">
        <f>IF('03_Functionalities'!A155="","",'03_Functionalities'!A155)</f>
        <v>FN-OPS-09-01</v>
      </c>
      <c r="B155" s="2" t="str">
        <f>IF('03_Functionalities'!B155="","",'03_Functionalities'!B155)</f>
        <v>FT-OPS-09</v>
      </c>
      <c r="C155" s="2" t="str">
        <f>IF('03_Functionalities'!C155="","",'03_Functionalities'!C155)</f>
        <v>PC-OPS</v>
      </c>
      <c r="D155" s="2" t="e">
        <f ca="1">IF(C155="","",_xludf.XLOOKUP(C155,'01_Products'!A:A,'01_Products'!B:B,"Missing Product"))</f>
        <v>#NAME?</v>
      </c>
      <c r="E155" s="2" t="e">
        <f ca="1">IF(C155="","",_xludf.XLOOKUP(C155,'01_Products'!A:A,'01_Products'!C:C,"Missing Type"))</f>
        <v>#NAME?</v>
      </c>
      <c r="F155" s="2" t="e">
        <f ca="1">IF(B155="","",_xludf.XLOOKUP(B155,'02_Features'!A:A,'02_Features'!C:C,"Missing Feature"))</f>
        <v>#NAME?</v>
      </c>
      <c r="G155" s="2" t="e">
        <f ca="1">IF(B155="","",_xludf.XLOOKUP(B155,'02_Features'!A:A,'02_Features'!E:E,"Missing Prompt"))</f>
        <v>#NAME?</v>
      </c>
      <c r="H155" s="2" t="str">
        <f>IF('03_Functionalities'!D155="","",'03_Functionalities'!D155)</f>
        <v>Showback/chargeback context</v>
      </c>
      <c r="I155" s="2" t="str">
        <f>IF('03_Functionalities'!E155="","",'03_Functionalities'!E155)</f>
        <v>Major functionality for showback/chargeback context.</v>
      </c>
      <c r="J155" s="2" t="str">
        <f>IF('03_Functionalities'!F155="","",'03_Functionalities'!F155)</f>
        <v>Includes major assessment behavior for showback/chargeback context in the context of business operations and financial visibility.</v>
      </c>
      <c r="K155" s="2" t="str">
        <f>IF('03_Functionalities'!G155="","",'03_Functionalities'!G155)</f>
        <v>Excludes low-level configuration toggles, cosmetic UI behavior, and implementation-specific inventory minutiae unless they materially affect parity or risk.</v>
      </c>
      <c r="L155" s="2" t="str">
        <f>IF('03_Functionalities'!I155="","",'03_Functionalities'!I155)</f>
        <v>Operations</v>
      </c>
      <c r="M155" s="2" t="str">
        <f>IF('03_Functionalities'!J155="","",'03_Functionalities'!J155)</f>
        <v>Business Operations</v>
      </c>
      <c r="N155" s="2" t="str">
        <f>IF('03_Functionalities'!K155="","",'03_Functionalities'!K155)</f>
        <v>Medium</v>
      </c>
      <c r="O155" s="2" t="str">
        <f>IF('03_Functionalities'!L155="","",'03_Functionalities'!L155)</f>
        <v>Low</v>
      </c>
      <c r="P155" s="2" t="str">
        <f>IF('03_Functionalities'!M155="","",'03_Functionalities'!M155)</f>
        <v>Official vendor documentation, release notes, validated KB/article, product guide, or architecture reference with version applicability.</v>
      </c>
      <c r="Q155" s="2" t="str">
        <f>IF('03_Functionalities'!N155="","",'03_Functionalities'!N155)</f>
        <v>VCF 9.1 Business operations and financial visibility Showback/chargeback context comparator parity evidence</v>
      </c>
      <c r="R155" s="2" t="str">
        <f>IF('03_Functionalities'!O155="","",'03_Functionalities'!O155)</f>
        <v>Yes</v>
      </c>
      <c r="S155" s="2" t="e">
        <f ca="1">IF(C155="","",_xludf.XLOOKUP(C155,'01_Products'!A:A,'01_Products'!K:K,0))</f>
        <v>#NAME?</v>
      </c>
      <c r="T155" s="2" t="e">
        <f ca="1">IF(B155="","",_xludf.XLOOKUP(B155,'02_Features'!A:A,'02_Features'!L:L,0))</f>
        <v>#NAME?</v>
      </c>
      <c r="U155" s="2">
        <f>IF('03_Functionalities'!P155="","",'03_Functionalities'!P155)</f>
        <v>1</v>
      </c>
      <c r="V155" s="2" t="str">
        <f>IF('03_Functionalities'!Q155="","",'03_Functionalities'!Q155)</f>
        <v>Draft</v>
      </c>
      <c r="W155" s="2" t="str">
        <f>IF('03_Functionalities'!R155="","",'03_Functionalities'!R155)</f>
        <v>https://www.vmware.com/docs/vmware-cloud-foundation-9-1-feature-comparison-and-upgrade-paths</v>
      </c>
      <c r="X155" s="2" t="str">
        <f>IF('03_Functionalities'!S155="","",'03_Functionalities'!S155)</f>
        <v>High</v>
      </c>
    </row>
    <row r="156" spans="1:24" ht="57">
      <c r="A156" s="2" t="str">
        <f>IF('03_Functionalities'!A156="","",'03_Functionalities'!A156)</f>
        <v>FN-OPS-09-02</v>
      </c>
      <c r="B156" s="2" t="str">
        <f>IF('03_Functionalities'!B156="","",'03_Functionalities'!B156)</f>
        <v>FT-OPS-09</v>
      </c>
      <c r="C156" s="2" t="str">
        <f>IF('03_Functionalities'!C156="","",'03_Functionalities'!C156)</f>
        <v>PC-OPS</v>
      </c>
      <c r="D156" s="2" t="e">
        <f ca="1">IF(C156="","",_xludf.XLOOKUP(C156,'01_Products'!A:A,'01_Products'!B:B,"Missing Product"))</f>
        <v>#NAME?</v>
      </c>
      <c r="E156" s="2" t="e">
        <f ca="1">IF(C156="","",_xludf.XLOOKUP(C156,'01_Products'!A:A,'01_Products'!C:C,"Missing Type"))</f>
        <v>#NAME?</v>
      </c>
      <c r="F156" s="2" t="e">
        <f ca="1">IF(B156="","",_xludf.XLOOKUP(B156,'02_Features'!A:A,'02_Features'!C:C,"Missing Feature"))</f>
        <v>#NAME?</v>
      </c>
      <c r="G156" s="2" t="e">
        <f ca="1">IF(B156="","",_xludf.XLOOKUP(B156,'02_Features'!A:A,'02_Features'!E:E,"Missing Prompt"))</f>
        <v>#NAME?</v>
      </c>
      <c r="H156" s="2" t="str">
        <f>IF('03_Functionalities'!D156="","",'03_Functionalities'!D156)</f>
        <v>Business operations reporting</v>
      </c>
      <c r="I156" s="2" t="str">
        <f>IF('03_Functionalities'!E156="","",'03_Functionalities'!E156)</f>
        <v>Major functionality for business operations reporting.</v>
      </c>
      <c r="J156" s="2" t="str">
        <f>IF('03_Functionalities'!F156="","",'03_Functionalities'!F156)</f>
        <v>Includes major assessment behavior for business operations reporting in the context of business operations and financial visibility.</v>
      </c>
      <c r="K156" s="2" t="str">
        <f>IF('03_Functionalities'!G156="","",'03_Functionalities'!G156)</f>
        <v>Excludes low-level configuration toggles, cosmetic UI behavior, and implementation-specific inventory minutiae unless they materially affect parity or risk.</v>
      </c>
      <c r="L156" s="2" t="str">
        <f>IF('03_Functionalities'!I156="","",'03_Functionalities'!I156)</f>
        <v>Operations</v>
      </c>
      <c r="M156" s="2" t="str">
        <f>IF('03_Functionalities'!J156="","",'03_Functionalities'!J156)</f>
        <v>Business Operations</v>
      </c>
      <c r="N156" s="2" t="str">
        <f>IF('03_Functionalities'!K156="","",'03_Functionalities'!K156)</f>
        <v>Medium</v>
      </c>
      <c r="O156" s="2" t="str">
        <f>IF('03_Functionalities'!L156="","",'03_Functionalities'!L156)</f>
        <v>Low</v>
      </c>
      <c r="P156" s="2" t="str">
        <f>IF('03_Functionalities'!M156="","",'03_Functionalities'!M156)</f>
        <v>Official vendor documentation, release notes, validated KB/article, product guide, or architecture reference with version applicability.</v>
      </c>
      <c r="Q156" s="2" t="str">
        <f>IF('03_Functionalities'!N156="","",'03_Functionalities'!N156)</f>
        <v>VCF 9.1 Business operations and financial visibility Business operations reporting comparator parity evidence</v>
      </c>
      <c r="R156" s="2" t="str">
        <f>IF('03_Functionalities'!O156="","",'03_Functionalities'!O156)</f>
        <v>Yes</v>
      </c>
      <c r="S156" s="2" t="e">
        <f ca="1">IF(C156="","",_xludf.XLOOKUP(C156,'01_Products'!A:A,'01_Products'!K:K,0))</f>
        <v>#NAME?</v>
      </c>
      <c r="T156" s="2" t="e">
        <f ca="1">IF(B156="","",_xludf.XLOOKUP(B156,'02_Features'!A:A,'02_Features'!L:L,0))</f>
        <v>#NAME?</v>
      </c>
      <c r="U156" s="2">
        <f>IF('03_Functionalities'!P156="","",'03_Functionalities'!P156)</f>
        <v>2</v>
      </c>
      <c r="V156" s="2" t="str">
        <f>IF('03_Functionalities'!Q156="","",'03_Functionalities'!Q156)</f>
        <v>Draft</v>
      </c>
      <c r="W156" s="2" t="str">
        <f>IF('03_Functionalities'!R156="","",'03_Functionalities'!R156)</f>
        <v>https://www.vmware.com/docs/vmware-cloud-foundation-9-1-feature-comparison-and-upgrade-paths</v>
      </c>
      <c r="X156" s="2" t="str">
        <f>IF('03_Functionalities'!S156="","",'03_Functionalities'!S156)</f>
        <v>High</v>
      </c>
    </row>
    <row r="157" spans="1:24" ht="57">
      <c r="A157" s="2" t="str">
        <f>IF('03_Functionalities'!A157="","",'03_Functionalities'!A157)</f>
        <v>FN-OPS-09-03</v>
      </c>
      <c r="B157" s="2" t="str">
        <f>IF('03_Functionalities'!B157="","",'03_Functionalities'!B157)</f>
        <v>FT-OPS-09</v>
      </c>
      <c r="C157" s="2" t="str">
        <f>IF('03_Functionalities'!C157="","",'03_Functionalities'!C157)</f>
        <v>PC-OPS</v>
      </c>
      <c r="D157" s="2" t="e">
        <f ca="1">IF(C157="","",_xludf.XLOOKUP(C157,'01_Products'!A:A,'01_Products'!B:B,"Missing Product"))</f>
        <v>#NAME?</v>
      </c>
      <c r="E157" s="2" t="e">
        <f ca="1">IF(C157="","",_xludf.XLOOKUP(C157,'01_Products'!A:A,'01_Products'!C:C,"Missing Type"))</f>
        <v>#NAME?</v>
      </c>
      <c r="F157" s="2" t="e">
        <f ca="1">IF(B157="","",_xludf.XLOOKUP(B157,'02_Features'!A:A,'02_Features'!C:C,"Missing Feature"))</f>
        <v>#NAME?</v>
      </c>
      <c r="G157" s="2" t="e">
        <f ca="1">IF(B157="","",_xludf.XLOOKUP(B157,'02_Features'!A:A,'02_Features'!E:E,"Missing Prompt"))</f>
        <v>#NAME?</v>
      </c>
      <c r="H157" s="2" t="str">
        <f>IF('03_Functionalities'!D157="","",'03_Functionalities'!D157)</f>
        <v>Financial visibility and cost attribution</v>
      </c>
      <c r="I157" s="2" t="str">
        <f>IF('03_Functionalities'!E157="","",'03_Functionalities'!E157)</f>
        <v>Major functionality for financial visibility and cost attribution.</v>
      </c>
      <c r="J157" s="2" t="str">
        <f>IF('03_Functionalities'!F157="","",'03_Functionalities'!F157)</f>
        <v>Includes major assessment behavior for financial visibility and cost attribution in the context of business operations and financial visibility.</v>
      </c>
      <c r="K157" s="2" t="str">
        <f>IF('03_Functionalities'!G157="","",'03_Functionalities'!G157)</f>
        <v>Excludes low-level configuration toggles, cosmetic UI behavior, and implementation-specific inventory minutiae unless they materially affect parity or risk.</v>
      </c>
      <c r="L157" s="2" t="str">
        <f>IF('03_Functionalities'!I157="","",'03_Functionalities'!I157)</f>
        <v>Operations</v>
      </c>
      <c r="M157" s="2" t="str">
        <f>IF('03_Functionalities'!J157="","",'03_Functionalities'!J157)</f>
        <v>Business Operations</v>
      </c>
      <c r="N157" s="2" t="str">
        <f>IF('03_Functionalities'!K157="","",'03_Functionalities'!K157)</f>
        <v>Medium</v>
      </c>
      <c r="O157" s="2" t="str">
        <f>IF('03_Functionalities'!L157="","",'03_Functionalities'!L157)</f>
        <v>Low</v>
      </c>
      <c r="P157" s="2" t="str">
        <f>IF('03_Functionalities'!M157="","",'03_Functionalities'!M157)</f>
        <v>Official vendor documentation, release notes, validated KB/article, product guide, or architecture reference with version applicability.</v>
      </c>
      <c r="Q157" s="2" t="str">
        <f>IF('03_Functionalities'!N157="","",'03_Functionalities'!N157)</f>
        <v>VCF 9.1 Business operations and financial visibility Financial visibility and cost attribution comparator parity evidence</v>
      </c>
      <c r="R157" s="2" t="str">
        <f>IF('03_Functionalities'!O157="","",'03_Functionalities'!O157)</f>
        <v>Yes</v>
      </c>
      <c r="S157" s="2" t="e">
        <f ca="1">IF(C157="","",_xludf.XLOOKUP(C157,'01_Products'!A:A,'01_Products'!K:K,0))</f>
        <v>#NAME?</v>
      </c>
      <c r="T157" s="2" t="e">
        <f ca="1">IF(B157="","",_xludf.XLOOKUP(B157,'02_Features'!A:A,'02_Features'!L:L,0))</f>
        <v>#NAME?</v>
      </c>
      <c r="U157" s="2">
        <f>IF('03_Functionalities'!P157="","",'03_Functionalities'!P157)</f>
        <v>3</v>
      </c>
      <c r="V157" s="2" t="str">
        <f>IF('03_Functionalities'!Q157="","",'03_Functionalities'!Q157)</f>
        <v>Draft</v>
      </c>
      <c r="W157" s="2" t="str">
        <f>IF('03_Functionalities'!R157="","",'03_Functionalities'!R157)</f>
        <v>https://www.vmware.com/docs/vmware-cloud-foundation-9-1-feature-comparison-and-upgrade-paths</v>
      </c>
      <c r="X157" s="2" t="str">
        <f>IF('03_Functionalities'!S157="","",'03_Functionalities'!S157)</f>
        <v>High</v>
      </c>
    </row>
    <row r="158" spans="1:24" ht="71.25">
      <c r="A158" s="2" t="str">
        <f>IF('03_Functionalities'!A158="","",'03_Functionalities'!A158)</f>
        <v>FN-AUTOMATION-01-01</v>
      </c>
      <c r="B158" s="2" t="str">
        <f>IF('03_Functionalities'!B158="","",'03_Functionalities'!B158)</f>
        <v>FT-AUTOMATION-01</v>
      </c>
      <c r="C158" s="2" t="str">
        <f>IF('03_Functionalities'!C158="","",'03_Functionalities'!C158)</f>
        <v>PC-AUTOMATION</v>
      </c>
      <c r="D158" s="2" t="e">
        <f ca="1">IF(C158="","",_xludf.XLOOKUP(C158,'01_Products'!A:A,'01_Products'!B:B,"Missing Product"))</f>
        <v>#NAME?</v>
      </c>
      <c r="E158" s="2" t="e">
        <f ca="1">IF(C158="","",_xludf.XLOOKUP(C158,'01_Products'!A:A,'01_Products'!C:C,"Missing Type"))</f>
        <v>#NAME?</v>
      </c>
      <c r="F158" s="2" t="e">
        <f ca="1">IF(B158="","",_xludf.XLOOKUP(B158,'02_Features'!A:A,'02_Features'!C:C,"Missing Feature"))</f>
        <v>#NAME?</v>
      </c>
      <c r="G158" s="2" t="e">
        <f ca="1">IF(B158="","",_xludf.XLOOKUP(B158,'02_Features'!A:A,'02_Features'!E:E,"Missing Prompt"))</f>
        <v>#NAME?</v>
      </c>
      <c r="H158" s="2" t="str">
        <f>IF('03_Functionalities'!D158="","",'03_Functionalities'!D158)</f>
        <v>Organization model</v>
      </c>
      <c r="I158" s="2" t="str">
        <f>IF('03_Functionalities'!E158="","",'03_Functionalities'!E158)</f>
        <v>Major functionality for organization model.</v>
      </c>
      <c r="J158" s="2" t="str">
        <f>IF('03_Functionalities'!F158="","",'03_Functionalities'!F158)</f>
        <v>Includes major assessment behavior for organization model in the context of organizations, projects and tenancy.</v>
      </c>
      <c r="K158" s="2" t="str">
        <f>IF('03_Functionalities'!G158="","",'03_Functionalities'!G158)</f>
        <v>Excludes low-level configuration toggles, cosmetic UI behavior, and implementation-specific inventory minutiae unless they materially affect parity or risk.</v>
      </c>
      <c r="L158" s="2" t="str">
        <f>IF('03_Functionalities'!I158="","",'03_Functionalities'!I158)</f>
        <v>Automation</v>
      </c>
      <c r="M158" s="2" t="str">
        <f>IF('03_Functionalities'!J158="","",'03_Functionalities'!J158)</f>
        <v>Tenancy</v>
      </c>
      <c r="N158" s="2" t="str">
        <f>IF('03_Functionalities'!K158="","",'03_Functionalities'!K158)</f>
        <v>High</v>
      </c>
      <c r="O158" s="2" t="str">
        <f>IF('03_Functionalities'!L158="","",'03_Functionalities'!L158)</f>
        <v>High</v>
      </c>
      <c r="P158" s="2" t="str">
        <f>IF('03_Functionalities'!M158="","",'03_Functionalities'!M158)</f>
        <v>Official vendor documentation, release notes, validated KB/article, product guide, or architecture reference with version applicability.</v>
      </c>
      <c r="Q158" s="2" t="str">
        <f>IF('03_Functionalities'!N158="","",'03_Functionalities'!N158)</f>
        <v>VCF 9.1 Organizations, projects and tenancy Organization model comparator parity evidence</v>
      </c>
      <c r="R158" s="2" t="str">
        <f>IF('03_Functionalities'!O158="","",'03_Functionalities'!O158)</f>
        <v>Yes</v>
      </c>
      <c r="S158" s="2" t="e">
        <f ca="1">IF(C158="","",_xludf.XLOOKUP(C158,'01_Products'!A:A,'01_Products'!K:K,0))</f>
        <v>#NAME?</v>
      </c>
      <c r="T158" s="2" t="e">
        <f ca="1">IF(B158="","",_xludf.XLOOKUP(B158,'02_Features'!A:A,'02_Features'!L:L,0))</f>
        <v>#NAME?</v>
      </c>
      <c r="U158" s="2">
        <f>IF('03_Functionalities'!P158="","",'03_Functionalities'!P158)</f>
        <v>1</v>
      </c>
      <c r="V158" s="2" t="str">
        <f>IF('03_Functionalities'!Q158="","",'03_Functionalities'!Q158)</f>
        <v>Draft</v>
      </c>
      <c r="W158" s="2" t="str">
        <f>IF('03_Functionalities'!R158="","",'03_Functionalities'!R158)</f>
        <v>https://techdocs.broadcom.com/us/en/vmware-cis/vcf/vcf-9-0-and-later/9-0/overview-of-vmware-cloud-foundation-9/what-is-vmware-cloud-foundation-and-vmware-vsphere-foundation/vcf-automation-overview.html</v>
      </c>
      <c r="X158" s="2" t="str">
        <f>IF('03_Functionalities'!S158="","",'03_Functionalities'!S158)</f>
        <v>High</v>
      </c>
    </row>
    <row r="159" spans="1:24" ht="71.25">
      <c r="A159" s="2" t="str">
        <f>IF('03_Functionalities'!A159="","",'03_Functionalities'!A159)</f>
        <v>FN-AUTOMATION-01-02</v>
      </c>
      <c r="B159" s="2" t="str">
        <f>IF('03_Functionalities'!B159="","",'03_Functionalities'!B159)</f>
        <v>FT-AUTOMATION-01</v>
      </c>
      <c r="C159" s="2" t="str">
        <f>IF('03_Functionalities'!C159="","",'03_Functionalities'!C159)</f>
        <v>PC-AUTOMATION</v>
      </c>
      <c r="D159" s="2" t="e">
        <f ca="1">IF(C159="","",_xludf.XLOOKUP(C159,'01_Products'!A:A,'01_Products'!B:B,"Missing Product"))</f>
        <v>#NAME?</v>
      </c>
      <c r="E159" s="2" t="e">
        <f ca="1">IF(C159="","",_xludf.XLOOKUP(C159,'01_Products'!A:A,'01_Products'!C:C,"Missing Type"))</f>
        <v>#NAME?</v>
      </c>
      <c r="F159" s="2" t="e">
        <f ca="1">IF(B159="","",_xludf.XLOOKUP(B159,'02_Features'!A:A,'02_Features'!C:C,"Missing Feature"))</f>
        <v>#NAME?</v>
      </c>
      <c r="G159" s="2" t="e">
        <f ca="1">IF(B159="","",_xludf.XLOOKUP(B159,'02_Features'!A:A,'02_Features'!E:E,"Missing Prompt"))</f>
        <v>#NAME?</v>
      </c>
      <c r="H159" s="2" t="str">
        <f>IF('03_Functionalities'!D159="","",'03_Functionalities'!D159)</f>
        <v>Project and tenancy segmentation</v>
      </c>
      <c r="I159" s="2" t="str">
        <f>IF('03_Functionalities'!E159="","",'03_Functionalities'!E159)</f>
        <v>Major functionality for project and tenancy segmentation.</v>
      </c>
      <c r="J159" s="2" t="str">
        <f>IF('03_Functionalities'!F159="","",'03_Functionalities'!F159)</f>
        <v>Includes major assessment behavior for project and tenancy segmentation in the context of organizations, projects and tenancy.</v>
      </c>
      <c r="K159" s="2" t="str">
        <f>IF('03_Functionalities'!G159="","",'03_Functionalities'!G159)</f>
        <v>Excludes low-level configuration toggles, cosmetic UI behavior, and implementation-specific inventory minutiae unless they materially affect parity or risk.</v>
      </c>
      <c r="L159" s="2" t="str">
        <f>IF('03_Functionalities'!I159="","",'03_Functionalities'!I159)</f>
        <v>Automation</v>
      </c>
      <c r="M159" s="2" t="str">
        <f>IF('03_Functionalities'!J159="","",'03_Functionalities'!J159)</f>
        <v>Tenancy</v>
      </c>
      <c r="N159" s="2" t="str">
        <f>IF('03_Functionalities'!K159="","",'03_Functionalities'!K159)</f>
        <v>High</v>
      </c>
      <c r="O159" s="2" t="str">
        <f>IF('03_Functionalities'!L159="","",'03_Functionalities'!L159)</f>
        <v>High</v>
      </c>
      <c r="P159" s="2" t="str">
        <f>IF('03_Functionalities'!M159="","",'03_Functionalities'!M159)</f>
        <v>Official vendor documentation, release notes, validated KB/article, product guide, or architecture reference with version applicability.</v>
      </c>
      <c r="Q159" s="2" t="str">
        <f>IF('03_Functionalities'!N159="","",'03_Functionalities'!N159)</f>
        <v>VCF 9.1 Organizations, projects and tenancy Project and tenancy segmentation comparator parity evidence</v>
      </c>
      <c r="R159" s="2" t="str">
        <f>IF('03_Functionalities'!O159="","",'03_Functionalities'!O159)</f>
        <v>Yes</v>
      </c>
      <c r="S159" s="2" t="e">
        <f ca="1">IF(C159="","",_xludf.XLOOKUP(C159,'01_Products'!A:A,'01_Products'!K:K,0))</f>
        <v>#NAME?</v>
      </c>
      <c r="T159" s="2" t="e">
        <f ca="1">IF(B159="","",_xludf.XLOOKUP(B159,'02_Features'!A:A,'02_Features'!L:L,0))</f>
        <v>#NAME?</v>
      </c>
      <c r="U159" s="2">
        <f>IF('03_Functionalities'!P159="","",'03_Functionalities'!P159)</f>
        <v>2</v>
      </c>
      <c r="V159" s="2" t="str">
        <f>IF('03_Functionalities'!Q159="","",'03_Functionalities'!Q159)</f>
        <v>Draft</v>
      </c>
      <c r="W159" s="2" t="str">
        <f>IF('03_Functionalities'!R159="","",'03_Functionalities'!R159)</f>
        <v>https://techdocs.broadcom.com/us/en/vmware-cis/vcf/vcf-9-0-and-later/9-0/overview-of-vmware-cloud-foundation-9/what-is-vmware-cloud-foundation-and-vmware-vsphere-foundation/vcf-automation-overview.html</v>
      </c>
      <c r="X159" s="2" t="str">
        <f>IF('03_Functionalities'!S159="","",'03_Functionalities'!S159)</f>
        <v>High</v>
      </c>
    </row>
    <row r="160" spans="1:24" ht="71.25">
      <c r="A160" s="2" t="str">
        <f>IF('03_Functionalities'!A160="","",'03_Functionalities'!A160)</f>
        <v>FN-AUTOMATION-01-03</v>
      </c>
      <c r="B160" s="2" t="str">
        <f>IF('03_Functionalities'!B160="","",'03_Functionalities'!B160)</f>
        <v>FT-AUTOMATION-01</v>
      </c>
      <c r="C160" s="2" t="str">
        <f>IF('03_Functionalities'!C160="","",'03_Functionalities'!C160)</f>
        <v>PC-AUTOMATION</v>
      </c>
      <c r="D160" s="2" t="e">
        <f ca="1">IF(C160="","",_xludf.XLOOKUP(C160,'01_Products'!A:A,'01_Products'!B:B,"Missing Product"))</f>
        <v>#NAME?</v>
      </c>
      <c r="E160" s="2" t="e">
        <f ca="1">IF(C160="","",_xludf.XLOOKUP(C160,'01_Products'!A:A,'01_Products'!C:C,"Missing Type"))</f>
        <v>#NAME?</v>
      </c>
      <c r="F160" s="2" t="e">
        <f ca="1">IF(B160="","",_xludf.XLOOKUP(B160,'02_Features'!A:A,'02_Features'!C:C,"Missing Feature"))</f>
        <v>#NAME?</v>
      </c>
      <c r="G160" s="2" t="e">
        <f ca="1">IF(B160="","",_xludf.XLOOKUP(B160,'02_Features'!A:A,'02_Features'!E:E,"Missing Prompt"))</f>
        <v>#NAME?</v>
      </c>
      <c r="H160" s="2" t="str">
        <f>IF('03_Functionalities'!D160="","",'03_Functionalities'!D160)</f>
        <v>Tenant RBAC and quota boundaries</v>
      </c>
      <c r="I160" s="2" t="str">
        <f>IF('03_Functionalities'!E160="","",'03_Functionalities'!E160)</f>
        <v>Major functionality for tenant rbac and quota boundaries.</v>
      </c>
      <c r="J160" s="2" t="str">
        <f>IF('03_Functionalities'!F160="","",'03_Functionalities'!F160)</f>
        <v>Includes major assessment behavior for tenant rbac and quota boundaries in the context of organizations, projects and tenancy.</v>
      </c>
      <c r="K160" s="2" t="str">
        <f>IF('03_Functionalities'!G160="","",'03_Functionalities'!G160)</f>
        <v>Excludes low-level configuration toggles, cosmetic UI behavior, and implementation-specific inventory minutiae unless they materially affect parity or risk.</v>
      </c>
      <c r="L160" s="2" t="str">
        <f>IF('03_Functionalities'!I160="","",'03_Functionalities'!I160)</f>
        <v>Automation</v>
      </c>
      <c r="M160" s="2" t="str">
        <f>IF('03_Functionalities'!J160="","",'03_Functionalities'!J160)</f>
        <v>Tenancy</v>
      </c>
      <c r="N160" s="2" t="str">
        <f>IF('03_Functionalities'!K160="","",'03_Functionalities'!K160)</f>
        <v>High</v>
      </c>
      <c r="O160" s="2" t="str">
        <f>IF('03_Functionalities'!L160="","",'03_Functionalities'!L160)</f>
        <v>High</v>
      </c>
      <c r="P160" s="2" t="str">
        <f>IF('03_Functionalities'!M160="","",'03_Functionalities'!M160)</f>
        <v>Official vendor documentation, release notes, validated KB/article, product guide, or architecture reference with version applicability.</v>
      </c>
      <c r="Q160" s="2" t="str">
        <f>IF('03_Functionalities'!N160="","",'03_Functionalities'!N160)</f>
        <v>VCF 9.1 Organizations, projects and tenancy Tenant RBAC and quota boundaries comparator parity evidence</v>
      </c>
      <c r="R160" s="2" t="str">
        <f>IF('03_Functionalities'!O160="","",'03_Functionalities'!O160)</f>
        <v>Yes</v>
      </c>
      <c r="S160" s="2" t="e">
        <f ca="1">IF(C160="","",_xludf.XLOOKUP(C160,'01_Products'!A:A,'01_Products'!K:K,0))</f>
        <v>#NAME?</v>
      </c>
      <c r="T160" s="2" t="e">
        <f ca="1">IF(B160="","",_xludf.XLOOKUP(B160,'02_Features'!A:A,'02_Features'!L:L,0))</f>
        <v>#NAME?</v>
      </c>
      <c r="U160" s="2">
        <f>IF('03_Functionalities'!P160="","",'03_Functionalities'!P160)</f>
        <v>3</v>
      </c>
      <c r="V160" s="2" t="str">
        <f>IF('03_Functionalities'!Q160="","",'03_Functionalities'!Q160)</f>
        <v>Draft</v>
      </c>
      <c r="W160" s="2" t="str">
        <f>IF('03_Functionalities'!R160="","",'03_Functionalities'!R160)</f>
        <v>https://techdocs.broadcom.com/us/en/vmware-cis/vcf/vcf-9-0-and-later/9-0/overview-of-vmware-cloud-foundation-9/what-is-vmware-cloud-foundation-and-vmware-vsphere-foundation/vcf-automation-overview.html</v>
      </c>
      <c r="X160" s="2" t="str">
        <f>IF('03_Functionalities'!S160="","",'03_Functionalities'!S160)</f>
        <v>High</v>
      </c>
    </row>
    <row r="161" spans="1:24" ht="71.25">
      <c r="A161" s="2" t="str">
        <f>IF('03_Functionalities'!A161="","",'03_Functionalities'!A161)</f>
        <v>FN-AUTOMATION-02-01</v>
      </c>
      <c r="B161" s="2" t="str">
        <f>IF('03_Functionalities'!B161="","",'03_Functionalities'!B161)</f>
        <v>FT-AUTOMATION-02</v>
      </c>
      <c r="C161" s="2" t="str">
        <f>IF('03_Functionalities'!C161="","",'03_Functionalities'!C161)</f>
        <v>PC-AUTOMATION</v>
      </c>
      <c r="D161" s="2" t="e">
        <f ca="1">IF(C161="","",_xludf.XLOOKUP(C161,'01_Products'!A:A,'01_Products'!B:B,"Missing Product"))</f>
        <v>#NAME?</v>
      </c>
      <c r="E161" s="2" t="e">
        <f ca="1">IF(C161="","",_xludf.XLOOKUP(C161,'01_Products'!A:A,'01_Products'!C:C,"Missing Type"))</f>
        <v>#NAME?</v>
      </c>
      <c r="F161" s="2" t="e">
        <f ca="1">IF(B161="","",_xludf.XLOOKUP(B161,'02_Features'!A:A,'02_Features'!C:C,"Missing Feature"))</f>
        <v>#NAME?</v>
      </c>
      <c r="G161" s="2" t="e">
        <f ca="1">IF(B161="","",_xludf.XLOOKUP(B161,'02_Features'!A:A,'02_Features'!E:E,"Missing Prompt"))</f>
        <v>#NAME?</v>
      </c>
      <c r="H161" s="2" t="str">
        <f>IF('03_Functionalities'!D161="","",'03_Functionalities'!D161)</f>
        <v>Catalog item publication</v>
      </c>
      <c r="I161" s="2" t="str">
        <f>IF('03_Functionalities'!E161="","",'03_Functionalities'!E161)</f>
        <v>Major functionality for catalog item publication.</v>
      </c>
      <c r="J161" s="2" t="str">
        <f>IF('03_Functionalities'!F161="","",'03_Functionalities'!F161)</f>
        <v>Includes major assessment behavior for catalog item publication in the context of self-service catalog and blueprints.</v>
      </c>
      <c r="K161" s="2" t="str">
        <f>IF('03_Functionalities'!G161="","",'03_Functionalities'!G161)</f>
        <v>Excludes low-level configuration toggles, cosmetic UI behavior, and implementation-specific inventory minutiae unless they materially affect parity or risk.</v>
      </c>
      <c r="L161" s="2" t="str">
        <f>IF('03_Functionalities'!I161="","",'03_Functionalities'!I161)</f>
        <v>Automation</v>
      </c>
      <c r="M161" s="2" t="str">
        <f>IF('03_Functionalities'!J161="","",'03_Functionalities'!J161)</f>
        <v>Catalog</v>
      </c>
      <c r="N161" s="2" t="str">
        <f>IF('03_Functionalities'!K161="","",'03_Functionalities'!K161)</f>
        <v>High</v>
      </c>
      <c r="O161" s="2" t="str">
        <f>IF('03_Functionalities'!L161="","",'03_Functionalities'!L161)</f>
        <v>Medium</v>
      </c>
      <c r="P161" s="2" t="str">
        <f>IF('03_Functionalities'!M161="","",'03_Functionalities'!M161)</f>
        <v>Official vendor documentation, release notes, validated KB/article, product guide, or architecture reference with version applicability.</v>
      </c>
      <c r="Q161" s="2" t="str">
        <f>IF('03_Functionalities'!N161="","",'03_Functionalities'!N161)</f>
        <v>VCF 9.1 Self-service catalog and blueprints Catalog item publication comparator parity evidence</v>
      </c>
      <c r="R161" s="2" t="str">
        <f>IF('03_Functionalities'!O161="","",'03_Functionalities'!O161)</f>
        <v>Yes</v>
      </c>
      <c r="S161" s="2" t="e">
        <f ca="1">IF(C161="","",_xludf.XLOOKUP(C161,'01_Products'!A:A,'01_Products'!K:K,0))</f>
        <v>#NAME?</v>
      </c>
      <c r="T161" s="2" t="e">
        <f ca="1">IF(B161="","",_xludf.XLOOKUP(B161,'02_Features'!A:A,'02_Features'!L:L,0))</f>
        <v>#NAME?</v>
      </c>
      <c r="U161" s="2">
        <f>IF('03_Functionalities'!P161="","",'03_Functionalities'!P161)</f>
        <v>1</v>
      </c>
      <c r="V161" s="2" t="str">
        <f>IF('03_Functionalities'!Q161="","",'03_Functionalities'!Q161)</f>
        <v>Draft</v>
      </c>
      <c r="W161" s="2" t="str">
        <f>IF('03_Functionalities'!R161="","",'03_Functionalities'!R161)</f>
        <v>https://techdocs.broadcom.com/us/en/vmware-cis/vcf/vcf-9-0-and-later/9-0/overview-of-vmware-cloud-foundation-9/what-is-vmware-cloud-foundation-and-vmware-vsphere-foundation/vcf-automation-overview.html</v>
      </c>
      <c r="X161" s="2" t="str">
        <f>IF('03_Functionalities'!S161="","",'03_Functionalities'!S161)</f>
        <v>High</v>
      </c>
    </row>
    <row r="162" spans="1:24" ht="71.25">
      <c r="A162" s="2" t="str">
        <f>IF('03_Functionalities'!A162="","",'03_Functionalities'!A162)</f>
        <v>FN-AUTOMATION-02-02</v>
      </c>
      <c r="B162" s="2" t="str">
        <f>IF('03_Functionalities'!B162="","",'03_Functionalities'!B162)</f>
        <v>FT-AUTOMATION-02</v>
      </c>
      <c r="C162" s="2" t="str">
        <f>IF('03_Functionalities'!C162="","",'03_Functionalities'!C162)</f>
        <v>PC-AUTOMATION</v>
      </c>
      <c r="D162" s="2" t="e">
        <f ca="1">IF(C162="","",_xludf.XLOOKUP(C162,'01_Products'!A:A,'01_Products'!B:B,"Missing Product"))</f>
        <v>#NAME?</v>
      </c>
      <c r="E162" s="2" t="e">
        <f ca="1">IF(C162="","",_xludf.XLOOKUP(C162,'01_Products'!A:A,'01_Products'!C:C,"Missing Type"))</f>
        <v>#NAME?</v>
      </c>
      <c r="F162" s="2" t="e">
        <f ca="1">IF(B162="","",_xludf.XLOOKUP(B162,'02_Features'!A:A,'02_Features'!C:C,"Missing Feature"))</f>
        <v>#NAME?</v>
      </c>
      <c r="G162" s="2" t="e">
        <f ca="1">IF(B162="","",_xludf.XLOOKUP(B162,'02_Features'!A:A,'02_Features'!E:E,"Missing Prompt"))</f>
        <v>#NAME?</v>
      </c>
      <c r="H162" s="2" t="str">
        <f>IF('03_Functionalities'!D162="","",'03_Functionalities'!D162)</f>
        <v>Blueprint/template consumption</v>
      </c>
      <c r="I162" s="2" t="str">
        <f>IF('03_Functionalities'!E162="","",'03_Functionalities'!E162)</f>
        <v>Major functionality for blueprint/template consumption.</v>
      </c>
      <c r="J162" s="2" t="str">
        <f>IF('03_Functionalities'!F162="","",'03_Functionalities'!F162)</f>
        <v>Includes major assessment behavior for blueprint/template consumption in the context of self-service catalog and blueprints.</v>
      </c>
      <c r="K162" s="2" t="str">
        <f>IF('03_Functionalities'!G162="","",'03_Functionalities'!G162)</f>
        <v>Excludes low-level configuration toggles, cosmetic UI behavior, and implementation-specific inventory minutiae unless they materially affect parity or risk.</v>
      </c>
      <c r="L162" s="2" t="str">
        <f>IF('03_Functionalities'!I162="","",'03_Functionalities'!I162)</f>
        <v>Automation</v>
      </c>
      <c r="M162" s="2" t="str">
        <f>IF('03_Functionalities'!J162="","",'03_Functionalities'!J162)</f>
        <v>Catalog</v>
      </c>
      <c r="N162" s="2" t="str">
        <f>IF('03_Functionalities'!K162="","",'03_Functionalities'!K162)</f>
        <v>High</v>
      </c>
      <c r="O162" s="2" t="str">
        <f>IF('03_Functionalities'!L162="","",'03_Functionalities'!L162)</f>
        <v>Medium</v>
      </c>
      <c r="P162" s="2" t="str">
        <f>IF('03_Functionalities'!M162="","",'03_Functionalities'!M162)</f>
        <v>Official vendor documentation, release notes, validated KB/article, product guide, or architecture reference with version applicability.</v>
      </c>
      <c r="Q162" s="2" t="str">
        <f>IF('03_Functionalities'!N162="","",'03_Functionalities'!N162)</f>
        <v>VCF 9.1 Self-service catalog and blueprints Blueprint/template consumption comparator parity evidence</v>
      </c>
      <c r="R162" s="2" t="str">
        <f>IF('03_Functionalities'!O162="","",'03_Functionalities'!O162)</f>
        <v>Yes</v>
      </c>
      <c r="S162" s="2" t="e">
        <f ca="1">IF(C162="","",_xludf.XLOOKUP(C162,'01_Products'!A:A,'01_Products'!K:K,0))</f>
        <v>#NAME?</v>
      </c>
      <c r="T162" s="2" t="e">
        <f ca="1">IF(B162="","",_xludf.XLOOKUP(B162,'02_Features'!A:A,'02_Features'!L:L,0))</f>
        <v>#NAME?</v>
      </c>
      <c r="U162" s="2">
        <f>IF('03_Functionalities'!P162="","",'03_Functionalities'!P162)</f>
        <v>2</v>
      </c>
      <c r="V162" s="2" t="str">
        <f>IF('03_Functionalities'!Q162="","",'03_Functionalities'!Q162)</f>
        <v>Draft</v>
      </c>
      <c r="W162" s="2" t="str">
        <f>IF('03_Functionalities'!R162="","",'03_Functionalities'!R162)</f>
        <v>https://techdocs.broadcom.com/us/en/vmware-cis/vcf/vcf-9-0-and-later/9-0/overview-of-vmware-cloud-foundation-9/what-is-vmware-cloud-foundation-and-vmware-vsphere-foundation/vcf-automation-overview.html</v>
      </c>
      <c r="X162" s="2" t="str">
        <f>IF('03_Functionalities'!S162="","",'03_Functionalities'!S162)</f>
        <v>High</v>
      </c>
    </row>
    <row r="163" spans="1:24" ht="71.25">
      <c r="A163" s="2" t="str">
        <f>IF('03_Functionalities'!A163="","",'03_Functionalities'!A163)</f>
        <v>FN-AUTOMATION-02-03</v>
      </c>
      <c r="B163" s="2" t="str">
        <f>IF('03_Functionalities'!B163="","",'03_Functionalities'!B163)</f>
        <v>FT-AUTOMATION-02</v>
      </c>
      <c r="C163" s="2" t="str">
        <f>IF('03_Functionalities'!C163="","",'03_Functionalities'!C163)</f>
        <v>PC-AUTOMATION</v>
      </c>
      <c r="D163" s="2" t="e">
        <f ca="1">IF(C163="","",_xludf.XLOOKUP(C163,'01_Products'!A:A,'01_Products'!B:B,"Missing Product"))</f>
        <v>#NAME?</v>
      </c>
      <c r="E163" s="2" t="e">
        <f ca="1">IF(C163="","",_xludf.XLOOKUP(C163,'01_Products'!A:A,'01_Products'!C:C,"Missing Type"))</f>
        <v>#NAME?</v>
      </c>
      <c r="F163" s="2" t="e">
        <f ca="1">IF(B163="","",_xludf.XLOOKUP(B163,'02_Features'!A:A,'02_Features'!C:C,"Missing Feature"))</f>
        <v>#NAME?</v>
      </c>
      <c r="G163" s="2" t="e">
        <f ca="1">IF(B163="","",_xludf.XLOOKUP(B163,'02_Features'!A:A,'02_Features'!E:E,"Missing Prompt"))</f>
        <v>#NAME?</v>
      </c>
      <c r="H163" s="2" t="str">
        <f>IF('03_Functionalities'!D163="","",'03_Functionalities'!D163)</f>
        <v>User request and deployment workflow</v>
      </c>
      <c r="I163" s="2" t="str">
        <f>IF('03_Functionalities'!E163="","",'03_Functionalities'!E163)</f>
        <v>Major functionality for user request and deployment workflow.</v>
      </c>
      <c r="J163" s="2" t="str">
        <f>IF('03_Functionalities'!F163="","",'03_Functionalities'!F163)</f>
        <v>Includes major assessment behavior for user request and deployment workflow in the context of self-service catalog and blueprints.</v>
      </c>
      <c r="K163" s="2" t="str">
        <f>IF('03_Functionalities'!G163="","",'03_Functionalities'!G163)</f>
        <v>Excludes low-level configuration toggles, cosmetic UI behavior, and implementation-specific inventory minutiae unless they materially affect parity or risk.</v>
      </c>
      <c r="L163" s="2" t="str">
        <f>IF('03_Functionalities'!I163="","",'03_Functionalities'!I163)</f>
        <v>Automation</v>
      </c>
      <c r="M163" s="2" t="str">
        <f>IF('03_Functionalities'!J163="","",'03_Functionalities'!J163)</f>
        <v>Catalog</v>
      </c>
      <c r="N163" s="2" t="str">
        <f>IF('03_Functionalities'!K163="","",'03_Functionalities'!K163)</f>
        <v>High</v>
      </c>
      <c r="O163" s="2" t="str">
        <f>IF('03_Functionalities'!L163="","",'03_Functionalities'!L163)</f>
        <v>Medium</v>
      </c>
      <c r="P163" s="2" t="str">
        <f>IF('03_Functionalities'!M163="","",'03_Functionalities'!M163)</f>
        <v>Official vendor documentation, release notes, validated KB/article, product guide, or architecture reference with version applicability.</v>
      </c>
      <c r="Q163" s="2" t="str">
        <f>IF('03_Functionalities'!N163="","",'03_Functionalities'!N163)</f>
        <v>VCF 9.1 Self-service catalog and blueprints User request and deployment workflow comparator parity evidence</v>
      </c>
      <c r="R163" s="2" t="str">
        <f>IF('03_Functionalities'!O163="","",'03_Functionalities'!O163)</f>
        <v>Yes</v>
      </c>
      <c r="S163" s="2" t="e">
        <f ca="1">IF(C163="","",_xludf.XLOOKUP(C163,'01_Products'!A:A,'01_Products'!K:K,0))</f>
        <v>#NAME?</v>
      </c>
      <c r="T163" s="2" t="e">
        <f ca="1">IF(B163="","",_xludf.XLOOKUP(B163,'02_Features'!A:A,'02_Features'!L:L,0))</f>
        <v>#NAME?</v>
      </c>
      <c r="U163" s="2">
        <f>IF('03_Functionalities'!P163="","",'03_Functionalities'!P163)</f>
        <v>3</v>
      </c>
      <c r="V163" s="2" t="str">
        <f>IF('03_Functionalities'!Q163="","",'03_Functionalities'!Q163)</f>
        <v>Draft</v>
      </c>
      <c r="W163" s="2" t="str">
        <f>IF('03_Functionalities'!R163="","",'03_Functionalities'!R163)</f>
        <v>https://techdocs.broadcom.com/us/en/vmware-cis/vcf/vcf-9-0-and-later/9-0/overview-of-vmware-cloud-foundation-9/what-is-vmware-cloud-foundation-and-vmware-vsphere-foundation/vcf-automation-overview.html</v>
      </c>
      <c r="X163" s="2" t="str">
        <f>IF('03_Functionalities'!S163="","",'03_Functionalities'!S163)</f>
        <v>High</v>
      </c>
    </row>
    <row r="164" spans="1:24" ht="71.25">
      <c r="A164" s="2" t="str">
        <f>IF('03_Functionalities'!A164="","",'03_Functionalities'!A164)</f>
        <v>FN-AUTOMATION-03-01</v>
      </c>
      <c r="B164" s="2" t="str">
        <f>IF('03_Functionalities'!B164="","",'03_Functionalities'!B164)</f>
        <v>FT-AUTOMATION-03</v>
      </c>
      <c r="C164" s="2" t="str">
        <f>IF('03_Functionalities'!C164="","",'03_Functionalities'!C164)</f>
        <v>PC-AUTOMATION</v>
      </c>
      <c r="D164" s="2" t="e">
        <f ca="1">IF(C164="","",_xludf.XLOOKUP(C164,'01_Products'!A:A,'01_Products'!B:B,"Missing Product"))</f>
        <v>#NAME?</v>
      </c>
      <c r="E164" s="2" t="e">
        <f ca="1">IF(C164="","",_xludf.XLOOKUP(C164,'01_Products'!A:A,'01_Products'!C:C,"Missing Type"))</f>
        <v>#NAME?</v>
      </c>
      <c r="F164" s="2" t="e">
        <f ca="1">IF(B164="","",_xludf.XLOOKUP(B164,'02_Features'!A:A,'02_Features'!C:C,"Missing Feature"))</f>
        <v>#NAME?</v>
      </c>
      <c r="G164" s="2" t="e">
        <f ca="1">IF(B164="","",_xludf.XLOOKUP(B164,'02_Features'!A:A,'02_Features'!E:E,"Missing Prompt"))</f>
        <v>#NAME?</v>
      </c>
      <c r="H164" s="2" t="str">
        <f>IF('03_Functionalities'!D164="","",'03_Functionalities'!D164)</f>
        <v>Policy enforcement</v>
      </c>
      <c r="I164" s="2" t="str">
        <f>IF('03_Functionalities'!E164="","",'03_Functionalities'!E164)</f>
        <v>Major functionality for policy enforcement.</v>
      </c>
      <c r="J164" s="2" t="str">
        <f>IF('03_Functionalities'!F164="","",'03_Functionalities'!F164)</f>
        <v>Includes major assessment behavior for policy enforcement in the context of policy governance and approvals.</v>
      </c>
      <c r="K164" s="2" t="str">
        <f>IF('03_Functionalities'!G164="","",'03_Functionalities'!G164)</f>
        <v>Excludes low-level configuration toggles, cosmetic UI behavior, and implementation-specific inventory minutiae unless they materially affect parity or risk.</v>
      </c>
      <c r="L164" s="2" t="str">
        <f>IF('03_Functionalities'!I164="","",'03_Functionalities'!I164)</f>
        <v>Automation</v>
      </c>
      <c r="M164" s="2" t="str">
        <f>IF('03_Functionalities'!J164="","",'03_Functionalities'!J164)</f>
        <v>Governance</v>
      </c>
      <c r="N164" s="2" t="str">
        <f>IF('03_Functionalities'!K164="","",'03_Functionalities'!K164)</f>
        <v>High</v>
      </c>
      <c r="O164" s="2" t="str">
        <f>IF('03_Functionalities'!L164="","",'03_Functionalities'!L164)</f>
        <v>High</v>
      </c>
      <c r="P164" s="2" t="str">
        <f>IF('03_Functionalities'!M164="","",'03_Functionalities'!M164)</f>
        <v>Official vendor documentation, release notes, validated KB/article, product guide, or architecture reference with version applicability.</v>
      </c>
      <c r="Q164" s="2" t="str">
        <f>IF('03_Functionalities'!N164="","",'03_Functionalities'!N164)</f>
        <v>VCF 9.1 Policy governance and approvals Policy enforcement comparator parity evidence</v>
      </c>
      <c r="R164" s="2" t="str">
        <f>IF('03_Functionalities'!O164="","",'03_Functionalities'!O164)</f>
        <v>Yes</v>
      </c>
      <c r="S164" s="2" t="e">
        <f ca="1">IF(C164="","",_xludf.XLOOKUP(C164,'01_Products'!A:A,'01_Products'!K:K,0))</f>
        <v>#NAME?</v>
      </c>
      <c r="T164" s="2" t="e">
        <f ca="1">IF(B164="","",_xludf.XLOOKUP(B164,'02_Features'!A:A,'02_Features'!L:L,0))</f>
        <v>#NAME?</v>
      </c>
      <c r="U164" s="2">
        <f>IF('03_Functionalities'!P164="","",'03_Functionalities'!P164)</f>
        <v>1</v>
      </c>
      <c r="V164" s="2" t="str">
        <f>IF('03_Functionalities'!Q164="","",'03_Functionalities'!Q164)</f>
        <v>Draft</v>
      </c>
      <c r="W164" s="2" t="str">
        <f>IF('03_Functionalities'!R164="","",'03_Functionalities'!R164)</f>
        <v>https://techdocs.broadcom.com/us/en/vmware-cis/vcf/vcf-9-0-and-later/9-1/release-notes/vmware-cloud-foundation-9-1-0-0-release-notes/what-s-new/whats-new-vcf-cli-api-sdk/vcf-changelog.html</v>
      </c>
      <c r="X164" s="2" t="str">
        <f>IF('03_Functionalities'!S164="","",'03_Functionalities'!S164)</f>
        <v>High</v>
      </c>
    </row>
    <row r="165" spans="1:24" ht="71.25">
      <c r="A165" s="2" t="str">
        <f>IF('03_Functionalities'!A165="","",'03_Functionalities'!A165)</f>
        <v>FN-AUTOMATION-03-02</v>
      </c>
      <c r="B165" s="2" t="str">
        <f>IF('03_Functionalities'!B165="","",'03_Functionalities'!B165)</f>
        <v>FT-AUTOMATION-03</v>
      </c>
      <c r="C165" s="2" t="str">
        <f>IF('03_Functionalities'!C165="","",'03_Functionalities'!C165)</f>
        <v>PC-AUTOMATION</v>
      </c>
      <c r="D165" s="2" t="e">
        <f ca="1">IF(C165="","",_xludf.XLOOKUP(C165,'01_Products'!A:A,'01_Products'!B:B,"Missing Product"))</f>
        <v>#NAME?</v>
      </c>
      <c r="E165" s="2" t="e">
        <f ca="1">IF(C165="","",_xludf.XLOOKUP(C165,'01_Products'!A:A,'01_Products'!C:C,"Missing Type"))</f>
        <v>#NAME?</v>
      </c>
      <c r="F165" s="2" t="e">
        <f ca="1">IF(B165="","",_xludf.XLOOKUP(B165,'02_Features'!A:A,'02_Features'!C:C,"Missing Feature"))</f>
        <v>#NAME?</v>
      </c>
      <c r="G165" s="2" t="e">
        <f ca="1">IF(B165="","",_xludf.XLOOKUP(B165,'02_Features'!A:A,'02_Features'!E:E,"Missing Prompt"))</f>
        <v>#NAME?</v>
      </c>
      <c r="H165" s="2" t="str">
        <f>IF('03_Functionalities'!D165="","",'03_Functionalities'!D165)</f>
        <v>Approval workflow</v>
      </c>
      <c r="I165" s="2" t="str">
        <f>IF('03_Functionalities'!E165="","",'03_Functionalities'!E165)</f>
        <v>Major functionality for approval workflow.</v>
      </c>
      <c r="J165" s="2" t="str">
        <f>IF('03_Functionalities'!F165="","",'03_Functionalities'!F165)</f>
        <v>Includes major assessment behavior for approval workflow in the context of policy governance and approvals.</v>
      </c>
      <c r="K165" s="2" t="str">
        <f>IF('03_Functionalities'!G165="","",'03_Functionalities'!G165)</f>
        <v>Excludes low-level configuration toggles, cosmetic UI behavior, and implementation-specific inventory minutiae unless they materially affect parity or risk.</v>
      </c>
      <c r="L165" s="2" t="str">
        <f>IF('03_Functionalities'!I165="","",'03_Functionalities'!I165)</f>
        <v>Automation</v>
      </c>
      <c r="M165" s="2" t="str">
        <f>IF('03_Functionalities'!J165="","",'03_Functionalities'!J165)</f>
        <v>Governance</v>
      </c>
      <c r="N165" s="2" t="str">
        <f>IF('03_Functionalities'!K165="","",'03_Functionalities'!K165)</f>
        <v>High</v>
      </c>
      <c r="O165" s="2" t="str">
        <f>IF('03_Functionalities'!L165="","",'03_Functionalities'!L165)</f>
        <v>High</v>
      </c>
      <c r="P165" s="2" t="str">
        <f>IF('03_Functionalities'!M165="","",'03_Functionalities'!M165)</f>
        <v>Official vendor documentation, release notes, validated KB/article, product guide, or architecture reference with version applicability.</v>
      </c>
      <c r="Q165" s="2" t="str">
        <f>IF('03_Functionalities'!N165="","",'03_Functionalities'!N165)</f>
        <v>VCF 9.1 Policy governance and approvals Approval workflow comparator parity evidence</v>
      </c>
      <c r="R165" s="2" t="str">
        <f>IF('03_Functionalities'!O165="","",'03_Functionalities'!O165)</f>
        <v>Yes</v>
      </c>
      <c r="S165" s="2" t="e">
        <f ca="1">IF(C165="","",_xludf.XLOOKUP(C165,'01_Products'!A:A,'01_Products'!K:K,0))</f>
        <v>#NAME?</v>
      </c>
      <c r="T165" s="2" t="e">
        <f ca="1">IF(B165="","",_xludf.XLOOKUP(B165,'02_Features'!A:A,'02_Features'!L:L,0))</f>
        <v>#NAME?</v>
      </c>
      <c r="U165" s="2">
        <f>IF('03_Functionalities'!P165="","",'03_Functionalities'!P165)</f>
        <v>2</v>
      </c>
      <c r="V165" s="2" t="str">
        <f>IF('03_Functionalities'!Q165="","",'03_Functionalities'!Q165)</f>
        <v>Draft</v>
      </c>
      <c r="W165" s="2" t="str">
        <f>IF('03_Functionalities'!R165="","",'03_Functionalities'!R165)</f>
        <v>https://techdocs.broadcom.com/us/en/vmware-cis/vcf/vcf-9-0-and-later/9-1/release-notes/vmware-cloud-foundation-9-1-0-0-release-notes/what-s-new/whats-new-vcf-cli-api-sdk/vcf-changelog.html</v>
      </c>
      <c r="X165" s="2" t="str">
        <f>IF('03_Functionalities'!S165="","",'03_Functionalities'!S165)</f>
        <v>High</v>
      </c>
    </row>
    <row r="166" spans="1:24" ht="71.25">
      <c r="A166" s="2" t="str">
        <f>IF('03_Functionalities'!A166="","",'03_Functionalities'!A166)</f>
        <v>FN-AUTOMATION-03-03</v>
      </c>
      <c r="B166" s="2" t="str">
        <f>IF('03_Functionalities'!B166="","",'03_Functionalities'!B166)</f>
        <v>FT-AUTOMATION-03</v>
      </c>
      <c r="C166" s="2" t="str">
        <f>IF('03_Functionalities'!C166="","",'03_Functionalities'!C166)</f>
        <v>PC-AUTOMATION</v>
      </c>
      <c r="D166" s="2" t="e">
        <f ca="1">IF(C166="","",_xludf.XLOOKUP(C166,'01_Products'!A:A,'01_Products'!B:B,"Missing Product"))</f>
        <v>#NAME?</v>
      </c>
      <c r="E166" s="2" t="e">
        <f ca="1">IF(C166="","",_xludf.XLOOKUP(C166,'01_Products'!A:A,'01_Products'!C:C,"Missing Type"))</f>
        <v>#NAME?</v>
      </c>
      <c r="F166" s="2" t="e">
        <f ca="1">IF(B166="","",_xludf.XLOOKUP(B166,'02_Features'!A:A,'02_Features'!C:C,"Missing Feature"))</f>
        <v>#NAME?</v>
      </c>
      <c r="G166" s="2" t="e">
        <f ca="1">IF(B166="","",_xludf.XLOOKUP(B166,'02_Features'!A:A,'02_Features'!E:E,"Missing Prompt"))</f>
        <v>#NAME?</v>
      </c>
      <c r="H166" s="2" t="str">
        <f>IF('03_Functionalities'!D166="","",'03_Functionalities'!D166)</f>
        <v>Lease/limit and guardrail control</v>
      </c>
      <c r="I166" s="2" t="str">
        <f>IF('03_Functionalities'!E166="","",'03_Functionalities'!E166)</f>
        <v>Major functionality for lease/limit and guardrail control.</v>
      </c>
      <c r="J166" s="2" t="str">
        <f>IF('03_Functionalities'!F166="","",'03_Functionalities'!F166)</f>
        <v>Includes major assessment behavior for lease/limit and guardrail control in the context of policy governance and approvals.</v>
      </c>
      <c r="K166" s="2" t="str">
        <f>IF('03_Functionalities'!G166="","",'03_Functionalities'!G166)</f>
        <v>Excludes low-level configuration toggles, cosmetic UI behavior, and implementation-specific inventory minutiae unless they materially affect parity or risk.</v>
      </c>
      <c r="L166" s="2" t="str">
        <f>IF('03_Functionalities'!I166="","",'03_Functionalities'!I166)</f>
        <v>Automation</v>
      </c>
      <c r="M166" s="2" t="str">
        <f>IF('03_Functionalities'!J166="","",'03_Functionalities'!J166)</f>
        <v>Governance</v>
      </c>
      <c r="N166" s="2" t="str">
        <f>IF('03_Functionalities'!K166="","",'03_Functionalities'!K166)</f>
        <v>High</v>
      </c>
      <c r="O166" s="2" t="str">
        <f>IF('03_Functionalities'!L166="","",'03_Functionalities'!L166)</f>
        <v>High</v>
      </c>
      <c r="P166" s="2" t="str">
        <f>IF('03_Functionalities'!M166="","",'03_Functionalities'!M166)</f>
        <v>Official vendor documentation, release notes, validated KB/article, product guide, or architecture reference with version applicability.</v>
      </c>
      <c r="Q166" s="2" t="str">
        <f>IF('03_Functionalities'!N166="","",'03_Functionalities'!N166)</f>
        <v>VCF 9.1 Policy governance and approvals Lease/limit and guardrail control comparator parity evidence</v>
      </c>
      <c r="R166" s="2" t="str">
        <f>IF('03_Functionalities'!O166="","",'03_Functionalities'!O166)</f>
        <v>Yes</v>
      </c>
      <c r="S166" s="2" t="e">
        <f ca="1">IF(C166="","",_xludf.XLOOKUP(C166,'01_Products'!A:A,'01_Products'!K:K,0))</f>
        <v>#NAME?</v>
      </c>
      <c r="T166" s="2" t="e">
        <f ca="1">IF(B166="","",_xludf.XLOOKUP(B166,'02_Features'!A:A,'02_Features'!L:L,0))</f>
        <v>#NAME?</v>
      </c>
      <c r="U166" s="2">
        <f>IF('03_Functionalities'!P166="","",'03_Functionalities'!P166)</f>
        <v>3</v>
      </c>
      <c r="V166" s="2" t="str">
        <f>IF('03_Functionalities'!Q166="","",'03_Functionalities'!Q166)</f>
        <v>Draft</v>
      </c>
      <c r="W166" s="2" t="str">
        <f>IF('03_Functionalities'!R166="","",'03_Functionalities'!R166)</f>
        <v>https://techdocs.broadcom.com/us/en/vmware-cis/vcf/vcf-9-0-and-later/9-1/release-notes/vmware-cloud-foundation-9-1-0-0-release-notes/what-s-new/whats-new-vcf-cli-api-sdk/vcf-changelog.html</v>
      </c>
      <c r="X166" s="2" t="str">
        <f>IF('03_Functionalities'!S166="","",'03_Functionalities'!S166)</f>
        <v>High</v>
      </c>
    </row>
    <row r="167" spans="1:24" ht="71.25">
      <c r="A167" s="2" t="str">
        <f>IF('03_Functionalities'!A167="","",'03_Functionalities'!A167)</f>
        <v>FN-AUTOMATION-04-01</v>
      </c>
      <c r="B167" s="2" t="str">
        <f>IF('03_Functionalities'!B167="","",'03_Functionalities'!B167)</f>
        <v>FT-AUTOMATION-04</v>
      </c>
      <c r="C167" s="2" t="str">
        <f>IF('03_Functionalities'!C167="","",'03_Functionalities'!C167)</f>
        <v>PC-AUTOMATION</v>
      </c>
      <c r="D167" s="2" t="e">
        <f ca="1">IF(C167="","",_xludf.XLOOKUP(C167,'01_Products'!A:A,'01_Products'!B:B,"Missing Product"))</f>
        <v>#NAME?</v>
      </c>
      <c r="E167" s="2" t="e">
        <f ca="1">IF(C167="","",_xludf.XLOOKUP(C167,'01_Products'!A:A,'01_Products'!C:C,"Missing Type"))</f>
        <v>#NAME?</v>
      </c>
      <c r="F167" s="2" t="e">
        <f ca="1">IF(B167="","",_xludf.XLOOKUP(B167,'02_Features'!A:A,'02_Features'!C:C,"Missing Feature"))</f>
        <v>#NAME?</v>
      </c>
      <c r="G167" s="2" t="e">
        <f ca="1">IF(B167="","",_xludf.XLOOKUP(B167,'02_Features'!A:A,'02_Features'!E:E,"Missing Prompt"))</f>
        <v>#NAME?</v>
      </c>
      <c r="H167" s="2" t="str">
        <f>IF('03_Functionalities'!D167="","",'03_Functionalities'!D167)</f>
        <v>VM app provisioning</v>
      </c>
      <c r="I167" s="2" t="str">
        <f>IF('03_Functionalities'!E167="","",'03_Functionalities'!E167)</f>
        <v>Major functionality for vm app provisioning.</v>
      </c>
      <c r="J167" s="2" t="str">
        <f>IF('03_Functionalities'!F167="","",'03_Functionalities'!F167)</f>
        <v>Includes major assessment behavior for vm app provisioning in the context of infrastructure provisioning for vm apps.</v>
      </c>
      <c r="K167" s="2" t="str">
        <f>IF('03_Functionalities'!G167="","",'03_Functionalities'!G167)</f>
        <v>Excludes low-level configuration toggles, cosmetic UI behavior, and implementation-specific inventory minutiae unless they materially affect parity or risk.</v>
      </c>
      <c r="L167" s="2" t="str">
        <f>IF('03_Functionalities'!I167="","",'03_Functionalities'!I167)</f>
        <v>Automation</v>
      </c>
      <c r="M167" s="2" t="str">
        <f>IF('03_Functionalities'!J167="","",'03_Functionalities'!J167)</f>
        <v>Provisioning</v>
      </c>
      <c r="N167" s="2" t="str">
        <f>IF('03_Functionalities'!K167="","",'03_Functionalities'!K167)</f>
        <v>High</v>
      </c>
      <c r="O167" s="2" t="str">
        <f>IF('03_Functionalities'!L167="","",'03_Functionalities'!L167)</f>
        <v>Medium</v>
      </c>
      <c r="P167" s="2" t="str">
        <f>IF('03_Functionalities'!M167="","",'03_Functionalities'!M167)</f>
        <v>Official vendor documentation, release notes, validated KB/article, product guide, or architecture reference with version applicability.</v>
      </c>
      <c r="Q167" s="2" t="str">
        <f>IF('03_Functionalities'!N167="","",'03_Functionalities'!N167)</f>
        <v>VCF 9.1 Infrastructure provisioning for VM apps VM app provisioning comparator parity evidence</v>
      </c>
      <c r="R167" s="2" t="str">
        <f>IF('03_Functionalities'!O167="","",'03_Functionalities'!O167)</f>
        <v>Yes</v>
      </c>
      <c r="S167" s="2" t="e">
        <f ca="1">IF(C167="","",_xludf.XLOOKUP(C167,'01_Products'!A:A,'01_Products'!K:K,0))</f>
        <v>#NAME?</v>
      </c>
      <c r="T167" s="2" t="e">
        <f ca="1">IF(B167="","",_xludf.XLOOKUP(B167,'02_Features'!A:A,'02_Features'!L:L,0))</f>
        <v>#NAME?</v>
      </c>
      <c r="U167" s="2">
        <f>IF('03_Functionalities'!P167="","",'03_Functionalities'!P167)</f>
        <v>1</v>
      </c>
      <c r="V167" s="2" t="str">
        <f>IF('03_Functionalities'!Q167="","",'03_Functionalities'!Q167)</f>
        <v>Draft</v>
      </c>
      <c r="W167" s="2" t="str">
        <f>IF('03_Functionalities'!R167="","",'03_Functionalities'!R167)</f>
        <v>https://techdocs.broadcom.com/us/en/vmware-cis/vcf/vcf-9-0-and-later/9-0/overview-of-vmware-cloud-foundation-9/what-is-vmware-cloud-foundation-and-vmware-vsphere-foundation/vcf-automation-overview.html</v>
      </c>
      <c r="X167" s="2" t="str">
        <f>IF('03_Functionalities'!S167="","",'03_Functionalities'!S167)</f>
        <v>High</v>
      </c>
    </row>
    <row r="168" spans="1:24" ht="71.25">
      <c r="A168" s="2" t="str">
        <f>IF('03_Functionalities'!A168="","",'03_Functionalities'!A168)</f>
        <v>FN-AUTOMATION-04-02</v>
      </c>
      <c r="B168" s="2" t="str">
        <f>IF('03_Functionalities'!B168="","",'03_Functionalities'!B168)</f>
        <v>FT-AUTOMATION-04</v>
      </c>
      <c r="C168" s="2" t="str">
        <f>IF('03_Functionalities'!C168="","",'03_Functionalities'!C168)</f>
        <v>PC-AUTOMATION</v>
      </c>
      <c r="D168" s="2" t="e">
        <f ca="1">IF(C168="","",_xludf.XLOOKUP(C168,'01_Products'!A:A,'01_Products'!B:B,"Missing Product"))</f>
        <v>#NAME?</v>
      </c>
      <c r="E168" s="2" t="e">
        <f ca="1">IF(C168="","",_xludf.XLOOKUP(C168,'01_Products'!A:A,'01_Products'!C:C,"Missing Type"))</f>
        <v>#NAME?</v>
      </c>
      <c r="F168" s="2" t="e">
        <f ca="1">IF(B168="","",_xludf.XLOOKUP(B168,'02_Features'!A:A,'02_Features'!C:C,"Missing Feature"))</f>
        <v>#NAME?</v>
      </c>
      <c r="G168" s="2" t="e">
        <f ca="1">IF(B168="","",_xludf.XLOOKUP(B168,'02_Features'!A:A,'02_Features'!E:E,"Missing Prompt"))</f>
        <v>#NAME?</v>
      </c>
      <c r="H168" s="2" t="str">
        <f>IF('03_Functionalities'!D168="","",'03_Functionalities'!D168)</f>
        <v>Resource placement and reservation</v>
      </c>
      <c r="I168" s="2" t="str">
        <f>IF('03_Functionalities'!E168="","",'03_Functionalities'!E168)</f>
        <v>Major functionality for resource placement and reservation.</v>
      </c>
      <c r="J168" s="2" t="str">
        <f>IF('03_Functionalities'!F168="","",'03_Functionalities'!F168)</f>
        <v>Includes major assessment behavior for resource placement and reservation in the context of infrastructure provisioning for vm apps.</v>
      </c>
      <c r="K168" s="2" t="str">
        <f>IF('03_Functionalities'!G168="","",'03_Functionalities'!G168)</f>
        <v>Excludes low-level configuration toggles, cosmetic UI behavior, and implementation-specific inventory minutiae unless they materially affect parity or risk.</v>
      </c>
      <c r="L168" s="2" t="str">
        <f>IF('03_Functionalities'!I168="","",'03_Functionalities'!I168)</f>
        <v>Automation</v>
      </c>
      <c r="M168" s="2" t="str">
        <f>IF('03_Functionalities'!J168="","",'03_Functionalities'!J168)</f>
        <v>Provisioning</v>
      </c>
      <c r="N168" s="2" t="str">
        <f>IF('03_Functionalities'!K168="","",'03_Functionalities'!K168)</f>
        <v>High</v>
      </c>
      <c r="O168" s="2" t="str">
        <f>IF('03_Functionalities'!L168="","",'03_Functionalities'!L168)</f>
        <v>Medium</v>
      </c>
      <c r="P168" s="2" t="str">
        <f>IF('03_Functionalities'!M168="","",'03_Functionalities'!M168)</f>
        <v>Official vendor documentation, release notes, validated KB/article, product guide, or architecture reference with version applicability.</v>
      </c>
      <c r="Q168" s="2" t="str">
        <f>IF('03_Functionalities'!N168="","",'03_Functionalities'!N168)</f>
        <v>VCF 9.1 Infrastructure provisioning for VM apps Resource placement and reservation comparator parity evidence</v>
      </c>
      <c r="R168" s="2" t="str">
        <f>IF('03_Functionalities'!O168="","",'03_Functionalities'!O168)</f>
        <v>Yes</v>
      </c>
      <c r="S168" s="2" t="e">
        <f ca="1">IF(C168="","",_xludf.XLOOKUP(C168,'01_Products'!A:A,'01_Products'!K:K,0))</f>
        <v>#NAME?</v>
      </c>
      <c r="T168" s="2" t="e">
        <f ca="1">IF(B168="","",_xludf.XLOOKUP(B168,'02_Features'!A:A,'02_Features'!L:L,0))</f>
        <v>#NAME?</v>
      </c>
      <c r="U168" s="2">
        <f>IF('03_Functionalities'!P168="","",'03_Functionalities'!P168)</f>
        <v>2</v>
      </c>
      <c r="V168" s="2" t="str">
        <f>IF('03_Functionalities'!Q168="","",'03_Functionalities'!Q168)</f>
        <v>Draft</v>
      </c>
      <c r="W168" s="2" t="str">
        <f>IF('03_Functionalities'!R168="","",'03_Functionalities'!R168)</f>
        <v>https://techdocs.broadcom.com/us/en/vmware-cis/vcf/vcf-9-0-and-later/9-0/overview-of-vmware-cloud-foundation-9/what-is-vmware-cloud-foundation-and-vmware-vsphere-foundation/vcf-automation-overview.html</v>
      </c>
      <c r="X168" s="2" t="str">
        <f>IF('03_Functionalities'!S168="","",'03_Functionalities'!S168)</f>
        <v>High</v>
      </c>
    </row>
    <row r="169" spans="1:24" ht="71.25">
      <c r="A169" s="2" t="str">
        <f>IF('03_Functionalities'!A169="","",'03_Functionalities'!A169)</f>
        <v>FN-AUTOMATION-04-03</v>
      </c>
      <c r="B169" s="2" t="str">
        <f>IF('03_Functionalities'!B169="","",'03_Functionalities'!B169)</f>
        <v>FT-AUTOMATION-04</v>
      </c>
      <c r="C169" s="2" t="str">
        <f>IF('03_Functionalities'!C169="","",'03_Functionalities'!C169)</f>
        <v>PC-AUTOMATION</v>
      </c>
      <c r="D169" s="2" t="e">
        <f ca="1">IF(C169="","",_xludf.XLOOKUP(C169,'01_Products'!A:A,'01_Products'!B:B,"Missing Product"))</f>
        <v>#NAME?</v>
      </c>
      <c r="E169" s="2" t="e">
        <f ca="1">IF(C169="","",_xludf.XLOOKUP(C169,'01_Products'!A:A,'01_Products'!C:C,"Missing Type"))</f>
        <v>#NAME?</v>
      </c>
      <c r="F169" s="2" t="e">
        <f ca="1">IF(B169="","",_xludf.XLOOKUP(B169,'02_Features'!A:A,'02_Features'!C:C,"Missing Feature"))</f>
        <v>#NAME?</v>
      </c>
      <c r="G169" s="2" t="e">
        <f ca="1">IF(B169="","",_xludf.XLOOKUP(B169,'02_Features'!A:A,'02_Features'!E:E,"Missing Prompt"))</f>
        <v>#NAME?</v>
      </c>
      <c r="H169" s="2" t="str">
        <f>IF('03_Functionalities'!D169="","",'03_Functionalities'!D169)</f>
        <v>Provisioned workload lifecycle operations</v>
      </c>
      <c r="I169" s="2" t="str">
        <f>IF('03_Functionalities'!E169="","",'03_Functionalities'!E169)</f>
        <v>Major functionality for provisioned workload lifecycle operations.</v>
      </c>
      <c r="J169" s="2" t="str">
        <f>IF('03_Functionalities'!F169="","",'03_Functionalities'!F169)</f>
        <v>Includes major assessment behavior for provisioned workload lifecycle operations in the context of infrastructure provisioning for vm apps.</v>
      </c>
      <c r="K169" s="2" t="str">
        <f>IF('03_Functionalities'!G169="","",'03_Functionalities'!G169)</f>
        <v>Excludes low-level configuration toggles, cosmetic UI behavior, and implementation-specific inventory minutiae unless they materially affect parity or risk.</v>
      </c>
      <c r="L169" s="2" t="str">
        <f>IF('03_Functionalities'!I169="","",'03_Functionalities'!I169)</f>
        <v>Automation</v>
      </c>
      <c r="M169" s="2" t="str">
        <f>IF('03_Functionalities'!J169="","",'03_Functionalities'!J169)</f>
        <v>Provisioning</v>
      </c>
      <c r="N169" s="2" t="str">
        <f>IF('03_Functionalities'!K169="","",'03_Functionalities'!K169)</f>
        <v>High</v>
      </c>
      <c r="O169" s="2" t="str">
        <f>IF('03_Functionalities'!L169="","",'03_Functionalities'!L169)</f>
        <v>Medium</v>
      </c>
      <c r="P169" s="2" t="str">
        <f>IF('03_Functionalities'!M169="","",'03_Functionalities'!M169)</f>
        <v>Official vendor documentation, release notes, validated KB/article, product guide, or architecture reference with version applicability.</v>
      </c>
      <c r="Q169" s="2" t="str">
        <f>IF('03_Functionalities'!N169="","",'03_Functionalities'!N169)</f>
        <v>VCF 9.1 Infrastructure provisioning for VM apps Provisioned workload lifecycle operations comparator parity evidence</v>
      </c>
      <c r="R169" s="2" t="str">
        <f>IF('03_Functionalities'!O169="","",'03_Functionalities'!O169)</f>
        <v>Yes</v>
      </c>
      <c r="S169" s="2" t="e">
        <f ca="1">IF(C169="","",_xludf.XLOOKUP(C169,'01_Products'!A:A,'01_Products'!K:K,0))</f>
        <v>#NAME?</v>
      </c>
      <c r="T169" s="2" t="e">
        <f ca="1">IF(B169="","",_xludf.XLOOKUP(B169,'02_Features'!A:A,'02_Features'!L:L,0))</f>
        <v>#NAME?</v>
      </c>
      <c r="U169" s="2">
        <f>IF('03_Functionalities'!P169="","",'03_Functionalities'!P169)</f>
        <v>3</v>
      </c>
      <c r="V169" s="2" t="str">
        <f>IF('03_Functionalities'!Q169="","",'03_Functionalities'!Q169)</f>
        <v>Draft</v>
      </c>
      <c r="W169" s="2" t="str">
        <f>IF('03_Functionalities'!R169="","",'03_Functionalities'!R169)</f>
        <v>https://techdocs.broadcom.com/us/en/vmware-cis/vcf/vcf-9-0-and-later/9-0/overview-of-vmware-cloud-foundation-9/what-is-vmware-cloud-foundation-and-vmware-vsphere-foundation/vcf-automation-overview.html</v>
      </c>
      <c r="X169" s="2" t="str">
        <f>IF('03_Functionalities'!S169="","",'03_Functionalities'!S169)</f>
        <v>High</v>
      </c>
    </row>
    <row r="170" spans="1:24" ht="71.25">
      <c r="A170" s="2" t="str">
        <f>IF('03_Functionalities'!A170="","",'03_Functionalities'!A170)</f>
        <v>FN-AUTOMATION-05-01</v>
      </c>
      <c r="B170" s="2" t="str">
        <f>IF('03_Functionalities'!B170="","",'03_Functionalities'!B170)</f>
        <v>FT-AUTOMATION-05</v>
      </c>
      <c r="C170" s="2" t="str">
        <f>IF('03_Functionalities'!C170="","",'03_Functionalities'!C170)</f>
        <v>PC-AUTOMATION</v>
      </c>
      <c r="D170" s="2" t="e">
        <f ca="1">IF(C170="","",_xludf.XLOOKUP(C170,'01_Products'!A:A,'01_Products'!B:B,"Missing Product"))</f>
        <v>#NAME?</v>
      </c>
      <c r="E170" s="2" t="e">
        <f ca="1">IF(C170="","",_xludf.XLOOKUP(C170,'01_Products'!A:A,'01_Products'!C:C,"Missing Type"))</f>
        <v>#NAME?</v>
      </c>
      <c r="F170" s="2" t="e">
        <f ca="1">IF(B170="","",_xludf.XLOOKUP(B170,'02_Features'!A:A,'02_Features'!C:C,"Missing Feature"))</f>
        <v>#NAME?</v>
      </c>
      <c r="G170" s="2" t="e">
        <f ca="1">IF(B170="","",_xludf.XLOOKUP(B170,'02_Features'!A:A,'02_Features'!E:E,"Missing Prompt"))</f>
        <v>#NAME?</v>
      </c>
      <c r="H170" s="2" t="str">
        <f>IF('03_Functionalities'!D170="","",'03_Functionalities'!D170)</f>
        <v>IaaS service exposure</v>
      </c>
      <c r="I170" s="2" t="str">
        <f>IF('03_Functionalities'!E170="","",'03_Functionalities'!E170)</f>
        <v>Major functionality for iaas service exposure.</v>
      </c>
      <c r="J170" s="2" t="str">
        <f>IF('03_Functionalities'!F170="","",'03_Functionalities'!F170)</f>
        <v>Includes major assessment behavior for iaas service exposure in the context of vpc and iaas consumption services.</v>
      </c>
      <c r="K170" s="2" t="str">
        <f>IF('03_Functionalities'!G170="","",'03_Functionalities'!G170)</f>
        <v>Excludes low-level configuration toggles, cosmetic UI behavior, and implementation-specific inventory minutiae unless they materially affect parity or risk.</v>
      </c>
      <c r="L170" s="2" t="str">
        <f>IF('03_Functionalities'!I170="","",'03_Functionalities'!I170)</f>
        <v>Automation</v>
      </c>
      <c r="M170" s="2" t="str">
        <f>IF('03_Functionalities'!J170="","",'03_Functionalities'!J170)</f>
        <v>IaaS Consumption</v>
      </c>
      <c r="N170" s="2" t="str">
        <f>IF('03_Functionalities'!K170="","",'03_Functionalities'!K170)</f>
        <v>High</v>
      </c>
      <c r="O170" s="2" t="str">
        <f>IF('03_Functionalities'!L170="","",'03_Functionalities'!L170)</f>
        <v>High</v>
      </c>
      <c r="P170" s="2" t="str">
        <f>IF('03_Functionalities'!M170="","",'03_Functionalities'!M170)</f>
        <v>Official vendor documentation, release notes, validated KB/article, product guide, or architecture reference with version applicability.</v>
      </c>
      <c r="Q170" s="2" t="str">
        <f>IF('03_Functionalities'!N170="","",'03_Functionalities'!N170)</f>
        <v>VCF 9.1 VPC and IaaS consumption services IaaS service exposure comparator parity evidence</v>
      </c>
      <c r="R170" s="2" t="str">
        <f>IF('03_Functionalities'!O170="","",'03_Functionalities'!O170)</f>
        <v>Yes</v>
      </c>
      <c r="S170" s="2" t="e">
        <f ca="1">IF(C170="","",_xludf.XLOOKUP(C170,'01_Products'!A:A,'01_Products'!K:K,0))</f>
        <v>#NAME?</v>
      </c>
      <c r="T170" s="2" t="e">
        <f ca="1">IF(B170="","",_xludf.XLOOKUP(B170,'02_Features'!A:A,'02_Features'!L:L,0))</f>
        <v>#NAME?</v>
      </c>
      <c r="U170" s="2">
        <f>IF('03_Functionalities'!P170="","",'03_Functionalities'!P170)</f>
        <v>1</v>
      </c>
      <c r="V170" s="2" t="str">
        <f>IF('03_Functionalities'!Q170="","",'03_Functionalities'!Q170)</f>
        <v>Draft</v>
      </c>
      <c r="W170" s="2" t="str">
        <f>IF('03_Functionalities'!R170="","",'03_Functionalities'!R170)</f>
        <v>https://techdocs.broadcom.com/us/en/vmware-cis/vcf/vcf-9-0-and-later/9-0/overview-of-vmware-cloud-foundation-9/what-is-vmware-cloud-foundation-and-vmware-vsphere-foundation/vcf-automation-overview.html</v>
      </c>
      <c r="X170" s="2" t="str">
        <f>IF('03_Functionalities'!S170="","",'03_Functionalities'!S170)</f>
        <v>High</v>
      </c>
    </row>
    <row r="171" spans="1:24" ht="71.25">
      <c r="A171" s="2" t="str">
        <f>IF('03_Functionalities'!A171="","",'03_Functionalities'!A171)</f>
        <v>FN-AUTOMATION-05-02</v>
      </c>
      <c r="B171" s="2" t="str">
        <f>IF('03_Functionalities'!B171="","",'03_Functionalities'!B171)</f>
        <v>FT-AUTOMATION-05</v>
      </c>
      <c r="C171" s="2" t="str">
        <f>IF('03_Functionalities'!C171="","",'03_Functionalities'!C171)</f>
        <v>PC-AUTOMATION</v>
      </c>
      <c r="D171" s="2" t="e">
        <f ca="1">IF(C171="","",_xludf.XLOOKUP(C171,'01_Products'!A:A,'01_Products'!B:B,"Missing Product"))</f>
        <v>#NAME?</v>
      </c>
      <c r="E171" s="2" t="e">
        <f ca="1">IF(C171="","",_xludf.XLOOKUP(C171,'01_Products'!A:A,'01_Products'!C:C,"Missing Type"))</f>
        <v>#NAME?</v>
      </c>
      <c r="F171" s="2" t="e">
        <f ca="1">IF(B171="","",_xludf.XLOOKUP(B171,'02_Features'!A:A,'02_Features'!C:C,"Missing Feature"))</f>
        <v>#NAME?</v>
      </c>
      <c r="G171" s="2" t="e">
        <f ca="1">IF(B171="","",_xludf.XLOOKUP(B171,'02_Features'!A:A,'02_Features'!E:E,"Missing Prompt"))</f>
        <v>#NAME?</v>
      </c>
      <c r="H171" s="2" t="str">
        <f>IF('03_Functionalities'!D171="","",'03_Functionalities'!D171)</f>
        <v>VPC consumption workflow</v>
      </c>
      <c r="I171" s="2" t="str">
        <f>IF('03_Functionalities'!E171="","",'03_Functionalities'!E171)</f>
        <v>Major functionality for vpc consumption workflow.</v>
      </c>
      <c r="J171" s="2" t="str">
        <f>IF('03_Functionalities'!F171="","",'03_Functionalities'!F171)</f>
        <v>Includes major assessment behavior for vpc consumption workflow in the context of vpc and iaas consumption services.</v>
      </c>
      <c r="K171" s="2" t="str">
        <f>IF('03_Functionalities'!G171="","",'03_Functionalities'!G171)</f>
        <v>Excludes low-level configuration toggles, cosmetic UI behavior, and implementation-specific inventory minutiae unless they materially affect parity or risk.</v>
      </c>
      <c r="L171" s="2" t="str">
        <f>IF('03_Functionalities'!I171="","",'03_Functionalities'!I171)</f>
        <v>Automation</v>
      </c>
      <c r="M171" s="2" t="str">
        <f>IF('03_Functionalities'!J171="","",'03_Functionalities'!J171)</f>
        <v>IaaS Consumption</v>
      </c>
      <c r="N171" s="2" t="str">
        <f>IF('03_Functionalities'!K171="","",'03_Functionalities'!K171)</f>
        <v>High</v>
      </c>
      <c r="O171" s="2" t="str">
        <f>IF('03_Functionalities'!L171="","",'03_Functionalities'!L171)</f>
        <v>High</v>
      </c>
      <c r="P171" s="2" t="str">
        <f>IF('03_Functionalities'!M171="","",'03_Functionalities'!M171)</f>
        <v>Official vendor documentation, release notes, validated KB/article, product guide, or architecture reference with version applicability.</v>
      </c>
      <c r="Q171" s="2" t="str">
        <f>IF('03_Functionalities'!N171="","",'03_Functionalities'!N171)</f>
        <v>VCF 9.1 VPC and IaaS consumption services VPC consumption workflow comparator parity evidence</v>
      </c>
      <c r="R171" s="2" t="str">
        <f>IF('03_Functionalities'!O171="","",'03_Functionalities'!O171)</f>
        <v>Yes</v>
      </c>
      <c r="S171" s="2" t="e">
        <f ca="1">IF(C171="","",_xludf.XLOOKUP(C171,'01_Products'!A:A,'01_Products'!K:K,0))</f>
        <v>#NAME?</v>
      </c>
      <c r="T171" s="2" t="e">
        <f ca="1">IF(B171="","",_xludf.XLOOKUP(B171,'02_Features'!A:A,'02_Features'!L:L,0))</f>
        <v>#NAME?</v>
      </c>
      <c r="U171" s="2">
        <f>IF('03_Functionalities'!P171="","",'03_Functionalities'!P171)</f>
        <v>2</v>
      </c>
      <c r="V171" s="2" t="str">
        <f>IF('03_Functionalities'!Q171="","",'03_Functionalities'!Q171)</f>
        <v>Draft</v>
      </c>
      <c r="W171" s="2" t="str">
        <f>IF('03_Functionalities'!R171="","",'03_Functionalities'!R171)</f>
        <v>https://techdocs.broadcom.com/us/en/vmware-cis/vcf/vcf-9-0-and-later/9-0/overview-of-vmware-cloud-foundation-9/what-is-vmware-cloud-foundation-and-vmware-vsphere-foundation/vcf-automation-overview.html</v>
      </c>
      <c r="X171" s="2" t="str">
        <f>IF('03_Functionalities'!S171="","",'03_Functionalities'!S171)</f>
        <v>High</v>
      </c>
    </row>
    <row r="172" spans="1:24" ht="71.25">
      <c r="A172" s="2" t="str">
        <f>IF('03_Functionalities'!A172="","",'03_Functionalities'!A172)</f>
        <v>FN-AUTOMATION-05-03</v>
      </c>
      <c r="B172" s="2" t="str">
        <f>IF('03_Functionalities'!B172="","",'03_Functionalities'!B172)</f>
        <v>FT-AUTOMATION-05</v>
      </c>
      <c r="C172" s="2" t="str">
        <f>IF('03_Functionalities'!C172="","",'03_Functionalities'!C172)</f>
        <v>PC-AUTOMATION</v>
      </c>
      <c r="D172" s="2" t="e">
        <f ca="1">IF(C172="","",_xludf.XLOOKUP(C172,'01_Products'!A:A,'01_Products'!B:B,"Missing Product"))</f>
        <v>#NAME?</v>
      </c>
      <c r="E172" s="2" t="e">
        <f ca="1">IF(C172="","",_xludf.XLOOKUP(C172,'01_Products'!A:A,'01_Products'!C:C,"Missing Type"))</f>
        <v>#NAME?</v>
      </c>
      <c r="F172" s="2" t="e">
        <f ca="1">IF(B172="","",_xludf.XLOOKUP(B172,'02_Features'!A:A,'02_Features'!C:C,"Missing Feature"))</f>
        <v>#NAME?</v>
      </c>
      <c r="G172" s="2" t="e">
        <f ca="1">IF(B172="","",_xludf.XLOOKUP(B172,'02_Features'!A:A,'02_Features'!E:E,"Missing Prompt"))</f>
        <v>#NAME?</v>
      </c>
      <c r="H172" s="2" t="str">
        <f>IF('03_Functionalities'!D172="","",'03_Functionalities'!D172)</f>
        <v>Network/storage/compute consumption policy</v>
      </c>
      <c r="I172" s="2" t="str">
        <f>IF('03_Functionalities'!E172="","",'03_Functionalities'!E172)</f>
        <v>Major functionality for network/storage/compute consumption policy.</v>
      </c>
      <c r="J172" s="2" t="str">
        <f>IF('03_Functionalities'!F172="","",'03_Functionalities'!F172)</f>
        <v>Includes major assessment behavior for network/storage/compute consumption policy in the context of vpc and iaas consumption services.</v>
      </c>
      <c r="K172" s="2" t="str">
        <f>IF('03_Functionalities'!G172="","",'03_Functionalities'!G172)</f>
        <v>Excludes low-level configuration toggles, cosmetic UI behavior, and implementation-specific inventory minutiae unless they materially affect parity or risk.</v>
      </c>
      <c r="L172" s="2" t="str">
        <f>IF('03_Functionalities'!I172="","",'03_Functionalities'!I172)</f>
        <v>Automation</v>
      </c>
      <c r="M172" s="2" t="str">
        <f>IF('03_Functionalities'!J172="","",'03_Functionalities'!J172)</f>
        <v>IaaS Consumption</v>
      </c>
      <c r="N172" s="2" t="str">
        <f>IF('03_Functionalities'!K172="","",'03_Functionalities'!K172)</f>
        <v>High</v>
      </c>
      <c r="O172" s="2" t="str">
        <f>IF('03_Functionalities'!L172="","",'03_Functionalities'!L172)</f>
        <v>High</v>
      </c>
      <c r="P172" s="2" t="str">
        <f>IF('03_Functionalities'!M172="","",'03_Functionalities'!M172)</f>
        <v>Official vendor documentation, release notes, validated KB/article, product guide, or architecture reference with version applicability.</v>
      </c>
      <c r="Q172" s="2" t="str">
        <f>IF('03_Functionalities'!N172="","",'03_Functionalities'!N172)</f>
        <v>VCF 9.1 VPC and IaaS consumption services Network/storage/compute consumption policy comparator parity evidence</v>
      </c>
      <c r="R172" s="2" t="str">
        <f>IF('03_Functionalities'!O172="","",'03_Functionalities'!O172)</f>
        <v>Yes</v>
      </c>
      <c r="S172" s="2" t="e">
        <f ca="1">IF(C172="","",_xludf.XLOOKUP(C172,'01_Products'!A:A,'01_Products'!K:K,0))</f>
        <v>#NAME?</v>
      </c>
      <c r="T172" s="2" t="e">
        <f ca="1">IF(B172="","",_xludf.XLOOKUP(B172,'02_Features'!A:A,'02_Features'!L:L,0))</f>
        <v>#NAME?</v>
      </c>
      <c r="U172" s="2">
        <f>IF('03_Functionalities'!P172="","",'03_Functionalities'!P172)</f>
        <v>3</v>
      </c>
      <c r="V172" s="2" t="str">
        <f>IF('03_Functionalities'!Q172="","",'03_Functionalities'!Q172)</f>
        <v>Draft</v>
      </c>
      <c r="W172" s="2" t="str">
        <f>IF('03_Functionalities'!R172="","",'03_Functionalities'!R172)</f>
        <v>https://techdocs.broadcom.com/us/en/vmware-cis/vcf/vcf-9-0-and-later/9-0/overview-of-vmware-cloud-foundation-9/what-is-vmware-cloud-foundation-and-vmware-vsphere-foundation/vcf-automation-overview.html</v>
      </c>
      <c r="X172" s="2" t="str">
        <f>IF('03_Functionalities'!S172="","",'03_Functionalities'!S172)</f>
        <v>High</v>
      </c>
    </row>
    <row r="173" spans="1:24" ht="71.25">
      <c r="A173" s="2" t="str">
        <f>IF('03_Functionalities'!A173="","",'03_Functionalities'!A173)</f>
        <v>FN-AUTOMATION-06-01</v>
      </c>
      <c r="B173" s="2" t="str">
        <f>IF('03_Functionalities'!B173="","",'03_Functionalities'!B173)</f>
        <v>FT-AUTOMATION-06</v>
      </c>
      <c r="C173" s="2" t="str">
        <f>IF('03_Functionalities'!C173="","",'03_Functionalities'!C173)</f>
        <v>PC-AUTOMATION</v>
      </c>
      <c r="D173" s="2" t="e">
        <f ca="1">IF(C173="","",_xludf.XLOOKUP(C173,'01_Products'!A:A,'01_Products'!B:B,"Missing Product"))</f>
        <v>#NAME?</v>
      </c>
      <c r="E173" s="2" t="e">
        <f ca="1">IF(C173="","",_xludf.XLOOKUP(C173,'01_Products'!A:A,'01_Products'!C:C,"Missing Type"))</f>
        <v>#NAME?</v>
      </c>
      <c r="F173" s="2" t="e">
        <f ca="1">IF(B173="","",_xludf.XLOOKUP(B173,'02_Features'!A:A,'02_Features'!C:C,"Missing Feature"))</f>
        <v>#NAME?</v>
      </c>
      <c r="G173" s="2" t="e">
        <f ca="1">IF(B173="","",_xludf.XLOOKUP(B173,'02_Features'!A:A,'02_Features'!E:E,"Missing Prompt"))</f>
        <v>#NAME?</v>
      </c>
      <c r="H173" s="2" t="str">
        <f>IF('03_Functionalities'!D173="","",'03_Functionalities'!D173)</f>
        <v>Event broker integration</v>
      </c>
      <c r="I173" s="2" t="str">
        <f>IF('03_Functionalities'!E173="","",'03_Functionalities'!E173)</f>
        <v>Major functionality for event broker integration.</v>
      </c>
      <c r="J173" s="2" t="str">
        <f>IF('03_Functionalities'!F173="","",'03_Functionalities'!F173)</f>
        <v>Includes major assessment behavior for event broker integration in the context of extensibility, events and orchestrator integration.</v>
      </c>
      <c r="K173" s="2" t="str">
        <f>IF('03_Functionalities'!G173="","",'03_Functionalities'!G173)</f>
        <v>Excludes low-level configuration toggles, cosmetic UI behavior, and implementation-specific inventory minutiae unless they materially affect parity or risk.</v>
      </c>
      <c r="L173" s="2" t="str">
        <f>IF('03_Functionalities'!I173="","",'03_Functionalities'!I173)</f>
        <v>Automation</v>
      </c>
      <c r="M173" s="2" t="str">
        <f>IF('03_Functionalities'!J173="","",'03_Functionalities'!J173)</f>
        <v>Extensibility</v>
      </c>
      <c r="N173" s="2" t="str">
        <f>IF('03_Functionalities'!K173="","",'03_Functionalities'!K173)</f>
        <v>Medium</v>
      </c>
      <c r="O173" s="2" t="str">
        <f>IF('03_Functionalities'!L173="","",'03_Functionalities'!L173)</f>
        <v>Medium</v>
      </c>
      <c r="P173" s="2" t="str">
        <f>IF('03_Functionalities'!M173="","",'03_Functionalities'!M173)</f>
        <v>Official vendor documentation, release notes, validated KB/article, product guide, or architecture reference with version applicability.</v>
      </c>
      <c r="Q173" s="2" t="str">
        <f>IF('03_Functionalities'!N173="","",'03_Functionalities'!N173)</f>
        <v>VCF 9.1 Extensibility, events and orchestrator integration Event broker integration comparator parity evidence</v>
      </c>
      <c r="R173" s="2" t="str">
        <f>IF('03_Functionalities'!O173="","",'03_Functionalities'!O173)</f>
        <v>Yes</v>
      </c>
      <c r="S173" s="2" t="e">
        <f ca="1">IF(C173="","",_xludf.XLOOKUP(C173,'01_Products'!A:A,'01_Products'!K:K,0))</f>
        <v>#NAME?</v>
      </c>
      <c r="T173" s="2" t="e">
        <f ca="1">IF(B173="","",_xludf.XLOOKUP(B173,'02_Features'!A:A,'02_Features'!L:L,0))</f>
        <v>#NAME?</v>
      </c>
      <c r="U173" s="2">
        <f>IF('03_Functionalities'!P173="","",'03_Functionalities'!P173)</f>
        <v>1</v>
      </c>
      <c r="V173" s="2" t="str">
        <f>IF('03_Functionalities'!Q173="","",'03_Functionalities'!Q173)</f>
        <v>Draft</v>
      </c>
      <c r="W173" s="2" t="str">
        <f>IF('03_Functionalities'!R173="","",'03_Functionalities'!R173)</f>
        <v>https://techdocs.broadcom.com/us/en/vmware-cis/vcf/vcf-9-0-and-later/9-1/release-notes/vmware-cloud-foundation-9-1-0-0-release-notes/what-s-new/whats-new-vcf-cli-api-sdk/vcf-changelog.html</v>
      </c>
      <c r="X173" s="2" t="str">
        <f>IF('03_Functionalities'!S173="","",'03_Functionalities'!S173)</f>
        <v>High</v>
      </c>
    </row>
    <row r="174" spans="1:24" ht="71.25">
      <c r="A174" s="2" t="str">
        <f>IF('03_Functionalities'!A174="","",'03_Functionalities'!A174)</f>
        <v>FN-AUTOMATION-06-02</v>
      </c>
      <c r="B174" s="2" t="str">
        <f>IF('03_Functionalities'!B174="","",'03_Functionalities'!B174)</f>
        <v>FT-AUTOMATION-06</v>
      </c>
      <c r="C174" s="2" t="str">
        <f>IF('03_Functionalities'!C174="","",'03_Functionalities'!C174)</f>
        <v>PC-AUTOMATION</v>
      </c>
      <c r="D174" s="2" t="e">
        <f ca="1">IF(C174="","",_xludf.XLOOKUP(C174,'01_Products'!A:A,'01_Products'!B:B,"Missing Product"))</f>
        <v>#NAME?</v>
      </c>
      <c r="E174" s="2" t="e">
        <f ca="1">IF(C174="","",_xludf.XLOOKUP(C174,'01_Products'!A:A,'01_Products'!C:C,"Missing Type"))</f>
        <v>#NAME?</v>
      </c>
      <c r="F174" s="2" t="e">
        <f ca="1">IF(B174="","",_xludf.XLOOKUP(B174,'02_Features'!A:A,'02_Features'!C:C,"Missing Feature"))</f>
        <v>#NAME?</v>
      </c>
      <c r="G174" s="2" t="e">
        <f ca="1">IF(B174="","",_xludf.XLOOKUP(B174,'02_Features'!A:A,'02_Features'!E:E,"Missing Prompt"))</f>
        <v>#NAME?</v>
      </c>
      <c r="H174" s="2" t="str">
        <f>IF('03_Functionalities'!D174="","",'03_Functionalities'!D174)</f>
        <v>Custom action/workflow integration</v>
      </c>
      <c r="I174" s="2" t="str">
        <f>IF('03_Functionalities'!E174="","",'03_Functionalities'!E174)</f>
        <v>Major functionality for custom action/workflow integration.</v>
      </c>
      <c r="J174" s="2" t="str">
        <f>IF('03_Functionalities'!F174="","",'03_Functionalities'!F174)</f>
        <v>Includes major assessment behavior for custom action/workflow integration in the context of extensibility, events and orchestrator integration.</v>
      </c>
      <c r="K174" s="2" t="str">
        <f>IF('03_Functionalities'!G174="","",'03_Functionalities'!G174)</f>
        <v>Excludes low-level configuration toggles, cosmetic UI behavior, and implementation-specific inventory minutiae unless they materially affect parity or risk.</v>
      </c>
      <c r="L174" s="2" t="str">
        <f>IF('03_Functionalities'!I174="","",'03_Functionalities'!I174)</f>
        <v>Automation</v>
      </c>
      <c r="M174" s="2" t="str">
        <f>IF('03_Functionalities'!J174="","",'03_Functionalities'!J174)</f>
        <v>Extensibility</v>
      </c>
      <c r="N174" s="2" t="str">
        <f>IF('03_Functionalities'!K174="","",'03_Functionalities'!K174)</f>
        <v>Medium</v>
      </c>
      <c r="O174" s="2" t="str">
        <f>IF('03_Functionalities'!L174="","",'03_Functionalities'!L174)</f>
        <v>Medium</v>
      </c>
      <c r="P174" s="2" t="str">
        <f>IF('03_Functionalities'!M174="","",'03_Functionalities'!M174)</f>
        <v>Official vendor documentation, release notes, validated KB/article, product guide, or architecture reference with version applicability.</v>
      </c>
      <c r="Q174" s="2" t="str">
        <f>IF('03_Functionalities'!N174="","",'03_Functionalities'!N174)</f>
        <v>VCF 9.1 Extensibility, events and orchestrator integration Custom action/workflow integration comparator parity evidence</v>
      </c>
      <c r="R174" s="2" t="str">
        <f>IF('03_Functionalities'!O174="","",'03_Functionalities'!O174)</f>
        <v>Yes</v>
      </c>
      <c r="S174" s="2" t="e">
        <f ca="1">IF(C174="","",_xludf.XLOOKUP(C174,'01_Products'!A:A,'01_Products'!K:K,0))</f>
        <v>#NAME?</v>
      </c>
      <c r="T174" s="2" t="e">
        <f ca="1">IF(B174="","",_xludf.XLOOKUP(B174,'02_Features'!A:A,'02_Features'!L:L,0))</f>
        <v>#NAME?</v>
      </c>
      <c r="U174" s="2">
        <f>IF('03_Functionalities'!P174="","",'03_Functionalities'!P174)</f>
        <v>2</v>
      </c>
      <c r="V174" s="2" t="str">
        <f>IF('03_Functionalities'!Q174="","",'03_Functionalities'!Q174)</f>
        <v>Draft</v>
      </c>
      <c r="W174" s="2" t="str">
        <f>IF('03_Functionalities'!R174="","",'03_Functionalities'!R174)</f>
        <v>https://techdocs.broadcom.com/us/en/vmware-cis/vcf/vcf-9-0-and-later/9-1/release-notes/vmware-cloud-foundation-9-1-0-0-release-notes/what-s-new/whats-new-vcf-cli-api-sdk/vcf-changelog.html</v>
      </c>
      <c r="X174" s="2" t="str">
        <f>IF('03_Functionalities'!S174="","",'03_Functionalities'!S174)</f>
        <v>High</v>
      </c>
    </row>
    <row r="175" spans="1:24" ht="71.25">
      <c r="A175" s="2" t="str">
        <f>IF('03_Functionalities'!A175="","",'03_Functionalities'!A175)</f>
        <v>FN-AUTOMATION-06-03</v>
      </c>
      <c r="B175" s="2" t="str">
        <f>IF('03_Functionalities'!B175="","",'03_Functionalities'!B175)</f>
        <v>FT-AUTOMATION-06</v>
      </c>
      <c r="C175" s="2" t="str">
        <f>IF('03_Functionalities'!C175="","",'03_Functionalities'!C175)</f>
        <v>PC-AUTOMATION</v>
      </c>
      <c r="D175" s="2" t="e">
        <f ca="1">IF(C175="","",_xludf.XLOOKUP(C175,'01_Products'!A:A,'01_Products'!B:B,"Missing Product"))</f>
        <v>#NAME?</v>
      </c>
      <c r="E175" s="2" t="e">
        <f ca="1">IF(C175="","",_xludf.XLOOKUP(C175,'01_Products'!A:A,'01_Products'!C:C,"Missing Type"))</f>
        <v>#NAME?</v>
      </c>
      <c r="F175" s="2" t="e">
        <f ca="1">IF(B175="","",_xludf.XLOOKUP(B175,'02_Features'!A:A,'02_Features'!C:C,"Missing Feature"))</f>
        <v>#NAME?</v>
      </c>
      <c r="G175" s="2" t="e">
        <f ca="1">IF(B175="","",_xludf.XLOOKUP(B175,'02_Features'!A:A,'02_Features'!E:E,"Missing Prompt"))</f>
        <v>#NAME?</v>
      </c>
      <c r="H175" s="2" t="str">
        <f>IF('03_Functionalities'!D175="","",'03_Functionalities'!D175)</f>
        <v>Orchestrator gateway support</v>
      </c>
      <c r="I175" s="2" t="str">
        <f>IF('03_Functionalities'!E175="","",'03_Functionalities'!E175)</f>
        <v>Major functionality for orchestrator gateway support.</v>
      </c>
      <c r="J175" s="2" t="str">
        <f>IF('03_Functionalities'!F175="","",'03_Functionalities'!F175)</f>
        <v>Includes major assessment behavior for orchestrator gateway support in the context of extensibility, events and orchestrator integration.</v>
      </c>
      <c r="K175" s="2" t="str">
        <f>IF('03_Functionalities'!G175="","",'03_Functionalities'!G175)</f>
        <v>Excludes low-level configuration toggles, cosmetic UI behavior, and implementation-specific inventory minutiae unless they materially affect parity or risk.</v>
      </c>
      <c r="L175" s="2" t="str">
        <f>IF('03_Functionalities'!I175="","",'03_Functionalities'!I175)</f>
        <v>Automation</v>
      </c>
      <c r="M175" s="2" t="str">
        <f>IF('03_Functionalities'!J175="","",'03_Functionalities'!J175)</f>
        <v>Extensibility</v>
      </c>
      <c r="N175" s="2" t="str">
        <f>IF('03_Functionalities'!K175="","",'03_Functionalities'!K175)</f>
        <v>Medium</v>
      </c>
      <c r="O175" s="2" t="str">
        <f>IF('03_Functionalities'!L175="","",'03_Functionalities'!L175)</f>
        <v>Medium</v>
      </c>
      <c r="P175" s="2" t="str">
        <f>IF('03_Functionalities'!M175="","",'03_Functionalities'!M175)</f>
        <v>Official vendor documentation, release notes, validated KB/article, product guide, or architecture reference with version applicability.</v>
      </c>
      <c r="Q175" s="2" t="str">
        <f>IF('03_Functionalities'!N175="","",'03_Functionalities'!N175)</f>
        <v>VCF 9.1 Extensibility, events and orchestrator integration Orchestrator gateway support comparator parity evidence</v>
      </c>
      <c r="R175" s="2" t="str">
        <f>IF('03_Functionalities'!O175="","",'03_Functionalities'!O175)</f>
        <v>Yes</v>
      </c>
      <c r="S175" s="2" t="e">
        <f ca="1">IF(C175="","",_xludf.XLOOKUP(C175,'01_Products'!A:A,'01_Products'!K:K,0))</f>
        <v>#NAME?</v>
      </c>
      <c r="T175" s="2" t="e">
        <f ca="1">IF(B175="","",_xludf.XLOOKUP(B175,'02_Features'!A:A,'02_Features'!L:L,0))</f>
        <v>#NAME?</v>
      </c>
      <c r="U175" s="2">
        <f>IF('03_Functionalities'!P175="","",'03_Functionalities'!P175)</f>
        <v>3</v>
      </c>
      <c r="V175" s="2" t="str">
        <f>IF('03_Functionalities'!Q175="","",'03_Functionalities'!Q175)</f>
        <v>Draft</v>
      </c>
      <c r="W175" s="2" t="str">
        <f>IF('03_Functionalities'!R175="","",'03_Functionalities'!R175)</f>
        <v>https://techdocs.broadcom.com/us/en/vmware-cis/vcf/vcf-9-0-and-later/9-1/release-notes/vmware-cloud-foundation-9-1-0-0-release-notes/what-s-new/whats-new-vcf-cli-api-sdk/vcf-changelog.html</v>
      </c>
      <c r="X175" s="2" t="str">
        <f>IF('03_Functionalities'!S175="","",'03_Functionalities'!S175)</f>
        <v>High</v>
      </c>
    </row>
    <row r="176" spans="1:24" ht="57">
      <c r="A176" s="2" t="str">
        <f>IF('03_Functionalities'!A176="","",'03_Functionalities'!A176)</f>
        <v>FN-AUTOMATION-07-01</v>
      </c>
      <c r="B176" s="2" t="str">
        <f>IF('03_Functionalities'!B176="","",'03_Functionalities'!B176)</f>
        <v>FT-AUTOMATION-07</v>
      </c>
      <c r="C176" s="2" t="str">
        <f>IF('03_Functionalities'!C176="","",'03_Functionalities'!C176)</f>
        <v>PC-AUTOMATION</v>
      </c>
      <c r="D176" s="2" t="e">
        <f ca="1">IF(C176="","",_xludf.XLOOKUP(C176,'01_Products'!A:A,'01_Products'!B:B,"Missing Product"))</f>
        <v>#NAME?</v>
      </c>
      <c r="E176" s="2" t="e">
        <f ca="1">IF(C176="","",_xludf.XLOOKUP(C176,'01_Products'!A:A,'01_Products'!C:C,"Missing Type"))</f>
        <v>#NAME?</v>
      </c>
      <c r="F176" s="2" t="e">
        <f ca="1">IF(B176="","",_xludf.XLOOKUP(B176,'02_Features'!A:A,'02_Features'!C:C,"Missing Feature"))</f>
        <v>#NAME?</v>
      </c>
      <c r="G176" s="2" t="e">
        <f ca="1">IF(B176="","",_xludf.XLOOKUP(B176,'02_Features'!A:A,'02_Features'!E:E,"Missing Prompt"))</f>
        <v>#NAME?</v>
      </c>
      <c r="H176" s="2" t="str">
        <f>IF('03_Functionalities'!D176="","",'03_Functionalities'!D176)</f>
        <v>ServiceNow/ITSM integration</v>
      </c>
      <c r="I176" s="2" t="str">
        <f>IF('03_Functionalities'!E176="","",'03_Functionalities'!E176)</f>
        <v>Major functionality for servicenow/itsm integration.</v>
      </c>
      <c r="J176" s="2" t="str">
        <f>IF('03_Functionalities'!F176="","",'03_Functionalities'!F176)</f>
        <v>Includes major assessment behavior for servicenow/itsm integration in the context of external ecosystem integrations.</v>
      </c>
      <c r="K176" s="2" t="str">
        <f>IF('03_Functionalities'!G176="","",'03_Functionalities'!G176)</f>
        <v>Excludes low-level configuration toggles, cosmetic UI behavior, and implementation-specific inventory minutiae unless they materially affect parity or risk.</v>
      </c>
      <c r="L176" s="2" t="str">
        <f>IF('03_Functionalities'!I176="","",'03_Functionalities'!I176)</f>
        <v>Automation</v>
      </c>
      <c r="M176" s="2" t="str">
        <f>IF('03_Functionalities'!J176="","",'03_Functionalities'!J176)</f>
        <v>Ecosystem Integration</v>
      </c>
      <c r="N176" s="2" t="str">
        <f>IF('03_Functionalities'!K176="","",'03_Functionalities'!K176)</f>
        <v>Medium</v>
      </c>
      <c r="O176" s="2" t="str">
        <f>IF('03_Functionalities'!L176="","",'03_Functionalities'!L176)</f>
        <v>Medium</v>
      </c>
      <c r="P176" s="2" t="str">
        <f>IF('03_Functionalities'!M176="","",'03_Functionalities'!M176)</f>
        <v>Official vendor documentation, release notes, validated KB/article, product guide, or architecture reference with version applicability.</v>
      </c>
      <c r="Q176" s="2" t="str">
        <f>IF('03_Functionalities'!N176="","",'03_Functionalities'!N176)</f>
        <v>VCF 9.1 External ecosystem integrations ServiceNow/ITSM integration comparator parity evidence</v>
      </c>
      <c r="R176" s="2" t="str">
        <f>IF('03_Functionalities'!O176="","",'03_Functionalities'!O176)</f>
        <v>Yes</v>
      </c>
      <c r="S176" s="2" t="e">
        <f ca="1">IF(C176="","",_xludf.XLOOKUP(C176,'01_Products'!A:A,'01_Products'!K:K,0))</f>
        <v>#NAME?</v>
      </c>
      <c r="T176" s="2" t="e">
        <f ca="1">IF(B176="","",_xludf.XLOOKUP(B176,'02_Features'!A:A,'02_Features'!L:L,0))</f>
        <v>#NAME?</v>
      </c>
      <c r="U176" s="2">
        <f>IF('03_Functionalities'!P176="","",'03_Functionalities'!P176)</f>
        <v>1</v>
      </c>
      <c r="V176" s="2" t="str">
        <f>IF('03_Functionalities'!Q176="","",'03_Functionalities'!Q176)</f>
        <v>Draft</v>
      </c>
      <c r="W176" s="2" t="str">
        <f>IF('03_Functionalities'!R176="","",'03_Functionalities'!R176)</f>
        <v>https://www.vmware.com/docs/vmware-cloud-foundation-9-1-feature-comparison-and-upgrade-paths</v>
      </c>
      <c r="X176" s="2" t="str">
        <f>IF('03_Functionalities'!S176="","",'03_Functionalities'!S176)</f>
        <v>High</v>
      </c>
    </row>
    <row r="177" spans="1:24" ht="57">
      <c r="A177" s="2" t="str">
        <f>IF('03_Functionalities'!A177="","",'03_Functionalities'!A177)</f>
        <v>FN-AUTOMATION-07-02</v>
      </c>
      <c r="B177" s="2" t="str">
        <f>IF('03_Functionalities'!B177="","",'03_Functionalities'!B177)</f>
        <v>FT-AUTOMATION-07</v>
      </c>
      <c r="C177" s="2" t="str">
        <f>IF('03_Functionalities'!C177="","",'03_Functionalities'!C177)</f>
        <v>PC-AUTOMATION</v>
      </c>
      <c r="D177" s="2" t="e">
        <f ca="1">IF(C177="","",_xludf.XLOOKUP(C177,'01_Products'!A:A,'01_Products'!B:B,"Missing Product"))</f>
        <v>#NAME?</v>
      </c>
      <c r="E177" s="2" t="e">
        <f ca="1">IF(C177="","",_xludf.XLOOKUP(C177,'01_Products'!A:A,'01_Products'!C:C,"Missing Type"))</f>
        <v>#NAME?</v>
      </c>
      <c r="F177" s="2" t="e">
        <f ca="1">IF(B177="","",_xludf.XLOOKUP(B177,'02_Features'!A:A,'02_Features'!C:C,"Missing Feature"))</f>
        <v>#NAME?</v>
      </c>
      <c r="G177" s="2" t="e">
        <f ca="1">IF(B177="","",_xludf.XLOOKUP(B177,'02_Features'!A:A,'02_Features'!E:E,"Missing Prompt"))</f>
        <v>#NAME?</v>
      </c>
      <c r="H177" s="2" t="str">
        <f>IF('03_Functionalities'!D177="","",'03_Functionalities'!D177)</f>
        <v>Configuration management integration</v>
      </c>
      <c r="I177" s="2" t="str">
        <f>IF('03_Functionalities'!E177="","",'03_Functionalities'!E177)</f>
        <v>Major functionality for configuration management integration.</v>
      </c>
      <c r="J177" s="2" t="str">
        <f>IF('03_Functionalities'!F177="","",'03_Functionalities'!F177)</f>
        <v>Includes major assessment behavior for configuration management integration in the context of external ecosystem integrations.</v>
      </c>
      <c r="K177" s="2" t="str">
        <f>IF('03_Functionalities'!G177="","",'03_Functionalities'!G177)</f>
        <v>Excludes low-level configuration toggles, cosmetic UI behavior, and implementation-specific inventory minutiae unless they materially affect parity or risk.</v>
      </c>
      <c r="L177" s="2" t="str">
        <f>IF('03_Functionalities'!I177="","",'03_Functionalities'!I177)</f>
        <v>Automation</v>
      </c>
      <c r="M177" s="2" t="str">
        <f>IF('03_Functionalities'!J177="","",'03_Functionalities'!J177)</f>
        <v>Ecosystem Integration</v>
      </c>
      <c r="N177" s="2" t="str">
        <f>IF('03_Functionalities'!K177="","",'03_Functionalities'!K177)</f>
        <v>Medium</v>
      </c>
      <c r="O177" s="2" t="str">
        <f>IF('03_Functionalities'!L177="","",'03_Functionalities'!L177)</f>
        <v>Medium</v>
      </c>
      <c r="P177" s="2" t="str">
        <f>IF('03_Functionalities'!M177="","",'03_Functionalities'!M177)</f>
        <v>Official vendor documentation, release notes, validated KB/article, product guide, or architecture reference with version applicability.</v>
      </c>
      <c r="Q177" s="2" t="str">
        <f>IF('03_Functionalities'!N177="","",'03_Functionalities'!N177)</f>
        <v>VCF 9.1 External ecosystem integrations Configuration management integration comparator parity evidence</v>
      </c>
      <c r="R177" s="2" t="str">
        <f>IF('03_Functionalities'!O177="","",'03_Functionalities'!O177)</f>
        <v>Yes</v>
      </c>
      <c r="S177" s="2" t="e">
        <f ca="1">IF(C177="","",_xludf.XLOOKUP(C177,'01_Products'!A:A,'01_Products'!K:K,0))</f>
        <v>#NAME?</v>
      </c>
      <c r="T177" s="2" t="e">
        <f ca="1">IF(B177="","",_xludf.XLOOKUP(B177,'02_Features'!A:A,'02_Features'!L:L,0))</f>
        <v>#NAME?</v>
      </c>
      <c r="U177" s="2">
        <f>IF('03_Functionalities'!P177="","",'03_Functionalities'!P177)</f>
        <v>2</v>
      </c>
      <c r="V177" s="2" t="str">
        <f>IF('03_Functionalities'!Q177="","",'03_Functionalities'!Q177)</f>
        <v>Draft</v>
      </c>
      <c r="W177" s="2" t="str">
        <f>IF('03_Functionalities'!R177="","",'03_Functionalities'!R177)</f>
        <v>https://www.vmware.com/docs/vmware-cloud-foundation-9-1-feature-comparison-and-upgrade-paths</v>
      </c>
      <c r="X177" s="2" t="str">
        <f>IF('03_Functionalities'!S177="","",'03_Functionalities'!S177)</f>
        <v>High</v>
      </c>
    </row>
    <row r="178" spans="1:24" ht="57">
      <c r="A178" s="2" t="str">
        <f>IF('03_Functionalities'!A178="","",'03_Functionalities'!A178)</f>
        <v>FN-AUTOMATION-07-03</v>
      </c>
      <c r="B178" s="2" t="str">
        <f>IF('03_Functionalities'!B178="","",'03_Functionalities'!B178)</f>
        <v>FT-AUTOMATION-07</v>
      </c>
      <c r="C178" s="2" t="str">
        <f>IF('03_Functionalities'!C178="","",'03_Functionalities'!C178)</f>
        <v>PC-AUTOMATION</v>
      </c>
      <c r="D178" s="2" t="e">
        <f ca="1">IF(C178="","",_xludf.XLOOKUP(C178,'01_Products'!A:A,'01_Products'!B:B,"Missing Product"))</f>
        <v>#NAME?</v>
      </c>
      <c r="E178" s="2" t="e">
        <f ca="1">IF(C178="","",_xludf.XLOOKUP(C178,'01_Products'!A:A,'01_Products'!C:C,"Missing Type"))</f>
        <v>#NAME?</v>
      </c>
      <c r="F178" s="2" t="e">
        <f ca="1">IF(B178="","",_xludf.XLOOKUP(B178,'02_Features'!A:A,'02_Features'!C:C,"Missing Feature"))</f>
        <v>#NAME?</v>
      </c>
      <c r="G178" s="2" t="e">
        <f ca="1">IF(B178="","",_xludf.XLOOKUP(B178,'02_Features'!A:A,'02_Features'!E:E,"Missing Prompt"))</f>
        <v>#NAME?</v>
      </c>
      <c r="H178" s="2" t="str">
        <f>IF('03_Functionalities'!D178="","",'03_Functionalities'!D178)</f>
        <v>IPAM/DNS/identity integration</v>
      </c>
      <c r="I178" s="2" t="str">
        <f>IF('03_Functionalities'!E178="","",'03_Functionalities'!E178)</f>
        <v>Major functionality for ipam/dns/identity integration.</v>
      </c>
      <c r="J178" s="2" t="str">
        <f>IF('03_Functionalities'!F178="","",'03_Functionalities'!F178)</f>
        <v>Includes major assessment behavior for ipam/dns/identity integration in the context of external ecosystem integrations.</v>
      </c>
      <c r="K178" s="2" t="str">
        <f>IF('03_Functionalities'!G178="","",'03_Functionalities'!G178)</f>
        <v>Excludes low-level configuration toggles, cosmetic UI behavior, and implementation-specific inventory minutiae unless they materially affect parity or risk.</v>
      </c>
      <c r="L178" s="2" t="str">
        <f>IF('03_Functionalities'!I178="","",'03_Functionalities'!I178)</f>
        <v>Automation</v>
      </c>
      <c r="M178" s="2" t="str">
        <f>IF('03_Functionalities'!J178="","",'03_Functionalities'!J178)</f>
        <v>Ecosystem Integration</v>
      </c>
      <c r="N178" s="2" t="str">
        <f>IF('03_Functionalities'!K178="","",'03_Functionalities'!K178)</f>
        <v>Medium</v>
      </c>
      <c r="O178" s="2" t="str">
        <f>IF('03_Functionalities'!L178="","",'03_Functionalities'!L178)</f>
        <v>Medium</v>
      </c>
      <c r="P178" s="2" t="str">
        <f>IF('03_Functionalities'!M178="","",'03_Functionalities'!M178)</f>
        <v>Official vendor documentation, release notes, validated KB/article, product guide, or architecture reference with version applicability.</v>
      </c>
      <c r="Q178" s="2" t="str">
        <f>IF('03_Functionalities'!N178="","",'03_Functionalities'!N178)</f>
        <v>VCF 9.1 External ecosystem integrations IPAM/DNS/identity integration comparator parity evidence</v>
      </c>
      <c r="R178" s="2" t="str">
        <f>IF('03_Functionalities'!O178="","",'03_Functionalities'!O178)</f>
        <v>Yes</v>
      </c>
      <c r="S178" s="2" t="e">
        <f ca="1">IF(C178="","",_xludf.XLOOKUP(C178,'01_Products'!A:A,'01_Products'!K:K,0))</f>
        <v>#NAME?</v>
      </c>
      <c r="T178" s="2" t="e">
        <f ca="1">IF(B178="","",_xludf.XLOOKUP(B178,'02_Features'!A:A,'02_Features'!L:L,0))</f>
        <v>#NAME?</v>
      </c>
      <c r="U178" s="2">
        <f>IF('03_Functionalities'!P178="","",'03_Functionalities'!P178)</f>
        <v>3</v>
      </c>
      <c r="V178" s="2" t="str">
        <f>IF('03_Functionalities'!Q178="","",'03_Functionalities'!Q178)</f>
        <v>Draft</v>
      </c>
      <c r="W178" s="2" t="str">
        <f>IF('03_Functionalities'!R178="","",'03_Functionalities'!R178)</f>
        <v>https://www.vmware.com/docs/vmware-cloud-foundation-9-1-feature-comparison-and-upgrade-paths</v>
      </c>
      <c r="X178" s="2" t="str">
        <f>IF('03_Functionalities'!S178="","",'03_Functionalities'!S178)</f>
        <v>High</v>
      </c>
    </row>
    <row r="179" spans="1:24" ht="71.25">
      <c r="A179" s="2" t="str">
        <f>IF('03_Functionalities'!A179="","",'03_Functionalities'!A179)</f>
        <v>FN-VKS-01-01</v>
      </c>
      <c r="B179" s="2" t="str">
        <f>IF('03_Functionalities'!B179="","",'03_Functionalities'!B179)</f>
        <v>FT-VKS-01</v>
      </c>
      <c r="C179" s="2" t="str">
        <f>IF('03_Functionalities'!C179="","",'03_Functionalities'!C179)</f>
        <v>PC-VKS</v>
      </c>
      <c r="D179" s="2" t="e">
        <f ca="1">IF(C179="","",_xludf.XLOOKUP(C179,'01_Products'!A:A,'01_Products'!B:B,"Missing Product"))</f>
        <v>#NAME?</v>
      </c>
      <c r="E179" s="2" t="e">
        <f ca="1">IF(C179="","",_xludf.XLOOKUP(C179,'01_Products'!A:A,'01_Products'!C:C,"Missing Type"))</f>
        <v>#NAME?</v>
      </c>
      <c r="F179" s="2" t="e">
        <f ca="1">IF(B179="","",_xludf.XLOOKUP(B179,'02_Features'!A:A,'02_Features'!C:C,"Missing Feature"))</f>
        <v>#NAME?</v>
      </c>
      <c r="G179" s="2" t="e">
        <f ca="1">IF(B179="","",_xludf.XLOOKUP(B179,'02_Features'!A:A,'02_Features'!E:E,"Missing Prompt"))</f>
        <v>#NAME?</v>
      </c>
      <c r="H179" s="2" t="str">
        <f>IF('03_Functionalities'!D179="","",'03_Functionalities'!D179)</f>
        <v>Supervisor activation workflow</v>
      </c>
      <c r="I179" s="2" t="str">
        <f>IF('03_Functionalities'!E179="","",'03_Functionalities'!E179)</f>
        <v>Major functionality for supervisor activation workflow.</v>
      </c>
      <c r="J179" s="2" t="str">
        <f>IF('03_Functionalities'!F179="","",'03_Functionalities'!F179)</f>
        <v>Includes major assessment behavior for supervisor activation workflow in the context of supervisor activation and lifecycle.</v>
      </c>
      <c r="K179" s="2" t="str">
        <f>IF('03_Functionalities'!G179="","",'03_Functionalities'!G179)</f>
        <v>Excludes low-level configuration toggles, cosmetic UI behavior, and implementation-specific inventory minutiae unless they materially affect parity or risk.</v>
      </c>
      <c r="L179" s="2" t="str">
        <f>IF('03_Functionalities'!I179="","",'03_Functionalities'!I179)</f>
        <v>Application Platform</v>
      </c>
      <c r="M179" s="2" t="str">
        <f>IF('03_Functionalities'!J179="","",'03_Functionalities'!J179)</f>
        <v>Supervisor</v>
      </c>
      <c r="N179" s="2" t="str">
        <f>IF('03_Functionalities'!K179="","",'03_Functionalities'!K179)</f>
        <v>High</v>
      </c>
      <c r="O179" s="2" t="str">
        <f>IF('03_Functionalities'!L179="","",'03_Functionalities'!L179)</f>
        <v>High</v>
      </c>
      <c r="P179" s="2" t="str">
        <f>IF('03_Functionalities'!M179="","",'03_Functionalities'!M179)</f>
        <v>Official vendor documentation, release notes, validated KB/article, product guide, or architecture reference with version applicability.</v>
      </c>
      <c r="Q179" s="2" t="str">
        <f>IF('03_Functionalities'!N179="","",'03_Functionalities'!N179)</f>
        <v>VCF 9.1 Supervisor activation and lifecycle Supervisor activation workflow comparator parity evidence</v>
      </c>
      <c r="R179" s="2" t="str">
        <f>IF('03_Functionalities'!O179="","",'03_Functionalities'!O179)</f>
        <v>Yes</v>
      </c>
      <c r="S179" s="2" t="e">
        <f ca="1">IF(C179="","",_xludf.XLOOKUP(C179,'01_Products'!A:A,'01_Products'!K:K,0))</f>
        <v>#NAME?</v>
      </c>
      <c r="T179" s="2" t="e">
        <f ca="1">IF(B179="","",_xludf.XLOOKUP(B179,'02_Features'!A:A,'02_Features'!L:L,0))</f>
        <v>#NAME?</v>
      </c>
      <c r="U179" s="2">
        <f>IF('03_Functionalities'!P179="","",'03_Functionalities'!P179)</f>
        <v>1</v>
      </c>
      <c r="V179" s="2" t="str">
        <f>IF('03_Functionalities'!Q179="","",'03_Functionalities'!Q179)</f>
        <v>Draft</v>
      </c>
      <c r="W179" s="2" t="str">
        <f>IF('03_Functionalities'!R179="","",'03_Functionalities'!R179)</f>
        <v>https://techdocs.broadcom.com/us/en/vmware-cis/vcf/vcf-9-0-and-later/9-1/release-notes/vmware-cloud-foundation-9-1-0-0-release-notes/vmware-cloud-foundation-bill-of-materials.html</v>
      </c>
      <c r="X179" s="2" t="str">
        <f>IF('03_Functionalities'!S179="","",'03_Functionalities'!S179)</f>
        <v>High</v>
      </c>
    </row>
    <row r="180" spans="1:24" ht="71.25">
      <c r="A180" s="2" t="str">
        <f>IF('03_Functionalities'!A180="","",'03_Functionalities'!A180)</f>
        <v>FN-VKS-01-02</v>
      </c>
      <c r="B180" s="2" t="str">
        <f>IF('03_Functionalities'!B180="","",'03_Functionalities'!B180)</f>
        <v>FT-VKS-01</v>
      </c>
      <c r="C180" s="2" t="str">
        <f>IF('03_Functionalities'!C180="","",'03_Functionalities'!C180)</f>
        <v>PC-VKS</v>
      </c>
      <c r="D180" s="2" t="e">
        <f ca="1">IF(C180="","",_xludf.XLOOKUP(C180,'01_Products'!A:A,'01_Products'!B:B,"Missing Product"))</f>
        <v>#NAME?</v>
      </c>
      <c r="E180" s="2" t="e">
        <f ca="1">IF(C180="","",_xludf.XLOOKUP(C180,'01_Products'!A:A,'01_Products'!C:C,"Missing Type"))</f>
        <v>#NAME?</v>
      </c>
      <c r="F180" s="2" t="e">
        <f ca="1">IF(B180="","",_xludf.XLOOKUP(B180,'02_Features'!A:A,'02_Features'!C:C,"Missing Feature"))</f>
        <v>#NAME?</v>
      </c>
      <c r="G180" s="2" t="e">
        <f ca="1">IF(B180="","",_xludf.XLOOKUP(B180,'02_Features'!A:A,'02_Features'!E:E,"Missing Prompt"))</f>
        <v>#NAME?</v>
      </c>
      <c r="H180" s="2" t="str">
        <f>IF('03_Functionalities'!D180="","",'03_Functionalities'!D180)</f>
        <v>Supervisor lifecycle and upgrade</v>
      </c>
      <c r="I180" s="2" t="str">
        <f>IF('03_Functionalities'!E180="","",'03_Functionalities'!E180)</f>
        <v>Major functionality for supervisor lifecycle and upgrade.</v>
      </c>
      <c r="J180" s="2" t="str">
        <f>IF('03_Functionalities'!F180="","",'03_Functionalities'!F180)</f>
        <v>Includes major assessment behavior for supervisor lifecycle and upgrade in the context of supervisor activation and lifecycle.</v>
      </c>
      <c r="K180" s="2" t="str">
        <f>IF('03_Functionalities'!G180="","",'03_Functionalities'!G180)</f>
        <v>Excludes low-level configuration toggles, cosmetic UI behavior, and implementation-specific inventory minutiae unless they materially affect parity or risk.</v>
      </c>
      <c r="L180" s="2" t="str">
        <f>IF('03_Functionalities'!I180="","",'03_Functionalities'!I180)</f>
        <v>Application Platform</v>
      </c>
      <c r="M180" s="2" t="str">
        <f>IF('03_Functionalities'!J180="","",'03_Functionalities'!J180)</f>
        <v>Supervisor</v>
      </c>
      <c r="N180" s="2" t="str">
        <f>IF('03_Functionalities'!K180="","",'03_Functionalities'!K180)</f>
        <v>High</v>
      </c>
      <c r="O180" s="2" t="str">
        <f>IF('03_Functionalities'!L180="","",'03_Functionalities'!L180)</f>
        <v>High</v>
      </c>
      <c r="P180" s="2" t="str">
        <f>IF('03_Functionalities'!M180="","",'03_Functionalities'!M180)</f>
        <v>Official vendor documentation, release notes, validated KB/article, product guide, or architecture reference with version applicability.</v>
      </c>
      <c r="Q180" s="2" t="str">
        <f>IF('03_Functionalities'!N180="","",'03_Functionalities'!N180)</f>
        <v>VCF 9.1 Supervisor activation and lifecycle Supervisor lifecycle and upgrade comparator parity evidence</v>
      </c>
      <c r="R180" s="2" t="str">
        <f>IF('03_Functionalities'!O180="","",'03_Functionalities'!O180)</f>
        <v>Yes</v>
      </c>
      <c r="S180" s="2" t="e">
        <f ca="1">IF(C180="","",_xludf.XLOOKUP(C180,'01_Products'!A:A,'01_Products'!K:K,0))</f>
        <v>#NAME?</v>
      </c>
      <c r="T180" s="2" t="e">
        <f ca="1">IF(B180="","",_xludf.XLOOKUP(B180,'02_Features'!A:A,'02_Features'!L:L,0))</f>
        <v>#NAME?</v>
      </c>
      <c r="U180" s="2">
        <f>IF('03_Functionalities'!P180="","",'03_Functionalities'!P180)</f>
        <v>2</v>
      </c>
      <c r="V180" s="2" t="str">
        <f>IF('03_Functionalities'!Q180="","",'03_Functionalities'!Q180)</f>
        <v>Draft</v>
      </c>
      <c r="W180" s="2" t="str">
        <f>IF('03_Functionalities'!R180="","",'03_Functionalities'!R180)</f>
        <v>https://techdocs.broadcom.com/us/en/vmware-cis/vcf/vcf-9-0-and-later/9-1/release-notes/vmware-cloud-foundation-9-1-0-0-release-notes/vmware-cloud-foundation-bill-of-materials.html</v>
      </c>
      <c r="X180" s="2" t="str">
        <f>IF('03_Functionalities'!S180="","",'03_Functionalities'!S180)</f>
        <v>High</v>
      </c>
    </row>
    <row r="181" spans="1:24" ht="71.25">
      <c r="A181" s="2" t="str">
        <f>IF('03_Functionalities'!A181="","",'03_Functionalities'!A181)</f>
        <v>FN-VKS-01-03</v>
      </c>
      <c r="B181" s="2" t="str">
        <f>IF('03_Functionalities'!B181="","",'03_Functionalities'!B181)</f>
        <v>FT-VKS-01</v>
      </c>
      <c r="C181" s="2" t="str">
        <f>IF('03_Functionalities'!C181="","",'03_Functionalities'!C181)</f>
        <v>PC-VKS</v>
      </c>
      <c r="D181" s="2" t="e">
        <f ca="1">IF(C181="","",_xludf.XLOOKUP(C181,'01_Products'!A:A,'01_Products'!B:B,"Missing Product"))</f>
        <v>#NAME?</v>
      </c>
      <c r="E181" s="2" t="e">
        <f ca="1">IF(C181="","",_xludf.XLOOKUP(C181,'01_Products'!A:A,'01_Products'!C:C,"Missing Type"))</f>
        <v>#NAME?</v>
      </c>
      <c r="F181" s="2" t="e">
        <f ca="1">IF(B181="","",_xludf.XLOOKUP(B181,'02_Features'!A:A,'02_Features'!C:C,"Missing Feature"))</f>
        <v>#NAME?</v>
      </c>
      <c r="G181" s="2" t="e">
        <f ca="1">IF(B181="","",_xludf.XLOOKUP(B181,'02_Features'!A:A,'02_Features'!E:E,"Missing Prompt"))</f>
        <v>#NAME?</v>
      </c>
      <c r="H181" s="2" t="str">
        <f>IF('03_Functionalities'!D181="","",'03_Functionalities'!D181)</f>
        <v>Supervisor configuration validation</v>
      </c>
      <c r="I181" s="2" t="str">
        <f>IF('03_Functionalities'!E181="","",'03_Functionalities'!E181)</f>
        <v>Major functionality for supervisor configuration validation.</v>
      </c>
      <c r="J181" s="2" t="str">
        <f>IF('03_Functionalities'!F181="","",'03_Functionalities'!F181)</f>
        <v>Includes major assessment behavior for supervisor configuration validation in the context of supervisor activation and lifecycle.</v>
      </c>
      <c r="K181" s="2" t="str">
        <f>IF('03_Functionalities'!G181="","",'03_Functionalities'!G181)</f>
        <v>Excludes low-level configuration toggles, cosmetic UI behavior, and implementation-specific inventory minutiae unless they materially affect parity or risk.</v>
      </c>
      <c r="L181" s="2" t="str">
        <f>IF('03_Functionalities'!I181="","",'03_Functionalities'!I181)</f>
        <v>Application Platform</v>
      </c>
      <c r="M181" s="2" t="str">
        <f>IF('03_Functionalities'!J181="","",'03_Functionalities'!J181)</f>
        <v>Supervisor</v>
      </c>
      <c r="N181" s="2" t="str">
        <f>IF('03_Functionalities'!K181="","",'03_Functionalities'!K181)</f>
        <v>High</v>
      </c>
      <c r="O181" s="2" t="str">
        <f>IF('03_Functionalities'!L181="","",'03_Functionalities'!L181)</f>
        <v>High</v>
      </c>
      <c r="P181" s="2" t="str">
        <f>IF('03_Functionalities'!M181="","",'03_Functionalities'!M181)</f>
        <v>Official vendor documentation, release notes, validated KB/article, product guide, or architecture reference with version applicability.</v>
      </c>
      <c r="Q181" s="2" t="str">
        <f>IF('03_Functionalities'!N181="","",'03_Functionalities'!N181)</f>
        <v>VCF 9.1 Supervisor activation and lifecycle Supervisor configuration validation comparator parity evidence</v>
      </c>
      <c r="R181" s="2" t="str">
        <f>IF('03_Functionalities'!O181="","",'03_Functionalities'!O181)</f>
        <v>Yes</v>
      </c>
      <c r="S181" s="2" t="e">
        <f ca="1">IF(C181="","",_xludf.XLOOKUP(C181,'01_Products'!A:A,'01_Products'!K:K,0))</f>
        <v>#NAME?</v>
      </c>
      <c r="T181" s="2" t="e">
        <f ca="1">IF(B181="","",_xludf.XLOOKUP(B181,'02_Features'!A:A,'02_Features'!L:L,0))</f>
        <v>#NAME?</v>
      </c>
      <c r="U181" s="2">
        <f>IF('03_Functionalities'!P181="","",'03_Functionalities'!P181)</f>
        <v>3</v>
      </c>
      <c r="V181" s="2" t="str">
        <f>IF('03_Functionalities'!Q181="","",'03_Functionalities'!Q181)</f>
        <v>Draft</v>
      </c>
      <c r="W181" s="2" t="str">
        <f>IF('03_Functionalities'!R181="","",'03_Functionalities'!R181)</f>
        <v>https://techdocs.broadcom.com/us/en/vmware-cis/vcf/vcf-9-0-and-later/9-1/release-notes/vmware-cloud-foundation-9-1-0-0-release-notes/vmware-cloud-foundation-bill-of-materials.html</v>
      </c>
      <c r="X181" s="2" t="str">
        <f>IF('03_Functionalities'!S181="","",'03_Functionalities'!S181)</f>
        <v>High</v>
      </c>
    </row>
    <row r="182" spans="1:24" ht="71.25">
      <c r="A182" s="2" t="str">
        <f>IF('03_Functionalities'!A182="","",'03_Functionalities'!A182)</f>
        <v>FN-VKS-02-01</v>
      </c>
      <c r="B182" s="2" t="str">
        <f>IF('03_Functionalities'!B182="","",'03_Functionalities'!B182)</f>
        <v>FT-VKS-02</v>
      </c>
      <c r="C182" s="2" t="str">
        <f>IF('03_Functionalities'!C182="","",'03_Functionalities'!C182)</f>
        <v>PC-VKS</v>
      </c>
      <c r="D182" s="2" t="e">
        <f ca="1">IF(C182="","",_xludf.XLOOKUP(C182,'01_Products'!A:A,'01_Products'!B:B,"Missing Product"))</f>
        <v>#NAME?</v>
      </c>
      <c r="E182" s="2" t="e">
        <f ca="1">IF(C182="","",_xludf.XLOOKUP(C182,'01_Products'!A:A,'01_Products'!C:C,"Missing Type"))</f>
        <v>#NAME?</v>
      </c>
      <c r="F182" s="2" t="e">
        <f ca="1">IF(B182="","",_xludf.XLOOKUP(B182,'02_Features'!A:A,'02_Features'!C:C,"Missing Feature"))</f>
        <v>#NAME?</v>
      </c>
      <c r="G182" s="2" t="e">
        <f ca="1">IF(B182="","",_xludf.XLOOKUP(B182,'02_Features'!A:A,'02_Features'!E:E,"Missing Prompt"))</f>
        <v>#NAME?</v>
      </c>
      <c r="H182" s="2" t="str">
        <f>IF('03_Functionalities'!D182="","",'03_Functionalities'!D182)</f>
        <v>VKS cluster creation</v>
      </c>
      <c r="I182" s="2" t="str">
        <f>IF('03_Functionalities'!E182="","",'03_Functionalities'!E182)</f>
        <v>Major functionality for vks cluster creation.</v>
      </c>
      <c r="J182" s="2" t="str">
        <f>IF('03_Functionalities'!F182="","",'03_Functionalities'!F182)</f>
        <v>Includes major assessment behavior for vks cluster creation in the context of vks cluster provisioning and lifecycle.</v>
      </c>
      <c r="K182" s="2" t="str">
        <f>IF('03_Functionalities'!G182="","",'03_Functionalities'!G182)</f>
        <v>Excludes low-level configuration toggles, cosmetic UI behavior, and implementation-specific inventory minutiae unless they materially affect parity or risk.</v>
      </c>
      <c r="L182" s="2" t="str">
        <f>IF('03_Functionalities'!I182="","",'03_Functionalities'!I182)</f>
        <v>Application Platform</v>
      </c>
      <c r="M182" s="2" t="str">
        <f>IF('03_Functionalities'!J182="","",'03_Functionalities'!J182)</f>
        <v>Kubernetes Lifecycle</v>
      </c>
      <c r="N182" s="2" t="str">
        <f>IF('03_Functionalities'!K182="","",'03_Functionalities'!K182)</f>
        <v>Critical</v>
      </c>
      <c r="O182" s="2" t="str">
        <f>IF('03_Functionalities'!L182="","",'03_Functionalities'!L182)</f>
        <v>High</v>
      </c>
      <c r="P182" s="2" t="str">
        <f>IF('03_Functionalities'!M182="","",'03_Functionalities'!M182)</f>
        <v>Official vendor documentation, release notes, validated KB/article, product guide, or architecture reference with version applicability.</v>
      </c>
      <c r="Q182" s="2" t="str">
        <f>IF('03_Functionalities'!N182="","",'03_Functionalities'!N182)</f>
        <v>VCF 9.1 VKS cluster provisioning and lifecycle VKS cluster creation comparator parity evidence</v>
      </c>
      <c r="R182" s="2" t="str">
        <f>IF('03_Functionalities'!O182="","",'03_Functionalities'!O182)</f>
        <v>Yes</v>
      </c>
      <c r="S182" s="2" t="e">
        <f ca="1">IF(C182="","",_xludf.XLOOKUP(C182,'01_Products'!A:A,'01_Products'!K:K,0))</f>
        <v>#NAME?</v>
      </c>
      <c r="T182" s="2" t="e">
        <f ca="1">IF(B182="","",_xludf.XLOOKUP(B182,'02_Features'!A:A,'02_Features'!L:L,0))</f>
        <v>#NAME?</v>
      </c>
      <c r="U182" s="2">
        <f>IF('03_Functionalities'!P182="","",'03_Functionalities'!P182)</f>
        <v>1</v>
      </c>
      <c r="V182" s="2" t="str">
        <f>IF('03_Functionalities'!Q182="","",'03_Functionalities'!Q182)</f>
        <v>Draft</v>
      </c>
      <c r="W182" s="2" t="str">
        <f>IF('03_Functionalities'!R182="","",'03_Functionalities'!R182)</f>
        <v>https://techdocs.broadcom.com/us/en/vmware-cis/vcf/vcf-9-0-and-later/9-1/release-notes/vmware-cloud-foundation-9-1-0-0-release-notes/vmware-cloud-foundation-bill-of-materials.html</v>
      </c>
      <c r="X182" s="2" t="str">
        <f>IF('03_Functionalities'!S182="","",'03_Functionalities'!S182)</f>
        <v>High</v>
      </c>
    </row>
    <row r="183" spans="1:24" ht="71.25">
      <c r="A183" s="2" t="str">
        <f>IF('03_Functionalities'!A183="","",'03_Functionalities'!A183)</f>
        <v>FN-VKS-02-02</v>
      </c>
      <c r="B183" s="2" t="str">
        <f>IF('03_Functionalities'!B183="","",'03_Functionalities'!B183)</f>
        <v>FT-VKS-02</v>
      </c>
      <c r="C183" s="2" t="str">
        <f>IF('03_Functionalities'!C183="","",'03_Functionalities'!C183)</f>
        <v>PC-VKS</v>
      </c>
      <c r="D183" s="2" t="e">
        <f ca="1">IF(C183="","",_xludf.XLOOKUP(C183,'01_Products'!A:A,'01_Products'!B:B,"Missing Product"))</f>
        <v>#NAME?</v>
      </c>
      <c r="E183" s="2" t="e">
        <f ca="1">IF(C183="","",_xludf.XLOOKUP(C183,'01_Products'!A:A,'01_Products'!C:C,"Missing Type"))</f>
        <v>#NAME?</v>
      </c>
      <c r="F183" s="2" t="e">
        <f ca="1">IF(B183="","",_xludf.XLOOKUP(B183,'02_Features'!A:A,'02_Features'!C:C,"Missing Feature"))</f>
        <v>#NAME?</v>
      </c>
      <c r="G183" s="2" t="e">
        <f ca="1">IF(B183="","",_xludf.XLOOKUP(B183,'02_Features'!A:A,'02_Features'!E:E,"Missing Prompt"))</f>
        <v>#NAME?</v>
      </c>
      <c r="H183" s="2" t="str">
        <f>IF('03_Functionalities'!D183="","",'03_Functionalities'!D183)</f>
        <v>Kubernetes release/version lifecycle</v>
      </c>
      <c r="I183" s="2" t="str">
        <f>IF('03_Functionalities'!E183="","",'03_Functionalities'!E183)</f>
        <v>Major functionality for kubernetes release/version lifecycle.</v>
      </c>
      <c r="J183" s="2" t="str">
        <f>IF('03_Functionalities'!F183="","",'03_Functionalities'!F183)</f>
        <v>Includes major assessment behavior for kubernetes release/version lifecycle in the context of vks cluster provisioning and lifecycle.</v>
      </c>
      <c r="K183" s="2" t="str">
        <f>IF('03_Functionalities'!G183="","",'03_Functionalities'!G183)</f>
        <v>Excludes low-level configuration toggles, cosmetic UI behavior, and implementation-specific inventory minutiae unless they materially affect parity or risk.</v>
      </c>
      <c r="L183" s="2" t="str">
        <f>IF('03_Functionalities'!I183="","",'03_Functionalities'!I183)</f>
        <v>Application Platform</v>
      </c>
      <c r="M183" s="2" t="str">
        <f>IF('03_Functionalities'!J183="","",'03_Functionalities'!J183)</f>
        <v>Kubernetes Lifecycle</v>
      </c>
      <c r="N183" s="2" t="str">
        <f>IF('03_Functionalities'!K183="","",'03_Functionalities'!K183)</f>
        <v>Critical</v>
      </c>
      <c r="O183" s="2" t="str">
        <f>IF('03_Functionalities'!L183="","",'03_Functionalities'!L183)</f>
        <v>High</v>
      </c>
      <c r="P183" s="2" t="str">
        <f>IF('03_Functionalities'!M183="","",'03_Functionalities'!M183)</f>
        <v>Official vendor documentation, release notes, validated KB/article, product guide, or architecture reference with version applicability.</v>
      </c>
      <c r="Q183" s="2" t="str">
        <f>IF('03_Functionalities'!N183="","",'03_Functionalities'!N183)</f>
        <v>VCF 9.1 VKS cluster provisioning and lifecycle Kubernetes release/version lifecycle comparator parity evidence</v>
      </c>
      <c r="R183" s="2" t="str">
        <f>IF('03_Functionalities'!O183="","",'03_Functionalities'!O183)</f>
        <v>Yes</v>
      </c>
      <c r="S183" s="2" t="e">
        <f ca="1">IF(C183="","",_xludf.XLOOKUP(C183,'01_Products'!A:A,'01_Products'!K:K,0))</f>
        <v>#NAME?</v>
      </c>
      <c r="T183" s="2" t="e">
        <f ca="1">IF(B183="","",_xludf.XLOOKUP(B183,'02_Features'!A:A,'02_Features'!L:L,0))</f>
        <v>#NAME?</v>
      </c>
      <c r="U183" s="2">
        <f>IF('03_Functionalities'!P183="","",'03_Functionalities'!P183)</f>
        <v>2</v>
      </c>
      <c r="V183" s="2" t="str">
        <f>IF('03_Functionalities'!Q183="","",'03_Functionalities'!Q183)</f>
        <v>Draft</v>
      </c>
      <c r="W183" s="2" t="str">
        <f>IF('03_Functionalities'!R183="","",'03_Functionalities'!R183)</f>
        <v>https://techdocs.broadcom.com/us/en/vmware-cis/vcf/vcf-9-0-and-later/9-1/release-notes/vmware-cloud-foundation-9-1-0-0-release-notes/vmware-cloud-foundation-bill-of-materials.html</v>
      </c>
      <c r="X183" s="2" t="str">
        <f>IF('03_Functionalities'!S183="","",'03_Functionalities'!S183)</f>
        <v>High</v>
      </c>
    </row>
    <row r="184" spans="1:24" ht="71.25">
      <c r="A184" s="2" t="str">
        <f>IF('03_Functionalities'!A184="","",'03_Functionalities'!A184)</f>
        <v>FN-VKS-02-03</v>
      </c>
      <c r="B184" s="2" t="str">
        <f>IF('03_Functionalities'!B184="","",'03_Functionalities'!B184)</f>
        <v>FT-VKS-02</v>
      </c>
      <c r="C184" s="2" t="str">
        <f>IF('03_Functionalities'!C184="","",'03_Functionalities'!C184)</f>
        <v>PC-VKS</v>
      </c>
      <c r="D184" s="2" t="e">
        <f ca="1">IF(C184="","",_xludf.XLOOKUP(C184,'01_Products'!A:A,'01_Products'!B:B,"Missing Product"))</f>
        <v>#NAME?</v>
      </c>
      <c r="E184" s="2" t="e">
        <f ca="1">IF(C184="","",_xludf.XLOOKUP(C184,'01_Products'!A:A,'01_Products'!C:C,"Missing Type"))</f>
        <v>#NAME?</v>
      </c>
      <c r="F184" s="2" t="e">
        <f ca="1">IF(B184="","",_xludf.XLOOKUP(B184,'02_Features'!A:A,'02_Features'!C:C,"Missing Feature"))</f>
        <v>#NAME?</v>
      </c>
      <c r="G184" s="2" t="e">
        <f ca="1">IF(B184="","",_xludf.XLOOKUP(B184,'02_Features'!A:A,'02_Features'!E:E,"Missing Prompt"))</f>
        <v>#NAME?</v>
      </c>
      <c r="H184" s="2" t="str">
        <f>IF('03_Functionalities'!D184="","",'03_Functionalities'!D184)</f>
        <v>Cluster upgrade and remediation</v>
      </c>
      <c r="I184" s="2" t="str">
        <f>IF('03_Functionalities'!E184="","",'03_Functionalities'!E184)</f>
        <v>Major functionality for cluster upgrade and remediation.</v>
      </c>
      <c r="J184" s="2" t="str">
        <f>IF('03_Functionalities'!F184="","",'03_Functionalities'!F184)</f>
        <v>Includes major assessment behavior for cluster upgrade and remediation in the context of vks cluster provisioning and lifecycle.</v>
      </c>
      <c r="K184" s="2" t="str">
        <f>IF('03_Functionalities'!G184="","",'03_Functionalities'!G184)</f>
        <v>Excludes low-level configuration toggles, cosmetic UI behavior, and implementation-specific inventory minutiae unless they materially affect parity or risk.</v>
      </c>
      <c r="L184" s="2" t="str">
        <f>IF('03_Functionalities'!I184="","",'03_Functionalities'!I184)</f>
        <v>Application Platform</v>
      </c>
      <c r="M184" s="2" t="str">
        <f>IF('03_Functionalities'!J184="","",'03_Functionalities'!J184)</f>
        <v>Kubernetes Lifecycle</v>
      </c>
      <c r="N184" s="2" t="str">
        <f>IF('03_Functionalities'!K184="","",'03_Functionalities'!K184)</f>
        <v>Critical</v>
      </c>
      <c r="O184" s="2" t="str">
        <f>IF('03_Functionalities'!L184="","",'03_Functionalities'!L184)</f>
        <v>High</v>
      </c>
      <c r="P184" s="2" t="str">
        <f>IF('03_Functionalities'!M184="","",'03_Functionalities'!M184)</f>
        <v>Official vendor documentation, release notes, validated KB/article, product guide, or architecture reference with version applicability.</v>
      </c>
      <c r="Q184" s="2" t="str">
        <f>IF('03_Functionalities'!N184="","",'03_Functionalities'!N184)</f>
        <v>VCF 9.1 VKS cluster provisioning and lifecycle Cluster upgrade and remediation comparator parity evidence</v>
      </c>
      <c r="R184" s="2" t="str">
        <f>IF('03_Functionalities'!O184="","",'03_Functionalities'!O184)</f>
        <v>Yes</v>
      </c>
      <c r="S184" s="2" t="e">
        <f ca="1">IF(C184="","",_xludf.XLOOKUP(C184,'01_Products'!A:A,'01_Products'!K:K,0))</f>
        <v>#NAME?</v>
      </c>
      <c r="T184" s="2" t="e">
        <f ca="1">IF(B184="","",_xludf.XLOOKUP(B184,'02_Features'!A:A,'02_Features'!L:L,0))</f>
        <v>#NAME?</v>
      </c>
      <c r="U184" s="2">
        <f>IF('03_Functionalities'!P184="","",'03_Functionalities'!P184)</f>
        <v>3</v>
      </c>
      <c r="V184" s="2" t="str">
        <f>IF('03_Functionalities'!Q184="","",'03_Functionalities'!Q184)</f>
        <v>Draft</v>
      </c>
      <c r="W184" s="2" t="str">
        <f>IF('03_Functionalities'!R184="","",'03_Functionalities'!R184)</f>
        <v>https://techdocs.broadcom.com/us/en/vmware-cis/vcf/vcf-9-0-and-later/9-1/release-notes/vmware-cloud-foundation-9-1-0-0-release-notes/vmware-cloud-foundation-bill-of-materials.html</v>
      </c>
      <c r="X184" s="2" t="str">
        <f>IF('03_Functionalities'!S184="","",'03_Functionalities'!S184)</f>
        <v>High</v>
      </c>
    </row>
    <row r="185" spans="1:24" ht="57">
      <c r="A185" s="2" t="str">
        <f>IF('03_Functionalities'!A185="","",'03_Functionalities'!A185)</f>
        <v>FN-VKS-03-01</v>
      </c>
      <c r="B185" s="2" t="str">
        <f>IF('03_Functionalities'!B185="","",'03_Functionalities'!B185)</f>
        <v>FT-VKS-03</v>
      </c>
      <c r="C185" s="2" t="str">
        <f>IF('03_Functionalities'!C185="","",'03_Functionalities'!C185)</f>
        <v>PC-VKS</v>
      </c>
      <c r="D185" s="2" t="e">
        <f ca="1">IF(C185="","",_xludf.XLOOKUP(C185,'01_Products'!A:A,'01_Products'!B:B,"Missing Product"))</f>
        <v>#NAME?</v>
      </c>
      <c r="E185" s="2" t="e">
        <f ca="1">IF(C185="","",_xludf.XLOOKUP(C185,'01_Products'!A:A,'01_Products'!C:C,"Missing Type"))</f>
        <v>#NAME?</v>
      </c>
      <c r="F185" s="2" t="e">
        <f ca="1">IF(B185="","",_xludf.XLOOKUP(B185,'02_Features'!A:A,'02_Features'!C:C,"Missing Feature"))</f>
        <v>#NAME?</v>
      </c>
      <c r="G185" s="2" t="e">
        <f ca="1">IF(B185="","",_xludf.XLOOKUP(B185,'02_Features'!A:A,'02_Features'!E:E,"Missing Prompt"))</f>
        <v>#NAME?</v>
      </c>
      <c r="H185" s="2" t="str">
        <f>IF('03_Functionalities'!D185="","",'03_Functionalities'!D185)</f>
        <v>VM Service workload provisioning</v>
      </c>
      <c r="I185" s="2" t="str">
        <f>IF('03_Functionalities'!E185="","",'03_Functionalities'!E185)</f>
        <v>Major functionality for vm service workload provisioning.</v>
      </c>
      <c r="J185" s="2" t="str">
        <f>IF('03_Functionalities'!F185="","",'03_Functionalities'!F185)</f>
        <v>Includes major assessment behavior for vm service workload provisioning in the context of vm service and fast deploy.</v>
      </c>
      <c r="K185" s="2" t="str">
        <f>IF('03_Functionalities'!G185="","",'03_Functionalities'!G185)</f>
        <v>Excludes low-level configuration toggles, cosmetic UI behavior, and implementation-specific inventory minutiae unless they materially affect parity or risk.</v>
      </c>
      <c r="L185" s="2" t="str">
        <f>IF('03_Functionalities'!I185="","",'03_Functionalities'!I185)</f>
        <v>Application Platform</v>
      </c>
      <c r="M185" s="2" t="str">
        <f>IF('03_Functionalities'!J185="","",'03_Functionalities'!J185)</f>
        <v>VM Service</v>
      </c>
      <c r="N185" s="2" t="str">
        <f>IF('03_Functionalities'!K185="","",'03_Functionalities'!K185)</f>
        <v>Medium</v>
      </c>
      <c r="O185" s="2" t="str">
        <f>IF('03_Functionalities'!L185="","",'03_Functionalities'!L185)</f>
        <v>Medium</v>
      </c>
      <c r="P185" s="2" t="str">
        <f>IF('03_Functionalities'!M185="","",'03_Functionalities'!M185)</f>
        <v>Official vendor documentation, release notes, validated KB/article, product guide, or architecture reference with version applicability.</v>
      </c>
      <c r="Q185" s="2" t="str">
        <f>IF('03_Functionalities'!N185="","",'03_Functionalities'!N185)</f>
        <v>VCF 9.1 VM Service and fast deploy VM Service workload provisioning comparator parity evidence</v>
      </c>
      <c r="R185" s="2" t="str">
        <f>IF('03_Functionalities'!O185="","",'03_Functionalities'!O185)</f>
        <v>Yes</v>
      </c>
      <c r="S185" s="2" t="e">
        <f ca="1">IF(C185="","",_xludf.XLOOKUP(C185,'01_Products'!A:A,'01_Products'!K:K,0))</f>
        <v>#NAME?</v>
      </c>
      <c r="T185" s="2" t="e">
        <f ca="1">IF(B185="","",_xludf.XLOOKUP(B185,'02_Features'!A:A,'02_Features'!L:L,0))</f>
        <v>#NAME?</v>
      </c>
      <c r="U185" s="2">
        <f>IF('03_Functionalities'!P185="","",'03_Functionalities'!P185)</f>
        <v>1</v>
      </c>
      <c r="V185" s="2" t="str">
        <f>IF('03_Functionalities'!Q185="","",'03_Functionalities'!Q185)</f>
        <v>Draft</v>
      </c>
      <c r="W185" s="2" t="str">
        <f>IF('03_Functionalities'!R185="","",'03_Functionalities'!R185)</f>
        <v>https://techdocs.broadcom.com/us/en/vmware-cis/vcf/vcf-9-0-and-later/9-1/release-notes/vmware-cloud-foundation-9-1-0-0-release-notes/what-s-new.html</v>
      </c>
      <c r="X185" s="2" t="str">
        <f>IF('03_Functionalities'!S185="","",'03_Functionalities'!S185)</f>
        <v>High</v>
      </c>
    </row>
    <row r="186" spans="1:24" ht="57">
      <c r="A186" s="2" t="str">
        <f>IF('03_Functionalities'!A186="","",'03_Functionalities'!A186)</f>
        <v>FN-VKS-03-02</v>
      </c>
      <c r="B186" s="2" t="str">
        <f>IF('03_Functionalities'!B186="","",'03_Functionalities'!B186)</f>
        <v>FT-VKS-03</v>
      </c>
      <c r="C186" s="2" t="str">
        <f>IF('03_Functionalities'!C186="","",'03_Functionalities'!C186)</f>
        <v>PC-VKS</v>
      </c>
      <c r="D186" s="2" t="e">
        <f ca="1">IF(C186="","",_xludf.XLOOKUP(C186,'01_Products'!A:A,'01_Products'!B:B,"Missing Product"))</f>
        <v>#NAME?</v>
      </c>
      <c r="E186" s="2" t="e">
        <f ca="1">IF(C186="","",_xludf.XLOOKUP(C186,'01_Products'!A:A,'01_Products'!C:C,"Missing Type"))</f>
        <v>#NAME?</v>
      </c>
      <c r="F186" s="2" t="e">
        <f ca="1">IF(B186="","",_xludf.XLOOKUP(B186,'02_Features'!A:A,'02_Features'!C:C,"Missing Feature"))</f>
        <v>#NAME?</v>
      </c>
      <c r="G186" s="2" t="e">
        <f ca="1">IF(B186="","",_xludf.XLOOKUP(B186,'02_Features'!A:A,'02_Features'!E:E,"Missing Prompt"))</f>
        <v>#NAME?</v>
      </c>
      <c r="H186" s="2" t="str">
        <f>IF('03_Functionalities'!D186="","",'03_Functionalities'!D186)</f>
        <v>Linked-clone fast deploy behavior</v>
      </c>
      <c r="I186" s="2" t="str">
        <f>IF('03_Functionalities'!E186="","",'03_Functionalities'!E186)</f>
        <v>Major functionality for linked-clone fast deploy behavior.</v>
      </c>
      <c r="J186" s="2" t="str">
        <f>IF('03_Functionalities'!F186="","",'03_Functionalities'!F186)</f>
        <v>Includes major assessment behavior for linked-clone fast deploy behavior in the context of vm service and fast deploy.</v>
      </c>
      <c r="K186" s="2" t="str">
        <f>IF('03_Functionalities'!G186="","",'03_Functionalities'!G186)</f>
        <v>Excludes low-level configuration toggles, cosmetic UI behavior, and implementation-specific inventory minutiae unless they materially affect parity or risk.</v>
      </c>
      <c r="L186" s="2" t="str">
        <f>IF('03_Functionalities'!I186="","",'03_Functionalities'!I186)</f>
        <v>Application Platform</v>
      </c>
      <c r="M186" s="2" t="str">
        <f>IF('03_Functionalities'!J186="","",'03_Functionalities'!J186)</f>
        <v>VM Service</v>
      </c>
      <c r="N186" s="2" t="str">
        <f>IF('03_Functionalities'!K186="","",'03_Functionalities'!K186)</f>
        <v>Medium</v>
      </c>
      <c r="O186" s="2" t="str">
        <f>IF('03_Functionalities'!L186="","",'03_Functionalities'!L186)</f>
        <v>Medium</v>
      </c>
      <c r="P186" s="2" t="str">
        <f>IF('03_Functionalities'!M186="","",'03_Functionalities'!M186)</f>
        <v>Official vendor documentation, release notes, validated KB/article, product guide, or architecture reference with version applicability.</v>
      </c>
      <c r="Q186" s="2" t="str">
        <f>IF('03_Functionalities'!N186="","",'03_Functionalities'!N186)</f>
        <v>VCF 9.1 VM Service and fast deploy Linked-clone fast deploy behavior comparator parity evidence</v>
      </c>
      <c r="R186" s="2" t="str">
        <f>IF('03_Functionalities'!O186="","",'03_Functionalities'!O186)</f>
        <v>Yes</v>
      </c>
      <c r="S186" s="2" t="e">
        <f ca="1">IF(C186="","",_xludf.XLOOKUP(C186,'01_Products'!A:A,'01_Products'!K:K,0))</f>
        <v>#NAME?</v>
      </c>
      <c r="T186" s="2" t="e">
        <f ca="1">IF(B186="","",_xludf.XLOOKUP(B186,'02_Features'!A:A,'02_Features'!L:L,0))</f>
        <v>#NAME?</v>
      </c>
      <c r="U186" s="2">
        <f>IF('03_Functionalities'!P186="","",'03_Functionalities'!P186)</f>
        <v>2</v>
      </c>
      <c r="V186" s="2" t="str">
        <f>IF('03_Functionalities'!Q186="","",'03_Functionalities'!Q186)</f>
        <v>Draft</v>
      </c>
      <c r="W186" s="2" t="str">
        <f>IF('03_Functionalities'!R186="","",'03_Functionalities'!R186)</f>
        <v>https://techdocs.broadcom.com/us/en/vmware-cis/vcf/vcf-9-0-and-later/9-1/release-notes/vmware-cloud-foundation-9-1-0-0-release-notes/what-s-new.html</v>
      </c>
      <c r="X186" s="2" t="str">
        <f>IF('03_Functionalities'!S186="","",'03_Functionalities'!S186)</f>
        <v>High</v>
      </c>
    </row>
    <row r="187" spans="1:24" ht="57">
      <c r="A187" s="2" t="str">
        <f>IF('03_Functionalities'!A187="","",'03_Functionalities'!A187)</f>
        <v>FN-VKS-03-03</v>
      </c>
      <c r="B187" s="2" t="str">
        <f>IF('03_Functionalities'!B187="","",'03_Functionalities'!B187)</f>
        <v>FT-VKS-03</v>
      </c>
      <c r="C187" s="2" t="str">
        <f>IF('03_Functionalities'!C187="","",'03_Functionalities'!C187)</f>
        <v>PC-VKS</v>
      </c>
      <c r="D187" s="2" t="e">
        <f ca="1">IF(C187="","",_xludf.XLOOKUP(C187,'01_Products'!A:A,'01_Products'!B:B,"Missing Product"))</f>
        <v>#NAME?</v>
      </c>
      <c r="E187" s="2" t="e">
        <f ca="1">IF(C187="","",_xludf.XLOOKUP(C187,'01_Products'!A:A,'01_Products'!C:C,"Missing Type"))</f>
        <v>#NAME?</v>
      </c>
      <c r="F187" s="2" t="e">
        <f ca="1">IF(B187="","",_xludf.XLOOKUP(B187,'02_Features'!A:A,'02_Features'!C:C,"Missing Feature"))</f>
        <v>#NAME?</v>
      </c>
      <c r="G187" s="2" t="e">
        <f ca="1">IF(B187="","",_xludf.XLOOKUP(B187,'02_Features'!A:A,'02_Features'!E:E,"Missing Prompt"))</f>
        <v>#NAME?</v>
      </c>
      <c r="H187" s="2" t="str">
        <f>IF('03_Functionalities'!D187="","",'03_Functionalities'!D187)</f>
        <v>VM Service upgrade behavior</v>
      </c>
      <c r="I187" s="2" t="str">
        <f>IF('03_Functionalities'!E187="","",'03_Functionalities'!E187)</f>
        <v>Major functionality for vm service upgrade behavior.</v>
      </c>
      <c r="J187" s="2" t="str">
        <f>IF('03_Functionalities'!F187="","",'03_Functionalities'!F187)</f>
        <v>Includes major assessment behavior for vm service upgrade behavior in the context of vm service and fast deploy.</v>
      </c>
      <c r="K187" s="2" t="str">
        <f>IF('03_Functionalities'!G187="","",'03_Functionalities'!G187)</f>
        <v>Excludes low-level configuration toggles, cosmetic UI behavior, and implementation-specific inventory minutiae unless they materially affect parity or risk.</v>
      </c>
      <c r="L187" s="2" t="str">
        <f>IF('03_Functionalities'!I187="","",'03_Functionalities'!I187)</f>
        <v>Application Platform</v>
      </c>
      <c r="M187" s="2" t="str">
        <f>IF('03_Functionalities'!J187="","",'03_Functionalities'!J187)</f>
        <v>VM Service</v>
      </c>
      <c r="N187" s="2" t="str">
        <f>IF('03_Functionalities'!K187="","",'03_Functionalities'!K187)</f>
        <v>Medium</v>
      </c>
      <c r="O187" s="2" t="str">
        <f>IF('03_Functionalities'!L187="","",'03_Functionalities'!L187)</f>
        <v>Medium</v>
      </c>
      <c r="P187" s="2" t="str">
        <f>IF('03_Functionalities'!M187="","",'03_Functionalities'!M187)</f>
        <v>Official vendor documentation, release notes, validated KB/article, product guide, or architecture reference with version applicability.</v>
      </c>
      <c r="Q187" s="2" t="str">
        <f>IF('03_Functionalities'!N187="","",'03_Functionalities'!N187)</f>
        <v>VCF 9.1 VM Service and fast deploy VM Service upgrade behavior comparator parity evidence</v>
      </c>
      <c r="R187" s="2" t="str">
        <f>IF('03_Functionalities'!O187="","",'03_Functionalities'!O187)</f>
        <v>Yes</v>
      </c>
      <c r="S187" s="2" t="e">
        <f ca="1">IF(C187="","",_xludf.XLOOKUP(C187,'01_Products'!A:A,'01_Products'!K:K,0))</f>
        <v>#NAME?</v>
      </c>
      <c r="T187" s="2" t="e">
        <f ca="1">IF(B187="","",_xludf.XLOOKUP(B187,'02_Features'!A:A,'02_Features'!L:L,0))</f>
        <v>#NAME?</v>
      </c>
      <c r="U187" s="2">
        <f>IF('03_Functionalities'!P187="","",'03_Functionalities'!P187)</f>
        <v>3</v>
      </c>
      <c r="V187" s="2" t="str">
        <f>IF('03_Functionalities'!Q187="","",'03_Functionalities'!Q187)</f>
        <v>Draft</v>
      </c>
      <c r="W187" s="2" t="str">
        <f>IF('03_Functionalities'!R187="","",'03_Functionalities'!R187)</f>
        <v>https://techdocs.broadcom.com/us/en/vmware-cis/vcf/vcf-9-0-and-later/9-1/release-notes/vmware-cloud-foundation-9-1-0-0-release-notes/what-s-new.html</v>
      </c>
      <c r="X187" s="2" t="str">
        <f>IF('03_Functionalities'!S187="","",'03_Functionalities'!S187)</f>
        <v>High</v>
      </c>
    </row>
    <row r="188" spans="1:24" ht="71.25">
      <c r="A188" s="2" t="str">
        <f>IF('03_Functionalities'!A188="","",'03_Functionalities'!A188)</f>
        <v>FN-VKS-04-01</v>
      </c>
      <c r="B188" s="2" t="str">
        <f>IF('03_Functionalities'!B188="","",'03_Functionalities'!B188)</f>
        <v>FT-VKS-04</v>
      </c>
      <c r="C188" s="2" t="str">
        <f>IF('03_Functionalities'!C188="","",'03_Functionalities'!C188)</f>
        <v>PC-VKS</v>
      </c>
      <c r="D188" s="2" t="e">
        <f ca="1">IF(C188="","",_xludf.XLOOKUP(C188,'01_Products'!A:A,'01_Products'!B:B,"Missing Product"))</f>
        <v>#NAME?</v>
      </c>
      <c r="E188" s="2" t="e">
        <f ca="1">IF(C188="","",_xludf.XLOOKUP(C188,'01_Products'!A:A,'01_Products'!C:C,"Missing Type"))</f>
        <v>#NAME?</v>
      </c>
      <c r="F188" s="2" t="e">
        <f ca="1">IF(B188="","",_xludf.XLOOKUP(B188,'02_Features'!A:A,'02_Features'!C:C,"Missing Feature"))</f>
        <v>#NAME?</v>
      </c>
      <c r="G188" s="2" t="e">
        <f ca="1">IF(B188="","",_xludf.XLOOKUP(B188,'02_Features'!A:A,'02_Features'!E:E,"Missing Prompt"))</f>
        <v>#NAME?</v>
      </c>
      <c r="H188" s="2" t="str">
        <f>IF('03_Functionalities'!D188="","",'03_Functionalities'!D188)</f>
        <v>Harbor Supervisor service</v>
      </c>
      <c r="I188" s="2" t="str">
        <f>IF('03_Functionalities'!E188="","",'03_Functionalities'!E188)</f>
        <v>Major functionality for harbor supervisor service.</v>
      </c>
      <c r="J188" s="2" t="str">
        <f>IF('03_Functionalities'!F188="","",'03_Functionalities'!F188)</f>
        <v>Includes major assessment behavior for harbor supervisor service in the context of supervisor services and packages.</v>
      </c>
      <c r="K188" s="2" t="str">
        <f>IF('03_Functionalities'!G188="","",'03_Functionalities'!G188)</f>
        <v>Excludes low-level configuration toggles, cosmetic UI behavior, and implementation-specific inventory minutiae unless they materially affect parity or risk.</v>
      </c>
      <c r="L188" s="2" t="str">
        <f>IF('03_Functionalities'!I188="","",'03_Functionalities'!I188)</f>
        <v>Application Platform</v>
      </c>
      <c r="M188" s="2" t="str">
        <f>IF('03_Functionalities'!J188="","",'03_Functionalities'!J188)</f>
        <v>Supervisor Services</v>
      </c>
      <c r="N188" s="2" t="str">
        <f>IF('03_Functionalities'!K188="","",'03_Functionalities'!K188)</f>
        <v>High</v>
      </c>
      <c r="O188" s="2" t="str">
        <f>IF('03_Functionalities'!L188="","",'03_Functionalities'!L188)</f>
        <v>Medium</v>
      </c>
      <c r="P188" s="2" t="str">
        <f>IF('03_Functionalities'!M188="","",'03_Functionalities'!M188)</f>
        <v>Official vendor documentation, release notes, validated KB/article, product guide, or architecture reference with version applicability.</v>
      </c>
      <c r="Q188" s="2" t="str">
        <f>IF('03_Functionalities'!N188="","",'03_Functionalities'!N188)</f>
        <v>VCF 9.1 Supervisor services and packages Harbor Supervisor service comparator parity evidence</v>
      </c>
      <c r="R188" s="2" t="str">
        <f>IF('03_Functionalities'!O188="","",'03_Functionalities'!O188)</f>
        <v>Yes</v>
      </c>
      <c r="S188" s="2" t="e">
        <f ca="1">IF(C188="","",_xludf.XLOOKUP(C188,'01_Products'!A:A,'01_Products'!K:K,0))</f>
        <v>#NAME?</v>
      </c>
      <c r="T188" s="2" t="e">
        <f ca="1">IF(B188="","",_xludf.XLOOKUP(B188,'02_Features'!A:A,'02_Features'!L:L,0))</f>
        <v>#NAME?</v>
      </c>
      <c r="U188" s="2">
        <f>IF('03_Functionalities'!P188="","",'03_Functionalities'!P188)</f>
        <v>1</v>
      </c>
      <c r="V188" s="2" t="str">
        <f>IF('03_Functionalities'!Q188="","",'03_Functionalities'!Q188)</f>
        <v>Draft</v>
      </c>
      <c r="W188" s="2" t="str">
        <f>IF('03_Functionalities'!R188="","",'03_Functionalities'!R188)</f>
        <v>https://techdocs.broadcom.com/us/en/vmware-cis/vcf/vcf-9-0-and-later/9-1/release-notes/vmware-cloud-foundation-9-1-0-0-release-notes/vmware-cloud-foundation-bill-of-materials.html</v>
      </c>
      <c r="X188" s="2" t="str">
        <f>IF('03_Functionalities'!S188="","",'03_Functionalities'!S188)</f>
        <v>High</v>
      </c>
    </row>
    <row r="189" spans="1:24" ht="71.25">
      <c r="A189" s="2" t="str">
        <f>IF('03_Functionalities'!A189="","",'03_Functionalities'!A189)</f>
        <v>FN-VKS-04-02</v>
      </c>
      <c r="B189" s="2" t="str">
        <f>IF('03_Functionalities'!B189="","",'03_Functionalities'!B189)</f>
        <v>FT-VKS-04</v>
      </c>
      <c r="C189" s="2" t="str">
        <f>IF('03_Functionalities'!C189="","",'03_Functionalities'!C189)</f>
        <v>PC-VKS</v>
      </c>
      <c r="D189" s="2" t="e">
        <f ca="1">IF(C189="","",_xludf.XLOOKUP(C189,'01_Products'!A:A,'01_Products'!B:B,"Missing Product"))</f>
        <v>#NAME?</v>
      </c>
      <c r="E189" s="2" t="e">
        <f ca="1">IF(C189="","",_xludf.XLOOKUP(C189,'01_Products'!A:A,'01_Products'!C:C,"Missing Type"))</f>
        <v>#NAME?</v>
      </c>
      <c r="F189" s="2" t="e">
        <f ca="1">IF(B189="","",_xludf.XLOOKUP(B189,'02_Features'!A:A,'02_Features'!C:C,"Missing Feature"))</f>
        <v>#NAME?</v>
      </c>
      <c r="G189" s="2" t="e">
        <f ca="1">IF(B189="","",_xludf.XLOOKUP(B189,'02_Features'!A:A,'02_Features'!E:E,"Missing Prompt"))</f>
        <v>#NAME?</v>
      </c>
      <c r="H189" s="2" t="str">
        <f>IF('03_Functionalities'!D189="","",'03_Functionalities'!D189)</f>
        <v>Argo CD/Contour/External DNS services</v>
      </c>
      <c r="I189" s="2" t="str">
        <f>IF('03_Functionalities'!E189="","",'03_Functionalities'!E189)</f>
        <v>Major functionality for argo cd/contour/external dns services.</v>
      </c>
      <c r="J189" s="2" t="str">
        <f>IF('03_Functionalities'!F189="","",'03_Functionalities'!F189)</f>
        <v>Includes major assessment behavior for argo cd/contour/external dns services in the context of supervisor services and packages.</v>
      </c>
      <c r="K189" s="2" t="str">
        <f>IF('03_Functionalities'!G189="","",'03_Functionalities'!G189)</f>
        <v>Excludes low-level configuration toggles, cosmetic UI behavior, and implementation-specific inventory minutiae unless they materially affect parity or risk.</v>
      </c>
      <c r="L189" s="2" t="str">
        <f>IF('03_Functionalities'!I189="","",'03_Functionalities'!I189)</f>
        <v>Application Platform</v>
      </c>
      <c r="M189" s="2" t="str">
        <f>IF('03_Functionalities'!J189="","",'03_Functionalities'!J189)</f>
        <v>Supervisor Services</v>
      </c>
      <c r="N189" s="2" t="str">
        <f>IF('03_Functionalities'!K189="","",'03_Functionalities'!K189)</f>
        <v>High</v>
      </c>
      <c r="O189" s="2" t="str">
        <f>IF('03_Functionalities'!L189="","",'03_Functionalities'!L189)</f>
        <v>Medium</v>
      </c>
      <c r="P189" s="2" t="str">
        <f>IF('03_Functionalities'!M189="","",'03_Functionalities'!M189)</f>
        <v>Official vendor documentation, release notes, validated KB/article, product guide, or architecture reference with version applicability.</v>
      </c>
      <c r="Q189" s="2" t="str">
        <f>IF('03_Functionalities'!N189="","",'03_Functionalities'!N189)</f>
        <v>VCF 9.1 Supervisor services and packages Argo CD/Contour/External DNS services comparator parity evidence</v>
      </c>
      <c r="R189" s="2" t="str">
        <f>IF('03_Functionalities'!O189="","",'03_Functionalities'!O189)</f>
        <v>Yes</v>
      </c>
      <c r="S189" s="2" t="e">
        <f ca="1">IF(C189="","",_xludf.XLOOKUP(C189,'01_Products'!A:A,'01_Products'!K:K,0))</f>
        <v>#NAME?</v>
      </c>
      <c r="T189" s="2" t="e">
        <f ca="1">IF(B189="","",_xludf.XLOOKUP(B189,'02_Features'!A:A,'02_Features'!L:L,0))</f>
        <v>#NAME?</v>
      </c>
      <c r="U189" s="2">
        <f>IF('03_Functionalities'!P189="","",'03_Functionalities'!P189)</f>
        <v>2</v>
      </c>
      <c r="V189" s="2" t="str">
        <f>IF('03_Functionalities'!Q189="","",'03_Functionalities'!Q189)</f>
        <v>Draft</v>
      </c>
      <c r="W189" s="2" t="str">
        <f>IF('03_Functionalities'!R189="","",'03_Functionalities'!R189)</f>
        <v>https://techdocs.broadcom.com/us/en/vmware-cis/vcf/vcf-9-0-and-later/9-1/release-notes/vmware-cloud-foundation-9-1-0-0-release-notes/vmware-cloud-foundation-bill-of-materials.html</v>
      </c>
      <c r="X189" s="2" t="str">
        <f>IF('03_Functionalities'!S189="","",'03_Functionalities'!S189)</f>
        <v>High</v>
      </c>
    </row>
    <row r="190" spans="1:24" ht="71.25">
      <c r="A190" s="2" t="str">
        <f>IF('03_Functionalities'!A190="","",'03_Functionalities'!A190)</f>
        <v>FN-VKS-04-03</v>
      </c>
      <c r="B190" s="2" t="str">
        <f>IF('03_Functionalities'!B190="","",'03_Functionalities'!B190)</f>
        <v>FT-VKS-04</v>
      </c>
      <c r="C190" s="2" t="str">
        <f>IF('03_Functionalities'!C190="","",'03_Functionalities'!C190)</f>
        <v>PC-VKS</v>
      </c>
      <c r="D190" s="2" t="e">
        <f ca="1">IF(C190="","",_xludf.XLOOKUP(C190,'01_Products'!A:A,'01_Products'!B:B,"Missing Product"))</f>
        <v>#NAME?</v>
      </c>
      <c r="E190" s="2" t="e">
        <f ca="1">IF(C190="","",_xludf.XLOOKUP(C190,'01_Products'!A:A,'01_Products'!C:C,"Missing Type"))</f>
        <v>#NAME?</v>
      </c>
      <c r="F190" s="2" t="e">
        <f ca="1">IF(B190="","",_xludf.XLOOKUP(B190,'02_Features'!A:A,'02_Features'!C:C,"Missing Feature"))</f>
        <v>#NAME?</v>
      </c>
      <c r="G190" s="2" t="e">
        <f ca="1">IF(B190="","",_xludf.XLOOKUP(B190,'02_Features'!A:A,'02_Features'!E:E,"Missing Prompt"))</f>
        <v>#NAME?</v>
      </c>
      <c r="H190" s="2" t="str">
        <f>IF('03_Functionalities'!D190="","",'03_Functionalities'!D190)</f>
        <v>Supervisor package lifecycle</v>
      </c>
      <c r="I190" s="2" t="str">
        <f>IF('03_Functionalities'!E190="","",'03_Functionalities'!E190)</f>
        <v>Major functionality for supervisor package lifecycle.</v>
      </c>
      <c r="J190" s="2" t="str">
        <f>IF('03_Functionalities'!F190="","",'03_Functionalities'!F190)</f>
        <v>Includes major assessment behavior for supervisor package lifecycle in the context of supervisor services and packages.</v>
      </c>
      <c r="K190" s="2" t="str">
        <f>IF('03_Functionalities'!G190="","",'03_Functionalities'!G190)</f>
        <v>Excludes low-level configuration toggles, cosmetic UI behavior, and implementation-specific inventory minutiae unless they materially affect parity or risk.</v>
      </c>
      <c r="L190" s="2" t="str">
        <f>IF('03_Functionalities'!I190="","",'03_Functionalities'!I190)</f>
        <v>Application Platform</v>
      </c>
      <c r="M190" s="2" t="str">
        <f>IF('03_Functionalities'!J190="","",'03_Functionalities'!J190)</f>
        <v>Supervisor Services</v>
      </c>
      <c r="N190" s="2" t="str">
        <f>IF('03_Functionalities'!K190="","",'03_Functionalities'!K190)</f>
        <v>High</v>
      </c>
      <c r="O190" s="2" t="str">
        <f>IF('03_Functionalities'!L190="","",'03_Functionalities'!L190)</f>
        <v>Medium</v>
      </c>
      <c r="P190" s="2" t="str">
        <f>IF('03_Functionalities'!M190="","",'03_Functionalities'!M190)</f>
        <v>Official vendor documentation, release notes, validated KB/article, product guide, or architecture reference with version applicability.</v>
      </c>
      <c r="Q190" s="2" t="str">
        <f>IF('03_Functionalities'!N190="","",'03_Functionalities'!N190)</f>
        <v>VCF 9.1 Supervisor services and packages Supervisor package lifecycle comparator parity evidence</v>
      </c>
      <c r="R190" s="2" t="str">
        <f>IF('03_Functionalities'!O190="","",'03_Functionalities'!O190)</f>
        <v>Yes</v>
      </c>
      <c r="S190" s="2" t="e">
        <f ca="1">IF(C190="","",_xludf.XLOOKUP(C190,'01_Products'!A:A,'01_Products'!K:K,0))</f>
        <v>#NAME?</v>
      </c>
      <c r="T190" s="2" t="e">
        <f ca="1">IF(B190="","",_xludf.XLOOKUP(B190,'02_Features'!A:A,'02_Features'!L:L,0))</f>
        <v>#NAME?</v>
      </c>
      <c r="U190" s="2">
        <f>IF('03_Functionalities'!P190="","",'03_Functionalities'!P190)</f>
        <v>3</v>
      </c>
      <c r="V190" s="2" t="str">
        <f>IF('03_Functionalities'!Q190="","",'03_Functionalities'!Q190)</f>
        <v>Draft</v>
      </c>
      <c r="W190" s="2" t="str">
        <f>IF('03_Functionalities'!R190="","",'03_Functionalities'!R190)</f>
        <v>https://techdocs.broadcom.com/us/en/vmware-cis/vcf/vcf-9-0-and-later/9-1/release-notes/vmware-cloud-foundation-9-1-0-0-release-notes/vmware-cloud-foundation-bill-of-materials.html</v>
      </c>
      <c r="X190" s="2" t="str">
        <f>IF('03_Functionalities'!S190="","",'03_Functionalities'!S190)</f>
        <v>High</v>
      </c>
    </row>
    <row r="191" spans="1:24" ht="71.25">
      <c r="A191" s="2" t="str">
        <f>IF('03_Functionalities'!A191="","",'03_Functionalities'!A191)</f>
        <v>FN-VKS-05-01</v>
      </c>
      <c r="B191" s="2" t="str">
        <f>IF('03_Functionalities'!B191="","",'03_Functionalities'!B191)</f>
        <v>FT-VKS-05</v>
      </c>
      <c r="C191" s="2" t="str">
        <f>IF('03_Functionalities'!C191="","",'03_Functionalities'!C191)</f>
        <v>PC-VKS</v>
      </c>
      <c r="D191" s="2" t="e">
        <f ca="1">IF(C191="","",_xludf.XLOOKUP(C191,'01_Products'!A:A,'01_Products'!B:B,"Missing Product"))</f>
        <v>#NAME?</v>
      </c>
      <c r="E191" s="2" t="e">
        <f ca="1">IF(C191="","",_xludf.XLOOKUP(C191,'01_Products'!A:A,'01_Products'!C:C,"Missing Type"))</f>
        <v>#NAME?</v>
      </c>
      <c r="F191" s="2" t="e">
        <f ca="1">IF(B191="","",_xludf.XLOOKUP(B191,'02_Features'!A:A,'02_Features'!C:C,"Missing Feature"))</f>
        <v>#NAME?</v>
      </c>
      <c r="G191" s="2" t="e">
        <f ca="1">IF(B191="","",_xludf.XLOOKUP(B191,'02_Features'!A:A,'02_Features'!E:E,"Missing Prompt"))</f>
        <v>#NAME?</v>
      </c>
      <c r="H191" s="2" t="str">
        <f>IF('03_Functionalities'!D191="","",'03_Functionalities'!D191)</f>
        <v>Harbor registry service</v>
      </c>
      <c r="I191" s="2" t="str">
        <f>IF('03_Functionalities'!E191="","",'03_Functionalities'!E191)</f>
        <v>Major functionality for harbor registry service.</v>
      </c>
      <c r="J191" s="2" t="str">
        <f>IF('03_Functionalities'!F191="","",'03_Functionalities'!F191)</f>
        <v>Includes major assessment behavior for harbor registry service in the context of container registry and image services.</v>
      </c>
      <c r="K191" s="2" t="str">
        <f>IF('03_Functionalities'!G191="","",'03_Functionalities'!G191)</f>
        <v>Excludes low-level configuration toggles, cosmetic UI behavior, and implementation-specific inventory minutiae unless they materially affect parity or risk.</v>
      </c>
      <c r="L191" s="2" t="str">
        <f>IF('03_Functionalities'!I191="","",'03_Functionalities'!I191)</f>
        <v>Application Platform</v>
      </c>
      <c r="M191" s="2" t="str">
        <f>IF('03_Functionalities'!J191="","",'03_Functionalities'!J191)</f>
        <v>Registry</v>
      </c>
      <c r="N191" s="2" t="str">
        <f>IF('03_Functionalities'!K191="","",'03_Functionalities'!K191)</f>
        <v>Medium</v>
      </c>
      <c r="O191" s="2" t="str">
        <f>IF('03_Functionalities'!L191="","",'03_Functionalities'!L191)</f>
        <v>High</v>
      </c>
      <c r="P191" s="2" t="str">
        <f>IF('03_Functionalities'!M191="","",'03_Functionalities'!M191)</f>
        <v>Official vendor documentation, release notes, validated KB/article, product guide, or architecture reference with version applicability.</v>
      </c>
      <c r="Q191" s="2" t="str">
        <f>IF('03_Functionalities'!N191="","",'03_Functionalities'!N191)</f>
        <v>VCF 9.1 Container registry and image services Harbor registry service comparator parity evidence</v>
      </c>
      <c r="R191" s="2" t="str">
        <f>IF('03_Functionalities'!O191="","",'03_Functionalities'!O191)</f>
        <v>Yes</v>
      </c>
      <c r="S191" s="2" t="e">
        <f ca="1">IF(C191="","",_xludf.XLOOKUP(C191,'01_Products'!A:A,'01_Products'!K:K,0))</f>
        <v>#NAME?</v>
      </c>
      <c r="T191" s="2" t="e">
        <f ca="1">IF(B191="","",_xludf.XLOOKUP(B191,'02_Features'!A:A,'02_Features'!L:L,0))</f>
        <v>#NAME?</v>
      </c>
      <c r="U191" s="2">
        <f>IF('03_Functionalities'!P191="","",'03_Functionalities'!P191)</f>
        <v>1</v>
      </c>
      <c r="V191" s="2" t="str">
        <f>IF('03_Functionalities'!Q191="","",'03_Functionalities'!Q191)</f>
        <v>Draft</v>
      </c>
      <c r="W191" s="2" t="str">
        <f>IF('03_Functionalities'!R191="","",'03_Functionalities'!R191)</f>
        <v>https://techdocs.broadcom.com/us/en/vmware-cis/vcf/vcf-9-0-and-later/9-1/release-notes/vmware-cloud-foundation-9-1-0-0-release-notes/vmware-cloud-foundation-bill-of-materials.html</v>
      </c>
      <c r="X191" s="2" t="str">
        <f>IF('03_Functionalities'!S191="","",'03_Functionalities'!S191)</f>
        <v>High</v>
      </c>
    </row>
    <row r="192" spans="1:24" ht="71.25">
      <c r="A192" s="2" t="str">
        <f>IF('03_Functionalities'!A192="","",'03_Functionalities'!A192)</f>
        <v>FN-VKS-05-02</v>
      </c>
      <c r="B192" s="2" t="str">
        <f>IF('03_Functionalities'!B192="","",'03_Functionalities'!B192)</f>
        <v>FT-VKS-05</v>
      </c>
      <c r="C192" s="2" t="str">
        <f>IF('03_Functionalities'!C192="","",'03_Functionalities'!C192)</f>
        <v>PC-VKS</v>
      </c>
      <c r="D192" s="2" t="e">
        <f ca="1">IF(C192="","",_xludf.XLOOKUP(C192,'01_Products'!A:A,'01_Products'!B:B,"Missing Product"))</f>
        <v>#NAME?</v>
      </c>
      <c r="E192" s="2" t="e">
        <f ca="1">IF(C192="","",_xludf.XLOOKUP(C192,'01_Products'!A:A,'01_Products'!C:C,"Missing Type"))</f>
        <v>#NAME?</v>
      </c>
      <c r="F192" s="2" t="e">
        <f ca="1">IF(B192="","",_xludf.XLOOKUP(B192,'02_Features'!A:A,'02_Features'!C:C,"Missing Feature"))</f>
        <v>#NAME?</v>
      </c>
      <c r="G192" s="2" t="e">
        <f ca="1">IF(B192="","",_xludf.XLOOKUP(B192,'02_Features'!A:A,'02_Features'!E:E,"Missing Prompt"))</f>
        <v>#NAME?</v>
      </c>
      <c r="H192" s="2" t="str">
        <f>IF('03_Functionalities'!D192="","",'03_Functionalities'!D192)</f>
        <v>Image storage and access control</v>
      </c>
      <c r="I192" s="2" t="str">
        <f>IF('03_Functionalities'!E192="","",'03_Functionalities'!E192)</f>
        <v>Major functionality for image storage and access control.</v>
      </c>
      <c r="J192" s="2" t="str">
        <f>IF('03_Functionalities'!F192="","",'03_Functionalities'!F192)</f>
        <v>Includes major assessment behavior for image storage and access control in the context of container registry and image services.</v>
      </c>
      <c r="K192" s="2" t="str">
        <f>IF('03_Functionalities'!G192="","",'03_Functionalities'!G192)</f>
        <v>Excludes low-level configuration toggles, cosmetic UI behavior, and implementation-specific inventory minutiae unless they materially affect parity or risk.</v>
      </c>
      <c r="L192" s="2" t="str">
        <f>IF('03_Functionalities'!I192="","",'03_Functionalities'!I192)</f>
        <v>Application Platform</v>
      </c>
      <c r="M192" s="2" t="str">
        <f>IF('03_Functionalities'!J192="","",'03_Functionalities'!J192)</f>
        <v>Registry</v>
      </c>
      <c r="N192" s="2" t="str">
        <f>IF('03_Functionalities'!K192="","",'03_Functionalities'!K192)</f>
        <v>Medium</v>
      </c>
      <c r="O192" s="2" t="str">
        <f>IF('03_Functionalities'!L192="","",'03_Functionalities'!L192)</f>
        <v>High</v>
      </c>
      <c r="P192" s="2" t="str">
        <f>IF('03_Functionalities'!M192="","",'03_Functionalities'!M192)</f>
        <v>Official vendor documentation, release notes, validated KB/article, product guide, or architecture reference with version applicability.</v>
      </c>
      <c r="Q192" s="2" t="str">
        <f>IF('03_Functionalities'!N192="","",'03_Functionalities'!N192)</f>
        <v>VCF 9.1 Container registry and image services Image storage and access control comparator parity evidence</v>
      </c>
      <c r="R192" s="2" t="str">
        <f>IF('03_Functionalities'!O192="","",'03_Functionalities'!O192)</f>
        <v>Yes</v>
      </c>
      <c r="S192" s="2" t="e">
        <f ca="1">IF(C192="","",_xludf.XLOOKUP(C192,'01_Products'!A:A,'01_Products'!K:K,0))</f>
        <v>#NAME?</v>
      </c>
      <c r="T192" s="2" t="e">
        <f ca="1">IF(B192="","",_xludf.XLOOKUP(B192,'02_Features'!A:A,'02_Features'!L:L,0))</f>
        <v>#NAME?</v>
      </c>
      <c r="U192" s="2">
        <f>IF('03_Functionalities'!P192="","",'03_Functionalities'!P192)</f>
        <v>2</v>
      </c>
      <c r="V192" s="2" t="str">
        <f>IF('03_Functionalities'!Q192="","",'03_Functionalities'!Q192)</f>
        <v>Draft</v>
      </c>
      <c r="W192" s="2" t="str">
        <f>IF('03_Functionalities'!R192="","",'03_Functionalities'!R192)</f>
        <v>https://techdocs.broadcom.com/us/en/vmware-cis/vcf/vcf-9-0-and-later/9-1/release-notes/vmware-cloud-foundation-9-1-0-0-release-notes/vmware-cloud-foundation-bill-of-materials.html</v>
      </c>
      <c r="X192" s="2" t="str">
        <f>IF('03_Functionalities'!S192="","",'03_Functionalities'!S192)</f>
        <v>High</v>
      </c>
    </row>
    <row r="193" spans="1:24" ht="71.25">
      <c r="A193" s="2" t="str">
        <f>IF('03_Functionalities'!A193="","",'03_Functionalities'!A193)</f>
        <v>FN-VKS-05-03</v>
      </c>
      <c r="B193" s="2" t="str">
        <f>IF('03_Functionalities'!B193="","",'03_Functionalities'!B193)</f>
        <v>FT-VKS-05</v>
      </c>
      <c r="C193" s="2" t="str">
        <f>IF('03_Functionalities'!C193="","",'03_Functionalities'!C193)</f>
        <v>PC-VKS</v>
      </c>
      <c r="D193" s="2" t="e">
        <f ca="1">IF(C193="","",_xludf.XLOOKUP(C193,'01_Products'!A:A,'01_Products'!B:B,"Missing Product"))</f>
        <v>#NAME?</v>
      </c>
      <c r="E193" s="2" t="e">
        <f ca="1">IF(C193="","",_xludf.XLOOKUP(C193,'01_Products'!A:A,'01_Products'!C:C,"Missing Type"))</f>
        <v>#NAME?</v>
      </c>
      <c r="F193" s="2" t="e">
        <f ca="1">IF(B193="","",_xludf.XLOOKUP(B193,'02_Features'!A:A,'02_Features'!C:C,"Missing Feature"))</f>
        <v>#NAME?</v>
      </c>
      <c r="G193" s="2" t="e">
        <f ca="1">IF(B193="","",_xludf.XLOOKUP(B193,'02_Features'!A:A,'02_Features'!E:E,"Missing Prompt"))</f>
        <v>#NAME?</v>
      </c>
      <c r="H193" s="2" t="str">
        <f>IF('03_Functionalities'!D193="","",'03_Functionalities'!D193)</f>
        <v>Registry lifecycle and availability</v>
      </c>
      <c r="I193" s="2" t="str">
        <f>IF('03_Functionalities'!E193="","",'03_Functionalities'!E193)</f>
        <v>Major functionality for registry lifecycle and availability.</v>
      </c>
      <c r="J193" s="2" t="str">
        <f>IF('03_Functionalities'!F193="","",'03_Functionalities'!F193)</f>
        <v>Includes major assessment behavior for registry lifecycle and availability in the context of container registry and image services.</v>
      </c>
      <c r="K193" s="2" t="str">
        <f>IF('03_Functionalities'!G193="","",'03_Functionalities'!G193)</f>
        <v>Excludes low-level configuration toggles, cosmetic UI behavior, and implementation-specific inventory minutiae unless they materially affect parity or risk.</v>
      </c>
      <c r="L193" s="2" t="str">
        <f>IF('03_Functionalities'!I193="","",'03_Functionalities'!I193)</f>
        <v>Application Platform</v>
      </c>
      <c r="M193" s="2" t="str">
        <f>IF('03_Functionalities'!J193="","",'03_Functionalities'!J193)</f>
        <v>Registry</v>
      </c>
      <c r="N193" s="2" t="str">
        <f>IF('03_Functionalities'!K193="","",'03_Functionalities'!K193)</f>
        <v>Medium</v>
      </c>
      <c r="O193" s="2" t="str">
        <f>IF('03_Functionalities'!L193="","",'03_Functionalities'!L193)</f>
        <v>High</v>
      </c>
      <c r="P193" s="2" t="str">
        <f>IF('03_Functionalities'!M193="","",'03_Functionalities'!M193)</f>
        <v>Official vendor documentation, release notes, validated KB/article, product guide, or architecture reference with version applicability.</v>
      </c>
      <c r="Q193" s="2" t="str">
        <f>IF('03_Functionalities'!N193="","",'03_Functionalities'!N193)</f>
        <v>VCF 9.1 Container registry and image services Registry lifecycle and availability comparator parity evidence</v>
      </c>
      <c r="R193" s="2" t="str">
        <f>IF('03_Functionalities'!O193="","",'03_Functionalities'!O193)</f>
        <v>Yes</v>
      </c>
      <c r="S193" s="2" t="e">
        <f ca="1">IF(C193="","",_xludf.XLOOKUP(C193,'01_Products'!A:A,'01_Products'!K:K,0))</f>
        <v>#NAME?</v>
      </c>
      <c r="T193" s="2" t="e">
        <f ca="1">IF(B193="","",_xludf.XLOOKUP(B193,'02_Features'!A:A,'02_Features'!L:L,0))</f>
        <v>#NAME?</v>
      </c>
      <c r="U193" s="2">
        <f>IF('03_Functionalities'!P193="","",'03_Functionalities'!P193)</f>
        <v>3</v>
      </c>
      <c r="V193" s="2" t="str">
        <f>IF('03_Functionalities'!Q193="","",'03_Functionalities'!Q193)</f>
        <v>Draft</v>
      </c>
      <c r="W193" s="2" t="str">
        <f>IF('03_Functionalities'!R193="","",'03_Functionalities'!R193)</f>
        <v>https://techdocs.broadcom.com/us/en/vmware-cis/vcf/vcf-9-0-and-later/9-1/release-notes/vmware-cloud-foundation-9-1-0-0-release-notes/vmware-cloud-foundation-bill-of-materials.html</v>
      </c>
      <c r="X193" s="2" t="str">
        <f>IF('03_Functionalities'!S193="","",'03_Functionalities'!S193)</f>
        <v>High</v>
      </c>
    </row>
    <row r="194" spans="1:24" ht="57">
      <c r="A194" s="2" t="str">
        <f>IF('03_Functionalities'!A194="","",'03_Functionalities'!A194)</f>
        <v>FN-VKS-06-01</v>
      </c>
      <c r="B194" s="2" t="str">
        <f>IF('03_Functionalities'!B194="","",'03_Functionalities'!B194)</f>
        <v>FT-VKS-06</v>
      </c>
      <c r="C194" s="2" t="str">
        <f>IF('03_Functionalities'!C194="","",'03_Functionalities'!C194)</f>
        <v>PC-VKS</v>
      </c>
      <c r="D194" s="2" t="e">
        <f ca="1">IF(C194="","",_xludf.XLOOKUP(C194,'01_Products'!A:A,'01_Products'!B:B,"Missing Product"))</f>
        <v>#NAME?</v>
      </c>
      <c r="E194" s="2" t="e">
        <f ca="1">IF(C194="","",_xludf.XLOOKUP(C194,'01_Products'!A:A,'01_Products'!C:C,"Missing Type"))</f>
        <v>#NAME?</v>
      </c>
      <c r="F194" s="2" t="e">
        <f ca="1">IF(B194="","",_xludf.XLOOKUP(B194,'02_Features'!A:A,'02_Features'!C:C,"Missing Feature"))</f>
        <v>#NAME?</v>
      </c>
      <c r="G194" s="2" t="e">
        <f ca="1">IF(B194="","",_xludf.XLOOKUP(B194,'02_Features'!A:A,'02_Features'!E:E,"Missing Prompt"))</f>
        <v>#NAME?</v>
      </c>
      <c r="H194" s="2" t="str">
        <f>IF('03_Functionalities'!D194="","",'03_Functionalities'!D194)</f>
        <v>Ingress controller integration</v>
      </c>
      <c r="I194" s="2" t="str">
        <f>IF('03_Functionalities'!E194="","",'03_Functionalities'!E194)</f>
        <v>Major functionality for ingress controller integration.</v>
      </c>
      <c r="J194" s="2" t="str">
        <f>IF('03_Functionalities'!F194="","",'03_Functionalities'!F194)</f>
        <v>Includes major assessment behavior for ingress controller integration in the context of kubernetes networking and ingress/load-balancer integration.</v>
      </c>
      <c r="K194" s="2" t="str">
        <f>IF('03_Functionalities'!G194="","",'03_Functionalities'!G194)</f>
        <v>Excludes low-level configuration toggles, cosmetic UI behavior, and implementation-specific inventory minutiae unless they materially affect parity or risk.</v>
      </c>
      <c r="L194" s="2" t="str">
        <f>IF('03_Functionalities'!I194="","",'03_Functionalities'!I194)</f>
        <v>Application Platform</v>
      </c>
      <c r="M194" s="2" t="str">
        <f>IF('03_Functionalities'!J194="","",'03_Functionalities'!J194)</f>
        <v>Ingress</v>
      </c>
      <c r="N194" s="2" t="str">
        <f>IF('03_Functionalities'!K194="","",'03_Functionalities'!K194)</f>
        <v>High</v>
      </c>
      <c r="O194" s="2" t="str">
        <f>IF('03_Functionalities'!L194="","",'03_Functionalities'!L194)</f>
        <v>High</v>
      </c>
      <c r="P194" s="2" t="str">
        <f>IF('03_Functionalities'!M194="","",'03_Functionalities'!M194)</f>
        <v>Official vendor documentation, release notes, validated KB/article, product guide, or architecture reference with version applicability.</v>
      </c>
      <c r="Q194" s="2" t="str">
        <f>IF('03_Functionalities'!N194="","",'03_Functionalities'!N194)</f>
        <v>VCF 9.1 Kubernetes networking and ingress/load-balancer integration Ingress controller integration comparator parity evidence</v>
      </c>
      <c r="R194" s="2" t="str">
        <f>IF('03_Functionalities'!O194="","",'03_Functionalities'!O194)</f>
        <v>Yes</v>
      </c>
      <c r="S194" s="2" t="e">
        <f ca="1">IF(C194="","",_xludf.XLOOKUP(C194,'01_Products'!A:A,'01_Products'!K:K,0))</f>
        <v>#NAME?</v>
      </c>
      <c r="T194" s="2" t="e">
        <f ca="1">IF(B194="","",_xludf.XLOOKUP(B194,'02_Features'!A:A,'02_Features'!L:L,0))</f>
        <v>#NAME?</v>
      </c>
      <c r="U194" s="2">
        <f>IF('03_Functionalities'!P194="","",'03_Functionalities'!P194)</f>
        <v>1</v>
      </c>
      <c r="V194" s="2" t="str">
        <f>IF('03_Functionalities'!Q194="","",'03_Functionalities'!Q194)</f>
        <v>Draft</v>
      </c>
      <c r="W194" s="2" t="str">
        <f>IF('03_Functionalities'!R194="","",'03_Functionalities'!R194)</f>
        <v>https://techdocs.broadcom.com/us/en/vmware-security-load-balancing/avi-load-balancer/avi-load-balancer-vmware-cloud-foundation/9-1.html</v>
      </c>
      <c r="X194" s="2" t="str">
        <f>IF('03_Functionalities'!S194="","",'03_Functionalities'!S194)</f>
        <v>High</v>
      </c>
    </row>
    <row r="195" spans="1:24" ht="57">
      <c r="A195" s="2" t="str">
        <f>IF('03_Functionalities'!A195="","",'03_Functionalities'!A195)</f>
        <v>FN-VKS-06-02</v>
      </c>
      <c r="B195" s="2" t="str">
        <f>IF('03_Functionalities'!B195="","",'03_Functionalities'!B195)</f>
        <v>FT-VKS-06</v>
      </c>
      <c r="C195" s="2" t="str">
        <f>IF('03_Functionalities'!C195="","",'03_Functionalities'!C195)</f>
        <v>PC-VKS</v>
      </c>
      <c r="D195" s="2" t="e">
        <f ca="1">IF(C195="","",_xludf.XLOOKUP(C195,'01_Products'!A:A,'01_Products'!B:B,"Missing Product"))</f>
        <v>#NAME?</v>
      </c>
      <c r="E195" s="2" t="e">
        <f ca="1">IF(C195="","",_xludf.XLOOKUP(C195,'01_Products'!A:A,'01_Products'!C:C,"Missing Type"))</f>
        <v>#NAME?</v>
      </c>
      <c r="F195" s="2" t="e">
        <f ca="1">IF(B195="","",_xludf.XLOOKUP(B195,'02_Features'!A:A,'02_Features'!C:C,"Missing Feature"))</f>
        <v>#NAME?</v>
      </c>
      <c r="G195" s="2" t="e">
        <f ca="1">IF(B195="","",_xludf.XLOOKUP(B195,'02_Features'!A:A,'02_Features'!E:E,"Missing Prompt"))</f>
        <v>#NAME?</v>
      </c>
      <c r="H195" s="2" t="str">
        <f>IF('03_Functionalities'!D195="","",'03_Functionalities'!D195)</f>
        <v>Load balancer service integration</v>
      </c>
      <c r="I195" s="2" t="str">
        <f>IF('03_Functionalities'!E195="","",'03_Functionalities'!E195)</f>
        <v>Major functionality for load balancer service integration.</v>
      </c>
      <c r="J195" s="2" t="str">
        <f>IF('03_Functionalities'!F195="","",'03_Functionalities'!F195)</f>
        <v>Includes major assessment behavior for load balancer service integration in the context of kubernetes networking and ingress/load-balancer integration.</v>
      </c>
      <c r="K195" s="2" t="str">
        <f>IF('03_Functionalities'!G195="","",'03_Functionalities'!G195)</f>
        <v>Excludes low-level configuration toggles, cosmetic UI behavior, and implementation-specific inventory minutiae unless they materially affect parity or risk.</v>
      </c>
      <c r="L195" s="2" t="str">
        <f>IF('03_Functionalities'!I195="","",'03_Functionalities'!I195)</f>
        <v>Application Platform</v>
      </c>
      <c r="M195" s="2" t="str">
        <f>IF('03_Functionalities'!J195="","",'03_Functionalities'!J195)</f>
        <v>Ingress</v>
      </c>
      <c r="N195" s="2" t="str">
        <f>IF('03_Functionalities'!K195="","",'03_Functionalities'!K195)</f>
        <v>High</v>
      </c>
      <c r="O195" s="2" t="str">
        <f>IF('03_Functionalities'!L195="","",'03_Functionalities'!L195)</f>
        <v>High</v>
      </c>
      <c r="P195" s="2" t="str">
        <f>IF('03_Functionalities'!M195="","",'03_Functionalities'!M195)</f>
        <v>Official vendor documentation, release notes, validated KB/article, product guide, or architecture reference with version applicability.</v>
      </c>
      <c r="Q195" s="2" t="str">
        <f>IF('03_Functionalities'!N195="","",'03_Functionalities'!N195)</f>
        <v>VCF 9.1 Kubernetes networking and ingress/load-balancer integration Load balancer service integration comparator parity evidence</v>
      </c>
      <c r="R195" s="2" t="str">
        <f>IF('03_Functionalities'!O195="","",'03_Functionalities'!O195)</f>
        <v>Yes</v>
      </c>
      <c r="S195" s="2" t="e">
        <f ca="1">IF(C195="","",_xludf.XLOOKUP(C195,'01_Products'!A:A,'01_Products'!K:K,0))</f>
        <v>#NAME?</v>
      </c>
      <c r="T195" s="2" t="e">
        <f ca="1">IF(B195="","",_xludf.XLOOKUP(B195,'02_Features'!A:A,'02_Features'!L:L,0))</f>
        <v>#NAME?</v>
      </c>
      <c r="U195" s="2">
        <f>IF('03_Functionalities'!P195="","",'03_Functionalities'!P195)</f>
        <v>2</v>
      </c>
      <c r="V195" s="2" t="str">
        <f>IF('03_Functionalities'!Q195="","",'03_Functionalities'!Q195)</f>
        <v>Draft</v>
      </c>
      <c r="W195" s="2" t="str">
        <f>IF('03_Functionalities'!R195="","",'03_Functionalities'!R195)</f>
        <v>https://techdocs.broadcom.com/us/en/vmware-security-load-balancing/avi-load-balancer/avi-load-balancer-vmware-cloud-foundation/9-1.html</v>
      </c>
      <c r="X195" s="2" t="str">
        <f>IF('03_Functionalities'!S195="","",'03_Functionalities'!S195)</f>
        <v>High</v>
      </c>
    </row>
    <row r="196" spans="1:24" ht="57">
      <c r="A196" s="2" t="str">
        <f>IF('03_Functionalities'!A196="","",'03_Functionalities'!A196)</f>
        <v>FN-VKS-06-03</v>
      </c>
      <c r="B196" s="2" t="str">
        <f>IF('03_Functionalities'!B196="","",'03_Functionalities'!B196)</f>
        <v>FT-VKS-06</v>
      </c>
      <c r="C196" s="2" t="str">
        <f>IF('03_Functionalities'!C196="","",'03_Functionalities'!C196)</f>
        <v>PC-VKS</v>
      </c>
      <c r="D196" s="2" t="e">
        <f ca="1">IF(C196="","",_xludf.XLOOKUP(C196,'01_Products'!A:A,'01_Products'!B:B,"Missing Product"))</f>
        <v>#NAME?</v>
      </c>
      <c r="E196" s="2" t="e">
        <f ca="1">IF(C196="","",_xludf.XLOOKUP(C196,'01_Products'!A:A,'01_Products'!C:C,"Missing Type"))</f>
        <v>#NAME?</v>
      </c>
      <c r="F196" s="2" t="e">
        <f ca="1">IF(B196="","",_xludf.XLOOKUP(B196,'02_Features'!A:A,'02_Features'!C:C,"Missing Feature"))</f>
        <v>#NAME?</v>
      </c>
      <c r="G196" s="2" t="e">
        <f ca="1">IF(B196="","",_xludf.XLOOKUP(B196,'02_Features'!A:A,'02_Features'!E:E,"Missing Prompt"))</f>
        <v>#NAME?</v>
      </c>
      <c r="H196" s="2" t="str">
        <f>IF('03_Functionalities'!D196="","",'03_Functionalities'!D196)</f>
        <v>Kubernetes network policy/service exposure</v>
      </c>
      <c r="I196" s="2" t="str">
        <f>IF('03_Functionalities'!E196="","",'03_Functionalities'!E196)</f>
        <v>Major functionality for kubernetes network policy/service exposure.</v>
      </c>
      <c r="J196" s="2" t="str">
        <f>IF('03_Functionalities'!F196="","",'03_Functionalities'!F196)</f>
        <v>Includes major assessment behavior for kubernetes network policy/service exposure in the context of kubernetes networking and ingress/load-balancer integration.</v>
      </c>
      <c r="K196" s="2" t="str">
        <f>IF('03_Functionalities'!G196="","",'03_Functionalities'!G196)</f>
        <v>Excludes low-level configuration toggles, cosmetic UI behavior, and implementation-specific inventory minutiae unless they materially affect parity or risk.</v>
      </c>
      <c r="L196" s="2" t="str">
        <f>IF('03_Functionalities'!I196="","",'03_Functionalities'!I196)</f>
        <v>Application Platform</v>
      </c>
      <c r="M196" s="2" t="str">
        <f>IF('03_Functionalities'!J196="","",'03_Functionalities'!J196)</f>
        <v>Ingress</v>
      </c>
      <c r="N196" s="2" t="str">
        <f>IF('03_Functionalities'!K196="","",'03_Functionalities'!K196)</f>
        <v>High</v>
      </c>
      <c r="O196" s="2" t="str">
        <f>IF('03_Functionalities'!L196="","",'03_Functionalities'!L196)</f>
        <v>High</v>
      </c>
      <c r="P196" s="2" t="str">
        <f>IF('03_Functionalities'!M196="","",'03_Functionalities'!M196)</f>
        <v>Official vendor documentation, release notes, validated KB/article, product guide, or architecture reference with version applicability.</v>
      </c>
      <c r="Q196" s="2" t="str">
        <f>IF('03_Functionalities'!N196="","",'03_Functionalities'!N196)</f>
        <v>VCF 9.1 Kubernetes networking and ingress/load-balancer integration Kubernetes network policy/service exposure comparator parity evidence</v>
      </c>
      <c r="R196" s="2" t="str">
        <f>IF('03_Functionalities'!O196="","",'03_Functionalities'!O196)</f>
        <v>Yes</v>
      </c>
      <c r="S196" s="2" t="e">
        <f ca="1">IF(C196="","",_xludf.XLOOKUP(C196,'01_Products'!A:A,'01_Products'!K:K,0))</f>
        <v>#NAME?</v>
      </c>
      <c r="T196" s="2" t="e">
        <f ca="1">IF(B196="","",_xludf.XLOOKUP(B196,'02_Features'!A:A,'02_Features'!L:L,0))</f>
        <v>#NAME?</v>
      </c>
      <c r="U196" s="2">
        <f>IF('03_Functionalities'!P196="","",'03_Functionalities'!P196)</f>
        <v>3</v>
      </c>
      <c r="V196" s="2" t="str">
        <f>IF('03_Functionalities'!Q196="","",'03_Functionalities'!Q196)</f>
        <v>Draft</v>
      </c>
      <c r="W196" s="2" t="str">
        <f>IF('03_Functionalities'!R196="","",'03_Functionalities'!R196)</f>
        <v>https://techdocs.broadcom.com/us/en/vmware-security-load-balancing/avi-load-balancer/avi-load-balancer-vmware-cloud-foundation/9-1.html</v>
      </c>
      <c r="X196" s="2" t="str">
        <f>IF('03_Functionalities'!S196="","",'03_Functionalities'!S196)</f>
        <v>High</v>
      </c>
    </row>
    <row r="197" spans="1:24" ht="57">
      <c r="A197" s="2" t="str">
        <f>IF('03_Functionalities'!A197="","",'03_Functionalities'!A197)</f>
        <v>FN-VKS-07-01</v>
      </c>
      <c r="B197" s="2" t="str">
        <f>IF('03_Functionalities'!B197="","",'03_Functionalities'!B197)</f>
        <v>FT-VKS-07</v>
      </c>
      <c r="C197" s="2" t="str">
        <f>IF('03_Functionalities'!C197="","",'03_Functionalities'!C197)</f>
        <v>PC-VKS</v>
      </c>
      <c r="D197" s="2" t="e">
        <f ca="1">IF(C197="","",_xludf.XLOOKUP(C197,'01_Products'!A:A,'01_Products'!B:B,"Missing Product"))</f>
        <v>#NAME?</v>
      </c>
      <c r="E197" s="2" t="e">
        <f ca="1">IF(C197="","",_xludf.XLOOKUP(C197,'01_Products'!A:A,'01_Products'!C:C,"Missing Type"))</f>
        <v>#NAME?</v>
      </c>
      <c r="F197" s="2" t="e">
        <f ca="1">IF(B197="","",_xludf.XLOOKUP(B197,'02_Features'!A:A,'02_Features'!C:C,"Missing Feature"))</f>
        <v>#NAME?</v>
      </c>
      <c r="G197" s="2" t="e">
        <f ca="1">IF(B197="","",_xludf.XLOOKUP(B197,'02_Features'!A:A,'02_Features'!E:E,"Missing Prompt"))</f>
        <v>#NAME?</v>
      </c>
      <c r="H197" s="2" t="str">
        <f>IF('03_Functionalities'!D197="","",'03_Functionalities'!D197)</f>
        <v>Persistent volume provisioning</v>
      </c>
      <c r="I197" s="2" t="str">
        <f>IF('03_Functionalities'!E197="","",'03_Functionalities'!E197)</f>
        <v>Major functionality for persistent volume provisioning.</v>
      </c>
      <c r="J197" s="2" t="str">
        <f>IF('03_Functionalities'!F197="","",'03_Functionalities'!F197)</f>
        <v>Includes major assessment behavior for persistent volume provisioning in the context of persistent storage and data services integration.</v>
      </c>
      <c r="K197" s="2" t="str">
        <f>IF('03_Functionalities'!G197="","",'03_Functionalities'!G197)</f>
        <v>Excludes low-level configuration toggles, cosmetic UI behavior, and implementation-specific inventory minutiae unless they materially affect parity or risk.</v>
      </c>
      <c r="L197" s="2" t="str">
        <f>IF('03_Functionalities'!I197="","",'03_Functionalities'!I197)</f>
        <v>Application Platform</v>
      </c>
      <c r="M197" s="2" t="str">
        <f>IF('03_Functionalities'!J197="","",'03_Functionalities'!J197)</f>
        <v>Data Services</v>
      </c>
      <c r="N197" s="2" t="str">
        <f>IF('03_Functionalities'!K197="","",'03_Functionalities'!K197)</f>
        <v>High</v>
      </c>
      <c r="O197" s="2" t="str">
        <f>IF('03_Functionalities'!L197="","",'03_Functionalities'!L197)</f>
        <v>High</v>
      </c>
      <c r="P197" s="2" t="str">
        <f>IF('03_Functionalities'!M197="","",'03_Functionalities'!M197)</f>
        <v>Official vendor documentation, release notes, validated KB/article, product guide, or architecture reference with version applicability.</v>
      </c>
      <c r="Q197" s="2" t="str">
        <f>IF('03_Functionalities'!N197="","",'03_Functionalities'!N197)</f>
        <v>VCF 9.1 Persistent storage and data services integration Persistent volume provisioning comparator parity evidence</v>
      </c>
      <c r="R197" s="2" t="str">
        <f>IF('03_Functionalities'!O197="","",'03_Functionalities'!O197)</f>
        <v>Yes</v>
      </c>
      <c r="S197" s="2" t="e">
        <f ca="1">IF(C197="","",_xludf.XLOOKUP(C197,'01_Products'!A:A,'01_Products'!K:K,0))</f>
        <v>#NAME?</v>
      </c>
      <c r="T197" s="2" t="e">
        <f ca="1">IF(B197="","",_xludf.XLOOKUP(B197,'02_Features'!A:A,'02_Features'!L:L,0))</f>
        <v>#NAME?</v>
      </c>
      <c r="U197" s="2">
        <f>IF('03_Functionalities'!P197="","",'03_Functionalities'!P197)</f>
        <v>1</v>
      </c>
      <c r="V197" s="2" t="str">
        <f>IF('03_Functionalities'!Q197="","",'03_Functionalities'!Q197)</f>
        <v>Draft</v>
      </c>
      <c r="W197" s="2" t="str">
        <f>IF('03_Functionalities'!R197="","",'03_Functionalities'!R197)</f>
        <v>https://www.vmware.com/docs/vmware-cloud-foundation-9-1-feature-comparison-and-upgrade-paths</v>
      </c>
      <c r="X197" s="2" t="str">
        <f>IF('03_Functionalities'!S197="","",'03_Functionalities'!S197)</f>
        <v>High</v>
      </c>
    </row>
    <row r="198" spans="1:24" ht="57">
      <c r="A198" s="2" t="str">
        <f>IF('03_Functionalities'!A198="","",'03_Functionalities'!A198)</f>
        <v>FN-VKS-07-02</v>
      </c>
      <c r="B198" s="2" t="str">
        <f>IF('03_Functionalities'!B198="","",'03_Functionalities'!B198)</f>
        <v>FT-VKS-07</v>
      </c>
      <c r="C198" s="2" t="str">
        <f>IF('03_Functionalities'!C198="","",'03_Functionalities'!C198)</f>
        <v>PC-VKS</v>
      </c>
      <c r="D198" s="2" t="e">
        <f ca="1">IF(C198="","",_xludf.XLOOKUP(C198,'01_Products'!A:A,'01_Products'!B:B,"Missing Product"))</f>
        <v>#NAME?</v>
      </c>
      <c r="E198" s="2" t="e">
        <f ca="1">IF(C198="","",_xludf.XLOOKUP(C198,'01_Products'!A:A,'01_Products'!C:C,"Missing Type"))</f>
        <v>#NAME?</v>
      </c>
      <c r="F198" s="2" t="e">
        <f ca="1">IF(B198="","",_xludf.XLOOKUP(B198,'02_Features'!A:A,'02_Features'!C:C,"Missing Feature"))</f>
        <v>#NAME?</v>
      </c>
      <c r="G198" s="2" t="e">
        <f ca="1">IF(B198="","",_xludf.XLOOKUP(B198,'02_Features'!A:A,'02_Features'!E:E,"Missing Prompt"))</f>
        <v>#NAME?</v>
      </c>
      <c r="H198" s="2" t="str">
        <f>IF('03_Functionalities'!D198="","",'03_Functionalities'!D198)</f>
        <v>Storage class and policy integration</v>
      </c>
      <c r="I198" s="2" t="str">
        <f>IF('03_Functionalities'!E198="","",'03_Functionalities'!E198)</f>
        <v>Major functionality for storage class and policy integration.</v>
      </c>
      <c r="J198" s="2" t="str">
        <f>IF('03_Functionalities'!F198="","",'03_Functionalities'!F198)</f>
        <v>Includes major assessment behavior for storage class and policy integration in the context of persistent storage and data services integration.</v>
      </c>
      <c r="K198" s="2" t="str">
        <f>IF('03_Functionalities'!G198="","",'03_Functionalities'!G198)</f>
        <v>Excludes low-level configuration toggles, cosmetic UI behavior, and implementation-specific inventory minutiae unless they materially affect parity or risk.</v>
      </c>
      <c r="L198" s="2" t="str">
        <f>IF('03_Functionalities'!I198="","",'03_Functionalities'!I198)</f>
        <v>Application Platform</v>
      </c>
      <c r="M198" s="2" t="str">
        <f>IF('03_Functionalities'!J198="","",'03_Functionalities'!J198)</f>
        <v>Data Services</v>
      </c>
      <c r="N198" s="2" t="str">
        <f>IF('03_Functionalities'!K198="","",'03_Functionalities'!K198)</f>
        <v>High</v>
      </c>
      <c r="O198" s="2" t="str">
        <f>IF('03_Functionalities'!L198="","",'03_Functionalities'!L198)</f>
        <v>High</v>
      </c>
      <c r="P198" s="2" t="str">
        <f>IF('03_Functionalities'!M198="","",'03_Functionalities'!M198)</f>
        <v>Official vendor documentation, release notes, validated KB/article, product guide, or architecture reference with version applicability.</v>
      </c>
      <c r="Q198" s="2" t="str">
        <f>IF('03_Functionalities'!N198="","",'03_Functionalities'!N198)</f>
        <v>VCF 9.1 Persistent storage and data services integration Storage class and policy integration comparator parity evidence</v>
      </c>
      <c r="R198" s="2" t="str">
        <f>IF('03_Functionalities'!O198="","",'03_Functionalities'!O198)</f>
        <v>Yes</v>
      </c>
      <c r="S198" s="2" t="e">
        <f ca="1">IF(C198="","",_xludf.XLOOKUP(C198,'01_Products'!A:A,'01_Products'!K:K,0))</f>
        <v>#NAME?</v>
      </c>
      <c r="T198" s="2" t="e">
        <f ca="1">IF(B198="","",_xludf.XLOOKUP(B198,'02_Features'!A:A,'02_Features'!L:L,0))</f>
        <v>#NAME?</v>
      </c>
      <c r="U198" s="2">
        <f>IF('03_Functionalities'!P198="","",'03_Functionalities'!P198)</f>
        <v>2</v>
      </c>
      <c r="V198" s="2" t="str">
        <f>IF('03_Functionalities'!Q198="","",'03_Functionalities'!Q198)</f>
        <v>Draft</v>
      </c>
      <c r="W198" s="2" t="str">
        <f>IF('03_Functionalities'!R198="","",'03_Functionalities'!R198)</f>
        <v>https://www.vmware.com/docs/vmware-cloud-foundation-9-1-feature-comparison-and-upgrade-paths</v>
      </c>
      <c r="X198" s="2" t="str">
        <f>IF('03_Functionalities'!S198="","",'03_Functionalities'!S198)</f>
        <v>High</v>
      </c>
    </row>
    <row r="199" spans="1:24" ht="57">
      <c r="A199" s="2" t="str">
        <f>IF('03_Functionalities'!A199="","",'03_Functionalities'!A199)</f>
        <v>FN-VKS-07-03</v>
      </c>
      <c r="B199" s="2" t="str">
        <f>IF('03_Functionalities'!B199="","",'03_Functionalities'!B199)</f>
        <v>FT-VKS-07</v>
      </c>
      <c r="C199" s="2" t="str">
        <f>IF('03_Functionalities'!C199="","",'03_Functionalities'!C199)</f>
        <v>PC-VKS</v>
      </c>
      <c r="D199" s="2" t="e">
        <f ca="1">IF(C199="","",_xludf.XLOOKUP(C199,'01_Products'!A:A,'01_Products'!B:B,"Missing Product"))</f>
        <v>#NAME?</v>
      </c>
      <c r="E199" s="2" t="e">
        <f ca="1">IF(C199="","",_xludf.XLOOKUP(C199,'01_Products'!A:A,'01_Products'!C:C,"Missing Type"))</f>
        <v>#NAME?</v>
      </c>
      <c r="F199" s="2" t="e">
        <f ca="1">IF(B199="","",_xludf.XLOOKUP(B199,'02_Features'!A:A,'02_Features'!C:C,"Missing Feature"))</f>
        <v>#NAME?</v>
      </c>
      <c r="G199" s="2" t="e">
        <f ca="1">IF(B199="","",_xludf.XLOOKUP(B199,'02_Features'!A:A,'02_Features'!E:E,"Missing Prompt"))</f>
        <v>#NAME?</v>
      </c>
      <c r="H199" s="2" t="str">
        <f>IF('03_Functionalities'!D199="","",'03_Functionalities'!D199)</f>
        <v>Data services/DSM integration</v>
      </c>
      <c r="I199" s="2" t="str">
        <f>IF('03_Functionalities'!E199="","",'03_Functionalities'!E199)</f>
        <v>Major functionality for data services/dsm integration.</v>
      </c>
      <c r="J199" s="2" t="str">
        <f>IF('03_Functionalities'!F199="","",'03_Functionalities'!F199)</f>
        <v>Includes major assessment behavior for data services/dsm integration in the context of persistent storage and data services integration.</v>
      </c>
      <c r="K199" s="2" t="str">
        <f>IF('03_Functionalities'!G199="","",'03_Functionalities'!G199)</f>
        <v>Excludes low-level configuration toggles, cosmetic UI behavior, and implementation-specific inventory minutiae unless they materially affect parity or risk.</v>
      </c>
      <c r="L199" s="2" t="str">
        <f>IF('03_Functionalities'!I199="","",'03_Functionalities'!I199)</f>
        <v>Application Platform</v>
      </c>
      <c r="M199" s="2" t="str">
        <f>IF('03_Functionalities'!J199="","",'03_Functionalities'!J199)</f>
        <v>Data Services</v>
      </c>
      <c r="N199" s="2" t="str">
        <f>IF('03_Functionalities'!K199="","",'03_Functionalities'!K199)</f>
        <v>High</v>
      </c>
      <c r="O199" s="2" t="str">
        <f>IF('03_Functionalities'!L199="","",'03_Functionalities'!L199)</f>
        <v>High</v>
      </c>
      <c r="P199" s="2" t="str">
        <f>IF('03_Functionalities'!M199="","",'03_Functionalities'!M199)</f>
        <v>Official vendor documentation, release notes, validated KB/article, product guide, or architecture reference with version applicability.</v>
      </c>
      <c r="Q199" s="2" t="str">
        <f>IF('03_Functionalities'!N199="","",'03_Functionalities'!N199)</f>
        <v>VCF 9.1 Persistent storage and data services integration Data services/DSM integration comparator parity evidence</v>
      </c>
      <c r="R199" s="2" t="str">
        <f>IF('03_Functionalities'!O199="","",'03_Functionalities'!O199)</f>
        <v>Yes</v>
      </c>
      <c r="S199" s="2" t="e">
        <f ca="1">IF(C199="","",_xludf.XLOOKUP(C199,'01_Products'!A:A,'01_Products'!K:K,0))</f>
        <v>#NAME?</v>
      </c>
      <c r="T199" s="2" t="e">
        <f ca="1">IF(B199="","",_xludf.XLOOKUP(B199,'02_Features'!A:A,'02_Features'!L:L,0))</f>
        <v>#NAME?</v>
      </c>
      <c r="U199" s="2">
        <f>IF('03_Functionalities'!P199="","",'03_Functionalities'!P199)</f>
        <v>3</v>
      </c>
      <c r="V199" s="2" t="str">
        <f>IF('03_Functionalities'!Q199="","",'03_Functionalities'!Q199)</f>
        <v>Draft</v>
      </c>
      <c r="W199" s="2" t="str">
        <f>IF('03_Functionalities'!R199="","",'03_Functionalities'!R199)</f>
        <v>https://www.vmware.com/docs/vmware-cloud-foundation-9-1-feature-comparison-and-upgrade-paths</v>
      </c>
      <c r="X199" s="2" t="str">
        <f>IF('03_Functionalities'!S199="","",'03_Functionalities'!S199)</f>
        <v>High</v>
      </c>
    </row>
    <row r="200" spans="1:24" ht="71.25">
      <c r="A200" s="2" t="str">
        <f>IF('03_Functionalities'!A200="","",'03_Functionalities'!A200)</f>
        <v>FN-MOBILITY-01-01</v>
      </c>
      <c r="B200" s="2" t="str">
        <f>IF('03_Functionalities'!B200="","",'03_Functionalities'!B200)</f>
        <v>FT-MOBILITY-01</v>
      </c>
      <c r="C200" s="2" t="str">
        <f>IF('03_Functionalities'!C200="","",'03_Functionalities'!C200)</f>
        <v>PC-MOBILITY</v>
      </c>
      <c r="D200" s="2" t="e">
        <f ca="1">IF(C200="","",_xludf.XLOOKUP(C200,'01_Products'!A:A,'01_Products'!B:B,"Missing Product"))</f>
        <v>#NAME?</v>
      </c>
      <c r="E200" s="2" t="e">
        <f ca="1">IF(C200="","",_xludf.XLOOKUP(C200,'01_Products'!A:A,'01_Products'!C:C,"Missing Type"))</f>
        <v>#NAME?</v>
      </c>
      <c r="F200" s="2" t="e">
        <f ca="1">IF(B200="","",_xludf.XLOOKUP(B200,'02_Features'!A:A,'02_Features'!C:C,"Missing Feature"))</f>
        <v>#NAME?</v>
      </c>
      <c r="G200" s="2" t="e">
        <f ca="1">IF(B200="","",_xludf.XLOOKUP(B200,'02_Features'!A:A,'02_Features'!E:E,"Missing Prompt"))</f>
        <v>#NAME?</v>
      </c>
      <c r="H200" s="2" t="str">
        <f>IF('03_Functionalities'!D200="","",'03_Functionalities'!D200)</f>
        <v>HCX component deployment</v>
      </c>
      <c r="I200" s="2" t="str">
        <f>IF('03_Functionalities'!E200="","",'03_Functionalities'!E200)</f>
        <v>Major functionality for hcx component deployment.</v>
      </c>
      <c r="J200" s="2" t="str">
        <f>IF('03_Functionalities'!F200="","",'03_Functionalities'!F200)</f>
        <v>Includes major assessment behavior for hcx component deployment in the context of hcx deployment and lifecycle.</v>
      </c>
      <c r="K200" s="2" t="str">
        <f>IF('03_Functionalities'!G200="","",'03_Functionalities'!G200)</f>
        <v>Excludes low-level configuration toggles, cosmetic UI behavior, and implementation-specific inventory minutiae unless they materially affect parity or risk.</v>
      </c>
      <c r="L200" s="2" t="str">
        <f>IF('03_Functionalities'!I200="","",'03_Functionalities'!I200)</f>
        <v>Migration</v>
      </c>
      <c r="M200" s="2" t="str">
        <f>IF('03_Functionalities'!J200="","",'03_Functionalities'!J200)</f>
        <v>HCX Lifecycle</v>
      </c>
      <c r="N200" s="2" t="str">
        <f>IF('03_Functionalities'!K200="","",'03_Functionalities'!K200)</f>
        <v>High</v>
      </c>
      <c r="O200" s="2" t="str">
        <f>IF('03_Functionalities'!L200="","",'03_Functionalities'!L200)</f>
        <v>Medium</v>
      </c>
      <c r="P200" s="2" t="str">
        <f>IF('03_Functionalities'!M200="","",'03_Functionalities'!M200)</f>
        <v>Official vendor documentation, release notes, validated KB/article, product guide, or architecture reference with version applicability.</v>
      </c>
      <c r="Q200" s="2" t="str">
        <f>IF('03_Functionalities'!N200="","",'03_Functionalities'!N200)</f>
        <v>VCF 9.1 HCX deployment and lifecycle HCX component deployment comparator parity evidence</v>
      </c>
      <c r="R200" s="2" t="str">
        <f>IF('03_Functionalities'!O200="","",'03_Functionalities'!O200)</f>
        <v>Yes</v>
      </c>
      <c r="S200" s="2" t="e">
        <f ca="1">IF(C200="","",_xludf.XLOOKUP(C200,'01_Products'!A:A,'01_Products'!K:K,0))</f>
        <v>#NAME?</v>
      </c>
      <c r="T200" s="2" t="e">
        <f ca="1">IF(B200="","",_xludf.XLOOKUP(B200,'02_Features'!A:A,'02_Features'!L:L,0))</f>
        <v>#NAME?</v>
      </c>
      <c r="U200" s="2">
        <f>IF('03_Functionalities'!P200="","",'03_Functionalities'!P200)</f>
        <v>1</v>
      </c>
      <c r="V200" s="2" t="str">
        <f>IF('03_Functionalities'!Q200="","",'03_Functionalities'!Q200)</f>
        <v>Draft</v>
      </c>
      <c r="W200" s="2" t="str">
        <f>IF('03_Functionalities'!R200="","",'03_Functionalities'!R200)</f>
        <v>https://techdocs.broadcom.com/us/en/vmware-cis/vcf/vcf-9-0-and-later/9-1/release-notes/vmware-cloud-foundation-9-1-0-0-release-notes/vmware-cloud-foundation-bill-of-materials.html</v>
      </c>
      <c r="X200" s="2" t="str">
        <f>IF('03_Functionalities'!S200="","",'03_Functionalities'!S200)</f>
        <v>High</v>
      </c>
    </row>
    <row r="201" spans="1:24" ht="71.25">
      <c r="A201" s="2" t="str">
        <f>IF('03_Functionalities'!A201="","",'03_Functionalities'!A201)</f>
        <v>FN-MOBILITY-01-02</v>
      </c>
      <c r="B201" s="2" t="str">
        <f>IF('03_Functionalities'!B201="","",'03_Functionalities'!B201)</f>
        <v>FT-MOBILITY-01</v>
      </c>
      <c r="C201" s="2" t="str">
        <f>IF('03_Functionalities'!C201="","",'03_Functionalities'!C201)</f>
        <v>PC-MOBILITY</v>
      </c>
      <c r="D201" s="2" t="e">
        <f ca="1">IF(C201="","",_xludf.XLOOKUP(C201,'01_Products'!A:A,'01_Products'!B:B,"Missing Product"))</f>
        <v>#NAME?</v>
      </c>
      <c r="E201" s="2" t="e">
        <f ca="1">IF(C201="","",_xludf.XLOOKUP(C201,'01_Products'!A:A,'01_Products'!C:C,"Missing Type"))</f>
        <v>#NAME?</v>
      </c>
      <c r="F201" s="2" t="e">
        <f ca="1">IF(B201="","",_xludf.XLOOKUP(B201,'02_Features'!A:A,'02_Features'!C:C,"Missing Feature"))</f>
        <v>#NAME?</v>
      </c>
      <c r="G201" s="2" t="e">
        <f ca="1">IF(B201="","",_xludf.XLOOKUP(B201,'02_Features'!A:A,'02_Features'!E:E,"Missing Prompt"))</f>
        <v>#NAME?</v>
      </c>
      <c r="H201" s="2" t="str">
        <f>IF('03_Functionalities'!D201="","",'03_Functionalities'!D201)</f>
        <v>HCX lifecycle management</v>
      </c>
      <c r="I201" s="2" t="str">
        <f>IF('03_Functionalities'!E201="","",'03_Functionalities'!E201)</f>
        <v>Major functionality for hcx lifecycle management.</v>
      </c>
      <c r="J201" s="2" t="str">
        <f>IF('03_Functionalities'!F201="","",'03_Functionalities'!F201)</f>
        <v>Includes major assessment behavior for hcx lifecycle management in the context of hcx deployment and lifecycle.</v>
      </c>
      <c r="K201" s="2" t="str">
        <f>IF('03_Functionalities'!G201="","",'03_Functionalities'!G201)</f>
        <v>Excludes low-level configuration toggles, cosmetic UI behavior, and implementation-specific inventory minutiae unless they materially affect parity or risk.</v>
      </c>
      <c r="L201" s="2" t="str">
        <f>IF('03_Functionalities'!I201="","",'03_Functionalities'!I201)</f>
        <v>Migration</v>
      </c>
      <c r="M201" s="2" t="str">
        <f>IF('03_Functionalities'!J201="","",'03_Functionalities'!J201)</f>
        <v>HCX Lifecycle</v>
      </c>
      <c r="N201" s="2" t="str">
        <f>IF('03_Functionalities'!K201="","",'03_Functionalities'!K201)</f>
        <v>High</v>
      </c>
      <c r="O201" s="2" t="str">
        <f>IF('03_Functionalities'!L201="","",'03_Functionalities'!L201)</f>
        <v>Medium</v>
      </c>
      <c r="P201" s="2" t="str">
        <f>IF('03_Functionalities'!M201="","",'03_Functionalities'!M201)</f>
        <v>Official vendor documentation, release notes, validated KB/article, product guide, or architecture reference with version applicability.</v>
      </c>
      <c r="Q201" s="2" t="str">
        <f>IF('03_Functionalities'!N201="","",'03_Functionalities'!N201)</f>
        <v>VCF 9.1 HCX deployment and lifecycle HCX lifecycle management comparator parity evidence</v>
      </c>
      <c r="R201" s="2" t="str">
        <f>IF('03_Functionalities'!O201="","",'03_Functionalities'!O201)</f>
        <v>Yes</v>
      </c>
      <c r="S201" s="2" t="e">
        <f ca="1">IF(C201="","",_xludf.XLOOKUP(C201,'01_Products'!A:A,'01_Products'!K:K,0))</f>
        <v>#NAME?</v>
      </c>
      <c r="T201" s="2" t="e">
        <f ca="1">IF(B201="","",_xludf.XLOOKUP(B201,'02_Features'!A:A,'02_Features'!L:L,0))</f>
        <v>#NAME?</v>
      </c>
      <c r="U201" s="2">
        <f>IF('03_Functionalities'!P201="","",'03_Functionalities'!P201)</f>
        <v>2</v>
      </c>
      <c r="V201" s="2" t="str">
        <f>IF('03_Functionalities'!Q201="","",'03_Functionalities'!Q201)</f>
        <v>Draft</v>
      </c>
      <c r="W201" s="2" t="str">
        <f>IF('03_Functionalities'!R201="","",'03_Functionalities'!R201)</f>
        <v>https://techdocs.broadcom.com/us/en/vmware-cis/vcf/vcf-9-0-and-later/9-1/release-notes/vmware-cloud-foundation-9-1-0-0-release-notes/vmware-cloud-foundation-bill-of-materials.html</v>
      </c>
      <c r="X201" s="2" t="str">
        <f>IF('03_Functionalities'!S201="","",'03_Functionalities'!S201)</f>
        <v>High</v>
      </c>
    </row>
    <row r="202" spans="1:24" ht="71.25">
      <c r="A202" s="2" t="str">
        <f>IF('03_Functionalities'!A202="","",'03_Functionalities'!A202)</f>
        <v>FN-MOBILITY-01-03</v>
      </c>
      <c r="B202" s="2" t="str">
        <f>IF('03_Functionalities'!B202="","",'03_Functionalities'!B202)</f>
        <v>FT-MOBILITY-01</v>
      </c>
      <c r="C202" s="2" t="str">
        <f>IF('03_Functionalities'!C202="","",'03_Functionalities'!C202)</f>
        <v>PC-MOBILITY</v>
      </c>
      <c r="D202" s="2" t="e">
        <f ca="1">IF(C202="","",_xludf.XLOOKUP(C202,'01_Products'!A:A,'01_Products'!B:B,"Missing Product"))</f>
        <v>#NAME?</v>
      </c>
      <c r="E202" s="2" t="e">
        <f ca="1">IF(C202="","",_xludf.XLOOKUP(C202,'01_Products'!A:A,'01_Products'!C:C,"Missing Type"))</f>
        <v>#NAME?</v>
      </c>
      <c r="F202" s="2" t="e">
        <f ca="1">IF(B202="","",_xludf.XLOOKUP(B202,'02_Features'!A:A,'02_Features'!C:C,"Missing Feature"))</f>
        <v>#NAME?</v>
      </c>
      <c r="G202" s="2" t="e">
        <f ca="1">IF(B202="","",_xludf.XLOOKUP(B202,'02_Features'!A:A,'02_Features'!E:E,"Missing Prompt"))</f>
        <v>#NAME?</v>
      </c>
      <c r="H202" s="2" t="str">
        <f>IF('03_Functionalities'!D202="","",'03_Functionalities'!D202)</f>
        <v>HCX integration with VCF Operations</v>
      </c>
      <c r="I202" s="2" t="str">
        <f>IF('03_Functionalities'!E202="","",'03_Functionalities'!E202)</f>
        <v>Major functionality for hcx integration with vcf operations.</v>
      </c>
      <c r="J202" s="2" t="str">
        <f>IF('03_Functionalities'!F202="","",'03_Functionalities'!F202)</f>
        <v>Includes major assessment behavior for hcx integration with vcf operations in the context of hcx deployment and lifecycle.</v>
      </c>
      <c r="K202" s="2" t="str">
        <f>IF('03_Functionalities'!G202="","",'03_Functionalities'!G202)</f>
        <v>Excludes low-level configuration toggles, cosmetic UI behavior, and implementation-specific inventory minutiae unless they materially affect parity or risk.</v>
      </c>
      <c r="L202" s="2" t="str">
        <f>IF('03_Functionalities'!I202="","",'03_Functionalities'!I202)</f>
        <v>Migration</v>
      </c>
      <c r="M202" s="2" t="str">
        <f>IF('03_Functionalities'!J202="","",'03_Functionalities'!J202)</f>
        <v>HCX Lifecycle</v>
      </c>
      <c r="N202" s="2" t="str">
        <f>IF('03_Functionalities'!K202="","",'03_Functionalities'!K202)</f>
        <v>High</v>
      </c>
      <c r="O202" s="2" t="str">
        <f>IF('03_Functionalities'!L202="","",'03_Functionalities'!L202)</f>
        <v>Medium</v>
      </c>
      <c r="P202" s="2" t="str">
        <f>IF('03_Functionalities'!M202="","",'03_Functionalities'!M202)</f>
        <v>Official vendor documentation, release notes, validated KB/article, product guide, or architecture reference with version applicability.</v>
      </c>
      <c r="Q202" s="2" t="str">
        <f>IF('03_Functionalities'!N202="","",'03_Functionalities'!N202)</f>
        <v>VCF 9.1 HCX deployment and lifecycle HCX integration with VCF Operations comparator parity evidence</v>
      </c>
      <c r="R202" s="2" t="str">
        <f>IF('03_Functionalities'!O202="","",'03_Functionalities'!O202)</f>
        <v>Yes</v>
      </c>
      <c r="S202" s="2" t="e">
        <f ca="1">IF(C202="","",_xludf.XLOOKUP(C202,'01_Products'!A:A,'01_Products'!K:K,0))</f>
        <v>#NAME?</v>
      </c>
      <c r="T202" s="2" t="e">
        <f ca="1">IF(B202="","",_xludf.XLOOKUP(B202,'02_Features'!A:A,'02_Features'!L:L,0))</f>
        <v>#NAME?</v>
      </c>
      <c r="U202" s="2">
        <f>IF('03_Functionalities'!P202="","",'03_Functionalities'!P202)</f>
        <v>3</v>
      </c>
      <c r="V202" s="2" t="str">
        <f>IF('03_Functionalities'!Q202="","",'03_Functionalities'!Q202)</f>
        <v>Draft</v>
      </c>
      <c r="W202" s="2" t="str">
        <f>IF('03_Functionalities'!R202="","",'03_Functionalities'!R202)</f>
        <v>https://techdocs.broadcom.com/us/en/vmware-cis/vcf/vcf-9-0-and-later/9-1/release-notes/vmware-cloud-foundation-9-1-0-0-release-notes/vmware-cloud-foundation-bill-of-materials.html</v>
      </c>
      <c r="X202" s="2" t="str">
        <f>IF('03_Functionalities'!S202="","",'03_Functionalities'!S202)</f>
        <v>High</v>
      </c>
    </row>
    <row r="203" spans="1:24" ht="57">
      <c r="A203" s="2" t="str">
        <f>IF('03_Functionalities'!A203="","",'03_Functionalities'!A203)</f>
        <v>FN-MOBILITY-02-01</v>
      </c>
      <c r="B203" s="2" t="str">
        <f>IF('03_Functionalities'!B203="","",'03_Functionalities'!B203)</f>
        <v>FT-MOBILITY-02</v>
      </c>
      <c r="C203" s="2" t="str">
        <f>IF('03_Functionalities'!C203="","",'03_Functionalities'!C203)</f>
        <v>PC-MOBILITY</v>
      </c>
      <c r="D203" s="2" t="e">
        <f ca="1">IF(C203="","",_xludf.XLOOKUP(C203,'01_Products'!A:A,'01_Products'!B:B,"Missing Product"))</f>
        <v>#NAME?</v>
      </c>
      <c r="E203" s="2" t="e">
        <f ca="1">IF(C203="","",_xludf.XLOOKUP(C203,'01_Products'!A:A,'01_Products'!C:C,"Missing Type"))</f>
        <v>#NAME?</v>
      </c>
      <c r="F203" s="2" t="e">
        <f ca="1">IF(B203="","",_xludf.XLOOKUP(B203,'02_Features'!A:A,'02_Features'!C:C,"Missing Feature"))</f>
        <v>#NAME?</v>
      </c>
      <c r="G203" s="2" t="e">
        <f ca="1">IF(B203="","",_xludf.XLOOKUP(B203,'02_Features'!A:A,'02_Features'!E:E,"Missing Prompt"))</f>
        <v>#NAME?</v>
      </c>
      <c r="H203" s="2" t="str">
        <f>IF('03_Functionalities'!D203="","",'03_Functionalities'!D203)</f>
        <v>Bulk migration</v>
      </c>
      <c r="I203" s="2" t="str">
        <f>IF('03_Functionalities'!E203="","",'03_Functionalities'!E203)</f>
        <v>Major functionality for bulk migration.</v>
      </c>
      <c r="J203" s="2" t="str">
        <f>IF('03_Functionalities'!F203="","",'03_Functionalities'!F203)</f>
        <v>Includes major assessment behavior for bulk migration in the context of workload migration services.</v>
      </c>
      <c r="K203" s="2" t="str">
        <f>IF('03_Functionalities'!G203="","",'03_Functionalities'!G203)</f>
        <v>Excludes low-level configuration toggles, cosmetic UI behavior, and implementation-specific inventory minutiae unless they materially affect parity or risk.</v>
      </c>
      <c r="L203" s="2" t="str">
        <f>IF('03_Functionalities'!I203="","",'03_Functionalities'!I203)</f>
        <v>Migration</v>
      </c>
      <c r="M203" s="2" t="str">
        <f>IF('03_Functionalities'!J203="","",'03_Functionalities'!J203)</f>
        <v>Workload Migration</v>
      </c>
      <c r="N203" s="2" t="str">
        <f>IF('03_Functionalities'!K203="","",'03_Functionalities'!K203)</f>
        <v>Critical</v>
      </c>
      <c r="O203" s="2" t="str">
        <f>IF('03_Functionalities'!L203="","",'03_Functionalities'!L203)</f>
        <v>Medium</v>
      </c>
      <c r="P203" s="2" t="str">
        <f>IF('03_Functionalities'!M203="","",'03_Functionalities'!M203)</f>
        <v>Official vendor documentation, release notes, validated KB/article, product guide, or architecture reference with version applicability.</v>
      </c>
      <c r="Q203" s="2" t="str">
        <f>IF('03_Functionalities'!N203="","",'03_Functionalities'!N203)</f>
        <v>VCF 9.1 Workload migration services Bulk migration comparator parity evidence</v>
      </c>
      <c r="R203" s="2" t="str">
        <f>IF('03_Functionalities'!O203="","",'03_Functionalities'!O203)</f>
        <v>Yes</v>
      </c>
      <c r="S203" s="2" t="e">
        <f ca="1">IF(C203="","",_xludf.XLOOKUP(C203,'01_Products'!A:A,'01_Products'!K:K,0))</f>
        <v>#NAME?</v>
      </c>
      <c r="T203" s="2" t="e">
        <f ca="1">IF(B203="","",_xludf.XLOOKUP(B203,'02_Features'!A:A,'02_Features'!L:L,0))</f>
        <v>#NAME?</v>
      </c>
      <c r="U203" s="2">
        <f>IF('03_Functionalities'!P203="","",'03_Functionalities'!P203)</f>
        <v>1</v>
      </c>
      <c r="V203" s="2" t="str">
        <f>IF('03_Functionalities'!Q203="","",'03_Functionalities'!Q203)</f>
        <v>Draft</v>
      </c>
      <c r="W203" s="2" t="str">
        <f>IF('03_Functionalities'!R203="","",'03_Functionalities'!R203)</f>
        <v>https://www.vmware.com/docs/vmware-cloud-foundation-9-1-feature-comparison-and-upgrade-paths</v>
      </c>
      <c r="X203" s="2" t="str">
        <f>IF('03_Functionalities'!S203="","",'03_Functionalities'!S203)</f>
        <v>High</v>
      </c>
    </row>
    <row r="204" spans="1:24" ht="57">
      <c r="A204" s="2" t="str">
        <f>IF('03_Functionalities'!A204="","",'03_Functionalities'!A204)</f>
        <v>FN-MOBILITY-02-02</v>
      </c>
      <c r="B204" s="2" t="str">
        <f>IF('03_Functionalities'!B204="","",'03_Functionalities'!B204)</f>
        <v>FT-MOBILITY-02</v>
      </c>
      <c r="C204" s="2" t="str">
        <f>IF('03_Functionalities'!C204="","",'03_Functionalities'!C204)</f>
        <v>PC-MOBILITY</v>
      </c>
      <c r="D204" s="2" t="e">
        <f ca="1">IF(C204="","",_xludf.XLOOKUP(C204,'01_Products'!A:A,'01_Products'!B:B,"Missing Product"))</f>
        <v>#NAME?</v>
      </c>
      <c r="E204" s="2" t="e">
        <f ca="1">IF(C204="","",_xludf.XLOOKUP(C204,'01_Products'!A:A,'01_Products'!C:C,"Missing Type"))</f>
        <v>#NAME?</v>
      </c>
      <c r="F204" s="2" t="e">
        <f ca="1">IF(B204="","",_xludf.XLOOKUP(B204,'02_Features'!A:A,'02_Features'!C:C,"Missing Feature"))</f>
        <v>#NAME?</v>
      </c>
      <c r="G204" s="2" t="e">
        <f ca="1">IF(B204="","",_xludf.XLOOKUP(B204,'02_Features'!A:A,'02_Features'!E:E,"Missing Prompt"))</f>
        <v>#NAME?</v>
      </c>
      <c r="H204" s="2" t="str">
        <f>IF('03_Functionalities'!D204="","",'03_Functionalities'!D204)</f>
        <v>Live migration</v>
      </c>
      <c r="I204" s="2" t="str">
        <f>IF('03_Functionalities'!E204="","",'03_Functionalities'!E204)</f>
        <v>Major functionality for live migration.</v>
      </c>
      <c r="J204" s="2" t="str">
        <f>IF('03_Functionalities'!F204="","",'03_Functionalities'!F204)</f>
        <v>Includes major assessment behavior for live migration in the context of workload migration services.</v>
      </c>
      <c r="K204" s="2" t="str">
        <f>IF('03_Functionalities'!G204="","",'03_Functionalities'!G204)</f>
        <v>Excludes low-level configuration toggles, cosmetic UI behavior, and implementation-specific inventory minutiae unless they materially affect parity or risk.</v>
      </c>
      <c r="L204" s="2" t="str">
        <f>IF('03_Functionalities'!I204="","",'03_Functionalities'!I204)</f>
        <v>Migration</v>
      </c>
      <c r="M204" s="2" t="str">
        <f>IF('03_Functionalities'!J204="","",'03_Functionalities'!J204)</f>
        <v>Workload Migration</v>
      </c>
      <c r="N204" s="2" t="str">
        <f>IF('03_Functionalities'!K204="","",'03_Functionalities'!K204)</f>
        <v>Critical</v>
      </c>
      <c r="O204" s="2" t="str">
        <f>IF('03_Functionalities'!L204="","",'03_Functionalities'!L204)</f>
        <v>Medium</v>
      </c>
      <c r="P204" s="2" t="str">
        <f>IF('03_Functionalities'!M204="","",'03_Functionalities'!M204)</f>
        <v>Official vendor documentation, release notes, validated KB/article, product guide, or architecture reference with version applicability.</v>
      </c>
      <c r="Q204" s="2" t="str">
        <f>IF('03_Functionalities'!N204="","",'03_Functionalities'!N204)</f>
        <v>VCF 9.1 Workload migration services Live migration comparator parity evidence</v>
      </c>
      <c r="R204" s="2" t="str">
        <f>IF('03_Functionalities'!O204="","",'03_Functionalities'!O204)</f>
        <v>Yes</v>
      </c>
      <c r="S204" s="2" t="e">
        <f ca="1">IF(C204="","",_xludf.XLOOKUP(C204,'01_Products'!A:A,'01_Products'!K:K,0))</f>
        <v>#NAME?</v>
      </c>
      <c r="T204" s="2" t="e">
        <f ca="1">IF(B204="","",_xludf.XLOOKUP(B204,'02_Features'!A:A,'02_Features'!L:L,0))</f>
        <v>#NAME?</v>
      </c>
      <c r="U204" s="2">
        <f>IF('03_Functionalities'!P204="","",'03_Functionalities'!P204)</f>
        <v>2</v>
      </c>
      <c r="V204" s="2" t="str">
        <f>IF('03_Functionalities'!Q204="","",'03_Functionalities'!Q204)</f>
        <v>Draft</v>
      </c>
      <c r="W204" s="2" t="str">
        <f>IF('03_Functionalities'!R204="","",'03_Functionalities'!R204)</f>
        <v>https://www.vmware.com/docs/vmware-cloud-foundation-9-1-feature-comparison-and-upgrade-paths</v>
      </c>
      <c r="X204" s="2" t="str">
        <f>IF('03_Functionalities'!S204="","",'03_Functionalities'!S204)</f>
        <v>High</v>
      </c>
    </row>
    <row r="205" spans="1:24" ht="57">
      <c r="A205" s="2" t="str">
        <f>IF('03_Functionalities'!A205="","",'03_Functionalities'!A205)</f>
        <v>FN-MOBILITY-02-03</v>
      </c>
      <c r="B205" s="2" t="str">
        <f>IF('03_Functionalities'!B205="","",'03_Functionalities'!B205)</f>
        <v>FT-MOBILITY-02</v>
      </c>
      <c r="C205" s="2" t="str">
        <f>IF('03_Functionalities'!C205="","",'03_Functionalities'!C205)</f>
        <v>PC-MOBILITY</v>
      </c>
      <c r="D205" s="2" t="e">
        <f ca="1">IF(C205="","",_xludf.XLOOKUP(C205,'01_Products'!A:A,'01_Products'!B:B,"Missing Product"))</f>
        <v>#NAME?</v>
      </c>
      <c r="E205" s="2" t="e">
        <f ca="1">IF(C205="","",_xludf.XLOOKUP(C205,'01_Products'!A:A,'01_Products'!C:C,"Missing Type"))</f>
        <v>#NAME?</v>
      </c>
      <c r="F205" s="2" t="e">
        <f ca="1">IF(B205="","",_xludf.XLOOKUP(B205,'02_Features'!A:A,'02_Features'!C:C,"Missing Feature"))</f>
        <v>#NAME?</v>
      </c>
      <c r="G205" s="2" t="e">
        <f ca="1">IF(B205="","",_xludf.XLOOKUP(B205,'02_Features'!A:A,'02_Features'!E:E,"Missing Prompt"))</f>
        <v>#NAME?</v>
      </c>
      <c r="H205" s="2" t="str">
        <f>IF('03_Functionalities'!D205="","",'03_Functionalities'!D205)</f>
        <v>Replication-assisted migration</v>
      </c>
      <c r="I205" s="2" t="str">
        <f>IF('03_Functionalities'!E205="","",'03_Functionalities'!E205)</f>
        <v>Major functionality for replication-assisted migration.</v>
      </c>
      <c r="J205" s="2" t="str">
        <f>IF('03_Functionalities'!F205="","",'03_Functionalities'!F205)</f>
        <v>Includes major assessment behavior for replication-assisted migration in the context of workload migration services.</v>
      </c>
      <c r="K205" s="2" t="str">
        <f>IF('03_Functionalities'!G205="","",'03_Functionalities'!G205)</f>
        <v>Excludes low-level configuration toggles, cosmetic UI behavior, and implementation-specific inventory minutiae unless they materially affect parity or risk.</v>
      </c>
      <c r="L205" s="2" t="str">
        <f>IF('03_Functionalities'!I205="","",'03_Functionalities'!I205)</f>
        <v>Migration</v>
      </c>
      <c r="M205" s="2" t="str">
        <f>IF('03_Functionalities'!J205="","",'03_Functionalities'!J205)</f>
        <v>Workload Migration</v>
      </c>
      <c r="N205" s="2" t="str">
        <f>IF('03_Functionalities'!K205="","",'03_Functionalities'!K205)</f>
        <v>Critical</v>
      </c>
      <c r="O205" s="2" t="str">
        <f>IF('03_Functionalities'!L205="","",'03_Functionalities'!L205)</f>
        <v>Medium</v>
      </c>
      <c r="P205" s="2" t="str">
        <f>IF('03_Functionalities'!M205="","",'03_Functionalities'!M205)</f>
        <v>Official vendor documentation, release notes, validated KB/article, product guide, or architecture reference with version applicability.</v>
      </c>
      <c r="Q205" s="2" t="str">
        <f>IF('03_Functionalities'!N205="","",'03_Functionalities'!N205)</f>
        <v>VCF 9.1 Workload migration services Replication-assisted migration comparator parity evidence</v>
      </c>
      <c r="R205" s="2" t="str">
        <f>IF('03_Functionalities'!O205="","",'03_Functionalities'!O205)</f>
        <v>Yes</v>
      </c>
      <c r="S205" s="2" t="e">
        <f ca="1">IF(C205="","",_xludf.XLOOKUP(C205,'01_Products'!A:A,'01_Products'!K:K,0))</f>
        <v>#NAME?</v>
      </c>
      <c r="T205" s="2" t="e">
        <f ca="1">IF(B205="","",_xludf.XLOOKUP(B205,'02_Features'!A:A,'02_Features'!L:L,0))</f>
        <v>#NAME?</v>
      </c>
      <c r="U205" s="2">
        <f>IF('03_Functionalities'!P205="","",'03_Functionalities'!P205)</f>
        <v>3</v>
      </c>
      <c r="V205" s="2" t="str">
        <f>IF('03_Functionalities'!Q205="","",'03_Functionalities'!Q205)</f>
        <v>Draft</v>
      </c>
      <c r="W205" s="2" t="str">
        <f>IF('03_Functionalities'!R205="","",'03_Functionalities'!R205)</f>
        <v>https://www.vmware.com/docs/vmware-cloud-foundation-9-1-feature-comparison-and-upgrade-paths</v>
      </c>
      <c r="X205" s="2" t="str">
        <f>IF('03_Functionalities'!S205="","",'03_Functionalities'!S205)</f>
        <v>High</v>
      </c>
    </row>
    <row r="206" spans="1:24" ht="57">
      <c r="A206" s="2" t="str">
        <f>IF('03_Functionalities'!A206="","",'03_Functionalities'!A206)</f>
        <v>FN-MOBILITY-03-01</v>
      </c>
      <c r="B206" s="2" t="str">
        <f>IF('03_Functionalities'!B206="","",'03_Functionalities'!B206)</f>
        <v>FT-MOBILITY-03</v>
      </c>
      <c r="C206" s="2" t="str">
        <f>IF('03_Functionalities'!C206="","",'03_Functionalities'!C206)</f>
        <v>PC-MOBILITY</v>
      </c>
      <c r="D206" s="2" t="e">
        <f ca="1">IF(C206="","",_xludf.XLOOKUP(C206,'01_Products'!A:A,'01_Products'!B:B,"Missing Product"))</f>
        <v>#NAME?</v>
      </c>
      <c r="E206" s="2" t="e">
        <f ca="1">IF(C206="","",_xludf.XLOOKUP(C206,'01_Products'!A:A,'01_Products'!C:C,"Missing Type"))</f>
        <v>#NAME?</v>
      </c>
      <c r="F206" s="2" t="e">
        <f ca="1">IF(B206="","",_xludf.XLOOKUP(B206,'02_Features'!A:A,'02_Features'!C:C,"Missing Feature"))</f>
        <v>#NAME?</v>
      </c>
      <c r="G206" s="2" t="e">
        <f ca="1">IF(B206="","",_xludf.XLOOKUP(B206,'02_Features'!A:A,'02_Features'!E:E,"Missing Prompt"))</f>
        <v>#NAME?</v>
      </c>
      <c r="H206" s="2" t="str">
        <f>IF('03_Functionalities'!D206="","",'03_Functionalities'!D206)</f>
        <v>Layer-2 network extension</v>
      </c>
      <c r="I206" s="2" t="str">
        <f>IF('03_Functionalities'!E206="","",'03_Functionalities'!E206)</f>
        <v>Major functionality for layer-2 network extension.</v>
      </c>
      <c r="J206" s="2" t="str">
        <f>IF('03_Functionalities'!F206="","",'03_Functionalities'!F206)</f>
        <v>Includes major assessment behavior for layer-2 network extension in the context of network extension and mobility groups.</v>
      </c>
      <c r="K206" s="2" t="str">
        <f>IF('03_Functionalities'!G206="","",'03_Functionalities'!G206)</f>
        <v>Excludes low-level configuration toggles, cosmetic UI behavior, and implementation-specific inventory minutiae unless they materially affect parity or risk.</v>
      </c>
      <c r="L206" s="2" t="str">
        <f>IF('03_Functionalities'!I206="","",'03_Functionalities'!I206)</f>
        <v>Migration</v>
      </c>
      <c r="M206" s="2" t="str">
        <f>IF('03_Functionalities'!J206="","",'03_Functionalities'!J206)</f>
        <v>Network Extension</v>
      </c>
      <c r="N206" s="2" t="str">
        <f>IF('03_Functionalities'!K206="","",'03_Functionalities'!K206)</f>
        <v>High</v>
      </c>
      <c r="O206" s="2" t="str">
        <f>IF('03_Functionalities'!L206="","",'03_Functionalities'!L206)</f>
        <v>High</v>
      </c>
      <c r="P206" s="2" t="str">
        <f>IF('03_Functionalities'!M206="","",'03_Functionalities'!M206)</f>
        <v>Official vendor documentation, release notes, validated KB/article, product guide, or architecture reference with version applicability.</v>
      </c>
      <c r="Q206" s="2" t="str">
        <f>IF('03_Functionalities'!N206="","",'03_Functionalities'!N206)</f>
        <v>VCF 9.1 Network extension and mobility groups Layer-2 network extension comparator parity evidence</v>
      </c>
      <c r="R206" s="2" t="str">
        <f>IF('03_Functionalities'!O206="","",'03_Functionalities'!O206)</f>
        <v>Yes</v>
      </c>
      <c r="S206" s="2" t="e">
        <f ca="1">IF(C206="","",_xludf.XLOOKUP(C206,'01_Products'!A:A,'01_Products'!K:K,0))</f>
        <v>#NAME?</v>
      </c>
      <c r="T206" s="2" t="e">
        <f ca="1">IF(B206="","",_xludf.XLOOKUP(B206,'02_Features'!A:A,'02_Features'!L:L,0))</f>
        <v>#NAME?</v>
      </c>
      <c r="U206" s="2">
        <f>IF('03_Functionalities'!P206="","",'03_Functionalities'!P206)</f>
        <v>1</v>
      </c>
      <c r="V206" s="2" t="str">
        <f>IF('03_Functionalities'!Q206="","",'03_Functionalities'!Q206)</f>
        <v>Draft</v>
      </c>
      <c r="W206" s="2" t="str">
        <f>IF('03_Functionalities'!R206="","",'03_Functionalities'!R206)</f>
        <v>https://www.vmware.com/docs/vmware-cloud-foundation-9-1-feature-comparison-and-upgrade-paths</v>
      </c>
      <c r="X206" s="2" t="str">
        <f>IF('03_Functionalities'!S206="","",'03_Functionalities'!S206)</f>
        <v>High</v>
      </c>
    </row>
    <row r="207" spans="1:24" ht="57">
      <c r="A207" s="2" t="str">
        <f>IF('03_Functionalities'!A207="","",'03_Functionalities'!A207)</f>
        <v>FN-MOBILITY-03-02</v>
      </c>
      <c r="B207" s="2" t="str">
        <f>IF('03_Functionalities'!B207="","",'03_Functionalities'!B207)</f>
        <v>FT-MOBILITY-03</v>
      </c>
      <c r="C207" s="2" t="str">
        <f>IF('03_Functionalities'!C207="","",'03_Functionalities'!C207)</f>
        <v>PC-MOBILITY</v>
      </c>
      <c r="D207" s="2" t="e">
        <f ca="1">IF(C207="","",_xludf.XLOOKUP(C207,'01_Products'!A:A,'01_Products'!B:B,"Missing Product"))</f>
        <v>#NAME?</v>
      </c>
      <c r="E207" s="2" t="e">
        <f ca="1">IF(C207="","",_xludf.XLOOKUP(C207,'01_Products'!A:A,'01_Products'!C:C,"Missing Type"))</f>
        <v>#NAME?</v>
      </c>
      <c r="F207" s="2" t="e">
        <f ca="1">IF(B207="","",_xludf.XLOOKUP(B207,'02_Features'!A:A,'02_Features'!C:C,"Missing Feature"))</f>
        <v>#NAME?</v>
      </c>
      <c r="G207" s="2" t="e">
        <f ca="1">IF(B207="","",_xludf.XLOOKUP(B207,'02_Features'!A:A,'02_Features'!E:E,"Missing Prompt"))</f>
        <v>#NAME?</v>
      </c>
      <c r="H207" s="2" t="str">
        <f>IF('03_Functionalities'!D207="","",'03_Functionalities'!D207)</f>
        <v>Mobility group management</v>
      </c>
      <c r="I207" s="2" t="str">
        <f>IF('03_Functionalities'!E207="","",'03_Functionalities'!E207)</f>
        <v>Major functionality for mobility group management.</v>
      </c>
      <c r="J207" s="2" t="str">
        <f>IF('03_Functionalities'!F207="","",'03_Functionalities'!F207)</f>
        <v>Includes major assessment behavior for mobility group management in the context of network extension and mobility groups.</v>
      </c>
      <c r="K207" s="2" t="str">
        <f>IF('03_Functionalities'!G207="","",'03_Functionalities'!G207)</f>
        <v>Excludes low-level configuration toggles, cosmetic UI behavior, and implementation-specific inventory minutiae unless they materially affect parity or risk.</v>
      </c>
      <c r="L207" s="2" t="str">
        <f>IF('03_Functionalities'!I207="","",'03_Functionalities'!I207)</f>
        <v>Migration</v>
      </c>
      <c r="M207" s="2" t="str">
        <f>IF('03_Functionalities'!J207="","",'03_Functionalities'!J207)</f>
        <v>Network Extension</v>
      </c>
      <c r="N207" s="2" t="str">
        <f>IF('03_Functionalities'!K207="","",'03_Functionalities'!K207)</f>
        <v>High</v>
      </c>
      <c r="O207" s="2" t="str">
        <f>IF('03_Functionalities'!L207="","",'03_Functionalities'!L207)</f>
        <v>High</v>
      </c>
      <c r="P207" s="2" t="str">
        <f>IF('03_Functionalities'!M207="","",'03_Functionalities'!M207)</f>
        <v>Official vendor documentation, release notes, validated KB/article, product guide, or architecture reference with version applicability.</v>
      </c>
      <c r="Q207" s="2" t="str">
        <f>IF('03_Functionalities'!N207="","",'03_Functionalities'!N207)</f>
        <v>VCF 9.1 Network extension and mobility groups Mobility group management comparator parity evidence</v>
      </c>
      <c r="R207" s="2" t="str">
        <f>IF('03_Functionalities'!O207="","",'03_Functionalities'!O207)</f>
        <v>Yes</v>
      </c>
      <c r="S207" s="2" t="e">
        <f ca="1">IF(C207="","",_xludf.XLOOKUP(C207,'01_Products'!A:A,'01_Products'!K:K,0))</f>
        <v>#NAME?</v>
      </c>
      <c r="T207" s="2" t="e">
        <f ca="1">IF(B207="","",_xludf.XLOOKUP(B207,'02_Features'!A:A,'02_Features'!L:L,0))</f>
        <v>#NAME?</v>
      </c>
      <c r="U207" s="2">
        <f>IF('03_Functionalities'!P207="","",'03_Functionalities'!P207)</f>
        <v>2</v>
      </c>
      <c r="V207" s="2" t="str">
        <f>IF('03_Functionalities'!Q207="","",'03_Functionalities'!Q207)</f>
        <v>Draft</v>
      </c>
      <c r="W207" s="2" t="str">
        <f>IF('03_Functionalities'!R207="","",'03_Functionalities'!R207)</f>
        <v>https://www.vmware.com/docs/vmware-cloud-foundation-9-1-feature-comparison-and-upgrade-paths</v>
      </c>
      <c r="X207" s="2" t="str">
        <f>IF('03_Functionalities'!S207="","",'03_Functionalities'!S207)</f>
        <v>High</v>
      </c>
    </row>
    <row r="208" spans="1:24" ht="57">
      <c r="A208" s="2" t="str">
        <f>IF('03_Functionalities'!A208="","",'03_Functionalities'!A208)</f>
        <v>FN-MOBILITY-03-03</v>
      </c>
      <c r="B208" s="2" t="str">
        <f>IF('03_Functionalities'!B208="","",'03_Functionalities'!B208)</f>
        <v>FT-MOBILITY-03</v>
      </c>
      <c r="C208" s="2" t="str">
        <f>IF('03_Functionalities'!C208="","",'03_Functionalities'!C208)</f>
        <v>PC-MOBILITY</v>
      </c>
      <c r="D208" s="2" t="e">
        <f ca="1">IF(C208="","",_xludf.XLOOKUP(C208,'01_Products'!A:A,'01_Products'!B:B,"Missing Product"))</f>
        <v>#NAME?</v>
      </c>
      <c r="E208" s="2" t="e">
        <f ca="1">IF(C208="","",_xludf.XLOOKUP(C208,'01_Products'!A:A,'01_Products'!C:C,"Missing Type"))</f>
        <v>#NAME?</v>
      </c>
      <c r="F208" s="2" t="e">
        <f ca="1">IF(B208="","",_xludf.XLOOKUP(B208,'02_Features'!A:A,'02_Features'!C:C,"Missing Feature"))</f>
        <v>#NAME?</v>
      </c>
      <c r="G208" s="2" t="e">
        <f ca="1">IF(B208="","",_xludf.XLOOKUP(B208,'02_Features'!A:A,'02_Features'!E:E,"Missing Prompt"))</f>
        <v>#NAME?</v>
      </c>
      <c r="H208" s="2" t="str">
        <f>IF('03_Functionalities'!D208="","",'03_Functionalities'!D208)</f>
        <v>Migration network cutover control</v>
      </c>
      <c r="I208" s="2" t="str">
        <f>IF('03_Functionalities'!E208="","",'03_Functionalities'!E208)</f>
        <v>Major functionality for migration network cutover control.</v>
      </c>
      <c r="J208" s="2" t="str">
        <f>IF('03_Functionalities'!F208="","",'03_Functionalities'!F208)</f>
        <v>Includes major assessment behavior for migration network cutover control in the context of network extension and mobility groups.</v>
      </c>
      <c r="K208" s="2" t="str">
        <f>IF('03_Functionalities'!G208="","",'03_Functionalities'!G208)</f>
        <v>Excludes low-level configuration toggles, cosmetic UI behavior, and implementation-specific inventory minutiae unless they materially affect parity or risk.</v>
      </c>
      <c r="L208" s="2" t="str">
        <f>IF('03_Functionalities'!I208="","",'03_Functionalities'!I208)</f>
        <v>Migration</v>
      </c>
      <c r="M208" s="2" t="str">
        <f>IF('03_Functionalities'!J208="","",'03_Functionalities'!J208)</f>
        <v>Network Extension</v>
      </c>
      <c r="N208" s="2" t="str">
        <f>IF('03_Functionalities'!K208="","",'03_Functionalities'!K208)</f>
        <v>High</v>
      </c>
      <c r="O208" s="2" t="str">
        <f>IF('03_Functionalities'!L208="","",'03_Functionalities'!L208)</f>
        <v>High</v>
      </c>
      <c r="P208" s="2" t="str">
        <f>IF('03_Functionalities'!M208="","",'03_Functionalities'!M208)</f>
        <v>Official vendor documentation, release notes, validated KB/article, product guide, or architecture reference with version applicability.</v>
      </c>
      <c r="Q208" s="2" t="str">
        <f>IF('03_Functionalities'!N208="","",'03_Functionalities'!N208)</f>
        <v>VCF 9.1 Network extension and mobility groups Migration network cutover control comparator parity evidence</v>
      </c>
      <c r="R208" s="2" t="str">
        <f>IF('03_Functionalities'!O208="","",'03_Functionalities'!O208)</f>
        <v>Yes</v>
      </c>
      <c r="S208" s="2" t="e">
        <f ca="1">IF(C208="","",_xludf.XLOOKUP(C208,'01_Products'!A:A,'01_Products'!K:K,0))</f>
        <v>#NAME?</v>
      </c>
      <c r="T208" s="2" t="e">
        <f ca="1">IF(B208="","",_xludf.XLOOKUP(B208,'02_Features'!A:A,'02_Features'!L:L,0))</f>
        <v>#NAME?</v>
      </c>
      <c r="U208" s="2">
        <f>IF('03_Functionalities'!P208="","",'03_Functionalities'!P208)</f>
        <v>3</v>
      </c>
      <c r="V208" s="2" t="str">
        <f>IF('03_Functionalities'!Q208="","",'03_Functionalities'!Q208)</f>
        <v>Draft</v>
      </c>
      <c r="W208" s="2" t="str">
        <f>IF('03_Functionalities'!R208="","",'03_Functionalities'!R208)</f>
        <v>https://www.vmware.com/docs/vmware-cloud-foundation-9-1-feature-comparison-and-upgrade-paths</v>
      </c>
      <c r="X208" s="2" t="str">
        <f>IF('03_Functionalities'!S208="","",'03_Functionalities'!S208)</f>
        <v>High</v>
      </c>
    </row>
    <row r="209" spans="1:24" ht="57">
      <c r="A209" s="2" t="str">
        <f>IF('03_Functionalities'!A209="","",'03_Functionalities'!A209)</f>
        <v>FN-MOBILITY-04-01</v>
      </c>
      <c r="B209" s="2" t="str">
        <f>IF('03_Functionalities'!B209="","",'03_Functionalities'!B209)</f>
        <v>FT-MOBILITY-04</v>
      </c>
      <c r="C209" s="2" t="str">
        <f>IF('03_Functionalities'!C209="","",'03_Functionalities'!C209)</f>
        <v>PC-MOBILITY</v>
      </c>
      <c r="D209" s="2" t="e">
        <f ca="1">IF(C209="","",_xludf.XLOOKUP(C209,'01_Products'!A:A,'01_Products'!B:B,"Missing Product"))</f>
        <v>#NAME?</v>
      </c>
      <c r="E209" s="2" t="e">
        <f ca="1">IF(C209="","",_xludf.XLOOKUP(C209,'01_Products'!A:A,'01_Products'!C:C,"Missing Type"))</f>
        <v>#NAME?</v>
      </c>
      <c r="F209" s="2" t="e">
        <f ca="1">IF(B209="","",_xludf.XLOOKUP(B209,'02_Features'!A:A,'02_Features'!C:C,"Missing Feature"))</f>
        <v>#NAME?</v>
      </c>
      <c r="G209" s="2" t="e">
        <f ca="1">IF(B209="","",_xludf.XLOOKUP(B209,'02_Features'!A:A,'02_Features'!E:E,"Missing Prompt"))</f>
        <v>#NAME?</v>
      </c>
      <c r="H209" s="2" t="str">
        <f>IF('03_Functionalities'!D209="","",'03_Functionalities'!D209)</f>
        <v>Existing vCenter import</v>
      </c>
      <c r="I209" s="2" t="str">
        <f>IF('03_Functionalities'!E209="","",'03_Functionalities'!E209)</f>
        <v>Major functionality for existing vcenter import.</v>
      </c>
      <c r="J209" s="2" t="str">
        <f>IF('03_Functionalities'!F209="","",'03_Functionalities'!F209)</f>
        <v>Includes major assessment behavior for existing vcenter import in the context of import existing environments.</v>
      </c>
      <c r="K209" s="2" t="str">
        <f>IF('03_Functionalities'!G209="","",'03_Functionalities'!G209)</f>
        <v>Excludes low-level configuration toggles, cosmetic UI behavior, and implementation-specific inventory minutiae unless they materially affect parity or risk.</v>
      </c>
      <c r="L209" s="2" t="str">
        <f>IF('03_Functionalities'!I209="","",'03_Functionalities'!I209)</f>
        <v>Migration</v>
      </c>
      <c r="M209" s="2" t="str">
        <f>IF('03_Functionalities'!J209="","",'03_Functionalities'!J209)</f>
        <v>Import</v>
      </c>
      <c r="N209" s="2" t="str">
        <f>IF('03_Functionalities'!K209="","",'03_Functionalities'!K209)</f>
        <v>High</v>
      </c>
      <c r="O209" s="2" t="str">
        <f>IF('03_Functionalities'!L209="","",'03_Functionalities'!L209)</f>
        <v>Medium</v>
      </c>
      <c r="P209" s="2" t="str">
        <f>IF('03_Functionalities'!M209="","",'03_Functionalities'!M209)</f>
        <v>Official vendor documentation, release notes, validated KB/article, product guide, or architecture reference with version applicability.</v>
      </c>
      <c r="Q209" s="2" t="str">
        <f>IF('03_Functionalities'!N209="","",'03_Functionalities'!N209)</f>
        <v>VCF 9.1 Import existing environments Existing vCenter import comparator parity evidence</v>
      </c>
      <c r="R209" s="2" t="str">
        <f>IF('03_Functionalities'!O209="","",'03_Functionalities'!O209)</f>
        <v>Yes</v>
      </c>
      <c r="S209" s="2" t="e">
        <f ca="1">IF(C209="","",_xludf.XLOOKUP(C209,'01_Products'!A:A,'01_Products'!K:K,0))</f>
        <v>#NAME?</v>
      </c>
      <c r="T209" s="2" t="e">
        <f ca="1">IF(B209="","",_xludf.XLOOKUP(B209,'02_Features'!A:A,'02_Features'!L:L,0))</f>
        <v>#NAME?</v>
      </c>
      <c r="U209" s="2">
        <f>IF('03_Functionalities'!P209="","",'03_Functionalities'!P209)</f>
        <v>1</v>
      </c>
      <c r="V209" s="2" t="str">
        <f>IF('03_Functionalities'!Q209="","",'03_Functionalities'!Q209)</f>
        <v>Draft</v>
      </c>
      <c r="W209" s="2" t="str">
        <f>IF('03_Functionalities'!R209="","",'03_Functionalities'!R209)</f>
        <v>https://knowledge.broadcom.com/external/article/440630/upgrade-sequence-and-related-issues-for.html</v>
      </c>
      <c r="X209" s="2" t="str">
        <f>IF('03_Functionalities'!S209="","",'03_Functionalities'!S209)</f>
        <v>High</v>
      </c>
    </row>
    <row r="210" spans="1:24" ht="57">
      <c r="A210" s="2" t="str">
        <f>IF('03_Functionalities'!A210="","",'03_Functionalities'!A210)</f>
        <v>FN-MOBILITY-04-02</v>
      </c>
      <c r="B210" s="2" t="str">
        <f>IF('03_Functionalities'!B210="","",'03_Functionalities'!B210)</f>
        <v>FT-MOBILITY-04</v>
      </c>
      <c r="C210" s="2" t="str">
        <f>IF('03_Functionalities'!C210="","",'03_Functionalities'!C210)</f>
        <v>PC-MOBILITY</v>
      </c>
      <c r="D210" s="2" t="e">
        <f ca="1">IF(C210="","",_xludf.XLOOKUP(C210,'01_Products'!A:A,'01_Products'!B:B,"Missing Product"))</f>
        <v>#NAME?</v>
      </c>
      <c r="E210" s="2" t="e">
        <f ca="1">IF(C210="","",_xludf.XLOOKUP(C210,'01_Products'!A:A,'01_Products'!C:C,"Missing Type"))</f>
        <v>#NAME?</v>
      </c>
      <c r="F210" s="2" t="e">
        <f ca="1">IF(B210="","",_xludf.XLOOKUP(B210,'02_Features'!A:A,'02_Features'!C:C,"Missing Feature"))</f>
        <v>#NAME?</v>
      </c>
      <c r="G210" s="2" t="e">
        <f ca="1">IF(B210="","",_xludf.XLOOKUP(B210,'02_Features'!A:A,'02_Features'!E:E,"Missing Prompt"))</f>
        <v>#NAME?</v>
      </c>
      <c r="H210" s="2" t="str">
        <f>IF('03_Functionalities'!D210="","",'03_Functionalities'!D210)</f>
        <v>Existing NSX import</v>
      </c>
      <c r="I210" s="2" t="str">
        <f>IF('03_Functionalities'!E210="","",'03_Functionalities'!E210)</f>
        <v>Major functionality for existing nsx import.</v>
      </c>
      <c r="J210" s="2" t="str">
        <f>IF('03_Functionalities'!F210="","",'03_Functionalities'!F210)</f>
        <v>Includes major assessment behavior for existing nsx import in the context of import existing environments.</v>
      </c>
      <c r="K210" s="2" t="str">
        <f>IF('03_Functionalities'!G210="","",'03_Functionalities'!G210)</f>
        <v>Excludes low-level configuration toggles, cosmetic UI behavior, and implementation-specific inventory minutiae unless they materially affect parity or risk.</v>
      </c>
      <c r="L210" s="2" t="str">
        <f>IF('03_Functionalities'!I210="","",'03_Functionalities'!I210)</f>
        <v>Migration</v>
      </c>
      <c r="M210" s="2" t="str">
        <f>IF('03_Functionalities'!J210="","",'03_Functionalities'!J210)</f>
        <v>Import</v>
      </c>
      <c r="N210" s="2" t="str">
        <f>IF('03_Functionalities'!K210="","",'03_Functionalities'!K210)</f>
        <v>High</v>
      </c>
      <c r="O210" s="2" t="str">
        <f>IF('03_Functionalities'!L210="","",'03_Functionalities'!L210)</f>
        <v>Medium</v>
      </c>
      <c r="P210" s="2" t="str">
        <f>IF('03_Functionalities'!M210="","",'03_Functionalities'!M210)</f>
        <v>Official vendor documentation, release notes, validated KB/article, product guide, or architecture reference with version applicability.</v>
      </c>
      <c r="Q210" s="2" t="str">
        <f>IF('03_Functionalities'!N210="","",'03_Functionalities'!N210)</f>
        <v>VCF 9.1 Import existing environments Existing NSX import comparator parity evidence</v>
      </c>
      <c r="R210" s="2" t="str">
        <f>IF('03_Functionalities'!O210="","",'03_Functionalities'!O210)</f>
        <v>Yes</v>
      </c>
      <c r="S210" s="2" t="e">
        <f ca="1">IF(C210="","",_xludf.XLOOKUP(C210,'01_Products'!A:A,'01_Products'!K:K,0))</f>
        <v>#NAME?</v>
      </c>
      <c r="T210" s="2" t="e">
        <f ca="1">IF(B210="","",_xludf.XLOOKUP(B210,'02_Features'!A:A,'02_Features'!L:L,0))</f>
        <v>#NAME?</v>
      </c>
      <c r="U210" s="2">
        <f>IF('03_Functionalities'!P210="","",'03_Functionalities'!P210)</f>
        <v>2</v>
      </c>
      <c r="V210" s="2" t="str">
        <f>IF('03_Functionalities'!Q210="","",'03_Functionalities'!Q210)</f>
        <v>Draft</v>
      </c>
      <c r="W210" s="2" t="str">
        <f>IF('03_Functionalities'!R210="","",'03_Functionalities'!R210)</f>
        <v>https://knowledge.broadcom.com/external/article/440630/upgrade-sequence-and-related-issues-for.html</v>
      </c>
      <c r="X210" s="2" t="str">
        <f>IF('03_Functionalities'!S210="","",'03_Functionalities'!S210)</f>
        <v>High</v>
      </c>
    </row>
    <row r="211" spans="1:24" ht="57">
      <c r="A211" s="2" t="str">
        <f>IF('03_Functionalities'!A211="","",'03_Functionalities'!A211)</f>
        <v>FN-MOBILITY-04-03</v>
      </c>
      <c r="B211" s="2" t="str">
        <f>IF('03_Functionalities'!B211="","",'03_Functionalities'!B211)</f>
        <v>FT-MOBILITY-04</v>
      </c>
      <c r="C211" s="2" t="str">
        <f>IF('03_Functionalities'!C211="","",'03_Functionalities'!C211)</f>
        <v>PC-MOBILITY</v>
      </c>
      <c r="D211" s="2" t="e">
        <f ca="1">IF(C211="","",_xludf.XLOOKUP(C211,'01_Products'!A:A,'01_Products'!B:B,"Missing Product"))</f>
        <v>#NAME?</v>
      </c>
      <c r="E211" s="2" t="e">
        <f ca="1">IF(C211="","",_xludf.XLOOKUP(C211,'01_Products'!A:A,'01_Products'!C:C,"Missing Type"))</f>
        <v>#NAME?</v>
      </c>
      <c r="F211" s="2" t="e">
        <f ca="1">IF(B211="","",_xludf.XLOOKUP(B211,'02_Features'!A:A,'02_Features'!C:C,"Missing Feature"))</f>
        <v>#NAME?</v>
      </c>
      <c r="G211" s="2" t="e">
        <f ca="1">IF(B211="","",_xludf.XLOOKUP(B211,'02_Features'!A:A,'02_Features'!E:E,"Missing Prompt"))</f>
        <v>#NAME?</v>
      </c>
      <c r="H211" s="2" t="str">
        <f>IF('03_Functionalities'!D211="","",'03_Functionalities'!D211)</f>
        <v>Import precheck and compatibility gating</v>
      </c>
      <c r="I211" s="2" t="str">
        <f>IF('03_Functionalities'!E211="","",'03_Functionalities'!E211)</f>
        <v>Major functionality for import precheck and compatibility gating.</v>
      </c>
      <c r="J211" s="2" t="str">
        <f>IF('03_Functionalities'!F211="","",'03_Functionalities'!F211)</f>
        <v>Includes major assessment behavior for import precheck and compatibility gating in the context of import existing environments.</v>
      </c>
      <c r="K211" s="2" t="str">
        <f>IF('03_Functionalities'!G211="","",'03_Functionalities'!G211)</f>
        <v>Excludes low-level configuration toggles, cosmetic UI behavior, and implementation-specific inventory minutiae unless they materially affect parity or risk.</v>
      </c>
      <c r="L211" s="2" t="str">
        <f>IF('03_Functionalities'!I211="","",'03_Functionalities'!I211)</f>
        <v>Migration</v>
      </c>
      <c r="M211" s="2" t="str">
        <f>IF('03_Functionalities'!J211="","",'03_Functionalities'!J211)</f>
        <v>Import</v>
      </c>
      <c r="N211" s="2" t="str">
        <f>IF('03_Functionalities'!K211="","",'03_Functionalities'!K211)</f>
        <v>High</v>
      </c>
      <c r="O211" s="2" t="str">
        <f>IF('03_Functionalities'!L211="","",'03_Functionalities'!L211)</f>
        <v>Medium</v>
      </c>
      <c r="P211" s="2" t="str">
        <f>IF('03_Functionalities'!M211="","",'03_Functionalities'!M211)</f>
        <v>Official vendor documentation, release notes, validated KB/article, product guide, or architecture reference with version applicability.</v>
      </c>
      <c r="Q211" s="2" t="str">
        <f>IF('03_Functionalities'!N211="","",'03_Functionalities'!N211)</f>
        <v>VCF 9.1 Import existing environments Import precheck and compatibility gating comparator parity evidence</v>
      </c>
      <c r="R211" s="2" t="str">
        <f>IF('03_Functionalities'!O211="","",'03_Functionalities'!O211)</f>
        <v>Yes</v>
      </c>
      <c r="S211" s="2" t="e">
        <f ca="1">IF(C211="","",_xludf.XLOOKUP(C211,'01_Products'!A:A,'01_Products'!K:K,0))</f>
        <v>#NAME?</v>
      </c>
      <c r="T211" s="2" t="e">
        <f ca="1">IF(B211="","",_xludf.XLOOKUP(B211,'02_Features'!A:A,'02_Features'!L:L,0))</f>
        <v>#NAME?</v>
      </c>
      <c r="U211" s="2">
        <f>IF('03_Functionalities'!P211="","",'03_Functionalities'!P211)</f>
        <v>3</v>
      </c>
      <c r="V211" s="2" t="str">
        <f>IF('03_Functionalities'!Q211="","",'03_Functionalities'!Q211)</f>
        <v>Draft</v>
      </c>
      <c r="W211" s="2" t="str">
        <f>IF('03_Functionalities'!R211="","",'03_Functionalities'!R211)</f>
        <v>https://knowledge.broadcom.com/external/article/440630/upgrade-sequence-and-related-issues-for.html</v>
      </c>
      <c r="X211" s="2" t="str">
        <f>IF('03_Functionalities'!S211="","",'03_Functionalities'!S211)</f>
        <v>High</v>
      </c>
    </row>
    <row r="212" spans="1:24" ht="57">
      <c r="A212" s="2" t="str">
        <f>IF('03_Functionalities'!A212="","",'03_Functionalities'!A212)</f>
        <v>FN-MOBILITY-05-01</v>
      </c>
      <c r="B212" s="2" t="str">
        <f>IF('03_Functionalities'!B212="","",'03_Functionalities'!B212)</f>
        <v>FT-MOBILITY-05</v>
      </c>
      <c r="C212" s="2" t="str">
        <f>IF('03_Functionalities'!C212="","",'03_Functionalities'!C212)</f>
        <v>PC-MOBILITY</v>
      </c>
      <c r="D212" s="2" t="e">
        <f ca="1">IF(C212="","",_xludf.XLOOKUP(C212,'01_Products'!A:A,'01_Products'!B:B,"Missing Product"))</f>
        <v>#NAME?</v>
      </c>
      <c r="E212" s="2" t="e">
        <f ca="1">IF(C212="","",_xludf.XLOOKUP(C212,'01_Products'!A:A,'01_Products'!C:C,"Missing Type"))</f>
        <v>#NAME?</v>
      </c>
      <c r="F212" s="2" t="e">
        <f ca="1">IF(B212="","",_xludf.XLOOKUP(B212,'02_Features'!A:A,'02_Features'!C:C,"Missing Feature"))</f>
        <v>#NAME?</v>
      </c>
      <c r="G212" s="2" t="e">
        <f ca="1">IF(B212="","",_xludf.XLOOKUP(B212,'02_Features'!A:A,'02_Features'!E:E,"Missing Prompt"))</f>
        <v>#NAME?</v>
      </c>
      <c r="H212" s="2" t="str">
        <f>IF('03_Functionalities'!D212="","",'03_Functionalities'!D212)</f>
        <v>Migration wave planning</v>
      </c>
      <c r="I212" s="2" t="str">
        <f>IF('03_Functionalities'!E212="","",'03_Functionalities'!E212)</f>
        <v>Major functionality for migration wave planning.</v>
      </c>
      <c r="J212" s="2" t="str">
        <f>IF('03_Functionalities'!F212="","",'03_Functionalities'!F212)</f>
        <v>Includes major assessment behavior for migration wave planning in the context of migration assessment and cutover governance.</v>
      </c>
      <c r="K212" s="2" t="str">
        <f>IF('03_Functionalities'!G212="","",'03_Functionalities'!G212)</f>
        <v>Excludes low-level configuration toggles, cosmetic UI behavior, and implementation-specific inventory minutiae unless they materially affect parity or risk.</v>
      </c>
      <c r="L212" s="2" t="str">
        <f>IF('03_Functionalities'!I212="","",'03_Functionalities'!I212)</f>
        <v>Migration</v>
      </c>
      <c r="M212" s="2" t="str">
        <f>IF('03_Functionalities'!J212="","",'03_Functionalities'!J212)</f>
        <v>Cutover Governance</v>
      </c>
      <c r="N212" s="2" t="str">
        <f>IF('03_Functionalities'!K212="","",'03_Functionalities'!K212)</f>
        <v>High</v>
      </c>
      <c r="O212" s="2" t="str">
        <f>IF('03_Functionalities'!L212="","",'03_Functionalities'!L212)</f>
        <v>Medium</v>
      </c>
      <c r="P212" s="2" t="str">
        <f>IF('03_Functionalities'!M212="","",'03_Functionalities'!M212)</f>
        <v>Official vendor documentation, release notes, validated KB/article, product guide, or architecture reference with version applicability.</v>
      </c>
      <c r="Q212" s="2" t="str">
        <f>IF('03_Functionalities'!N212="","",'03_Functionalities'!N212)</f>
        <v>VCF 9.1 Migration assessment and cutover governance Migration wave planning comparator parity evidence</v>
      </c>
      <c r="R212" s="2" t="str">
        <f>IF('03_Functionalities'!O212="","",'03_Functionalities'!O212)</f>
        <v>Yes</v>
      </c>
      <c r="S212" s="2" t="e">
        <f ca="1">IF(C212="","",_xludf.XLOOKUP(C212,'01_Products'!A:A,'01_Products'!K:K,0))</f>
        <v>#NAME?</v>
      </c>
      <c r="T212" s="2" t="e">
        <f ca="1">IF(B212="","",_xludf.XLOOKUP(B212,'02_Features'!A:A,'02_Features'!L:L,0))</f>
        <v>#NAME?</v>
      </c>
      <c r="U212" s="2">
        <f>IF('03_Functionalities'!P212="","",'03_Functionalities'!P212)</f>
        <v>1</v>
      </c>
      <c r="V212" s="2" t="str">
        <f>IF('03_Functionalities'!Q212="","",'03_Functionalities'!Q212)</f>
        <v>Draft</v>
      </c>
      <c r="W212" s="2" t="str">
        <f>IF('03_Functionalities'!R212="","",'03_Functionalities'!R212)</f>
        <v>https://www.vmware.com/docs/vmware-cloud-foundation-9-1-feature-comparison-and-upgrade-paths</v>
      </c>
      <c r="X212" s="2" t="str">
        <f>IF('03_Functionalities'!S212="","",'03_Functionalities'!S212)</f>
        <v>High</v>
      </c>
    </row>
    <row r="213" spans="1:24" ht="57">
      <c r="A213" s="2" t="str">
        <f>IF('03_Functionalities'!A213="","",'03_Functionalities'!A213)</f>
        <v>FN-MOBILITY-05-02</v>
      </c>
      <c r="B213" s="2" t="str">
        <f>IF('03_Functionalities'!B213="","",'03_Functionalities'!B213)</f>
        <v>FT-MOBILITY-05</v>
      </c>
      <c r="C213" s="2" t="str">
        <f>IF('03_Functionalities'!C213="","",'03_Functionalities'!C213)</f>
        <v>PC-MOBILITY</v>
      </c>
      <c r="D213" s="2" t="e">
        <f ca="1">IF(C213="","",_xludf.XLOOKUP(C213,'01_Products'!A:A,'01_Products'!B:B,"Missing Product"))</f>
        <v>#NAME?</v>
      </c>
      <c r="E213" s="2" t="e">
        <f ca="1">IF(C213="","",_xludf.XLOOKUP(C213,'01_Products'!A:A,'01_Products'!C:C,"Missing Type"))</f>
        <v>#NAME?</v>
      </c>
      <c r="F213" s="2" t="e">
        <f ca="1">IF(B213="","",_xludf.XLOOKUP(B213,'02_Features'!A:A,'02_Features'!C:C,"Missing Feature"))</f>
        <v>#NAME?</v>
      </c>
      <c r="G213" s="2" t="e">
        <f ca="1">IF(B213="","",_xludf.XLOOKUP(B213,'02_Features'!A:A,'02_Features'!E:E,"Missing Prompt"))</f>
        <v>#NAME?</v>
      </c>
      <c r="H213" s="2" t="str">
        <f>IF('03_Functionalities'!D213="","",'03_Functionalities'!D213)</f>
        <v>Cutover validation</v>
      </c>
      <c r="I213" s="2" t="str">
        <f>IF('03_Functionalities'!E213="","",'03_Functionalities'!E213)</f>
        <v>Major functionality for cutover validation.</v>
      </c>
      <c r="J213" s="2" t="str">
        <f>IF('03_Functionalities'!F213="","",'03_Functionalities'!F213)</f>
        <v>Includes major assessment behavior for cutover validation in the context of migration assessment and cutover governance.</v>
      </c>
      <c r="K213" s="2" t="str">
        <f>IF('03_Functionalities'!G213="","",'03_Functionalities'!G213)</f>
        <v>Excludes low-level configuration toggles, cosmetic UI behavior, and implementation-specific inventory minutiae unless they materially affect parity or risk.</v>
      </c>
      <c r="L213" s="2" t="str">
        <f>IF('03_Functionalities'!I213="","",'03_Functionalities'!I213)</f>
        <v>Migration</v>
      </c>
      <c r="M213" s="2" t="str">
        <f>IF('03_Functionalities'!J213="","",'03_Functionalities'!J213)</f>
        <v>Cutover Governance</v>
      </c>
      <c r="N213" s="2" t="str">
        <f>IF('03_Functionalities'!K213="","",'03_Functionalities'!K213)</f>
        <v>High</v>
      </c>
      <c r="O213" s="2" t="str">
        <f>IF('03_Functionalities'!L213="","",'03_Functionalities'!L213)</f>
        <v>Medium</v>
      </c>
      <c r="P213" s="2" t="str">
        <f>IF('03_Functionalities'!M213="","",'03_Functionalities'!M213)</f>
        <v>Official vendor documentation, release notes, validated KB/article, product guide, or architecture reference with version applicability.</v>
      </c>
      <c r="Q213" s="2" t="str">
        <f>IF('03_Functionalities'!N213="","",'03_Functionalities'!N213)</f>
        <v>VCF 9.1 Migration assessment and cutover governance Cutover validation comparator parity evidence</v>
      </c>
      <c r="R213" s="2" t="str">
        <f>IF('03_Functionalities'!O213="","",'03_Functionalities'!O213)</f>
        <v>Yes</v>
      </c>
      <c r="S213" s="2" t="e">
        <f ca="1">IF(C213="","",_xludf.XLOOKUP(C213,'01_Products'!A:A,'01_Products'!K:K,0))</f>
        <v>#NAME?</v>
      </c>
      <c r="T213" s="2" t="e">
        <f ca="1">IF(B213="","",_xludf.XLOOKUP(B213,'02_Features'!A:A,'02_Features'!L:L,0))</f>
        <v>#NAME?</v>
      </c>
      <c r="U213" s="2">
        <f>IF('03_Functionalities'!P213="","",'03_Functionalities'!P213)</f>
        <v>2</v>
      </c>
      <c r="V213" s="2" t="str">
        <f>IF('03_Functionalities'!Q213="","",'03_Functionalities'!Q213)</f>
        <v>Draft</v>
      </c>
      <c r="W213" s="2" t="str">
        <f>IF('03_Functionalities'!R213="","",'03_Functionalities'!R213)</f>
        <v>https://www.vmware.com/docs/vmware-cloud-foundation-9-1-feature-comparison-and-upgrade-paths</v>
      </c>
      <c r="X213" s="2" t="str">
        <f>IF('03_Functionalities'!S213="","",'03_Functionalities'!S213)</f>
        <v>High</v>
      </c>
    </row>
    <row r="214" spans="1:24" ht="57">
      <c r="A214" s="2" t="str">
        <f>IF('03_Functionalities'!A214="","",'03_Functionalities'!A214)</f>
        <v>FN-MOBILITY-05-03</v>
      </c>
      <c r="B214" s="2" t="str">
        <f>IF('03_Functionalities'!B214="","",'03_Functionalities'!B214)</f>
        <v>FT-MOBILITY-05</v>
      </c>
      <c r="C214" s="2" t="str">
        <f>IF('03_Functionalities'!C214="","",'03_Functionalities'!C214)</f>
        <v>PC-MOBILITY</v>
      </c>
      <c r="D214" s="2" t="e">
        <f ca="1">IF(C214="","",_xludf.XLOOKUP(C214,'01_Products'!A:A,'01_Products'!B:B,"Missing Product"))</f>
        <v>#NAME?</v>
      </c>
      <c r="E214" s="2" t="e">
        <f ca="1">IF(C214="","",_xludf.XLOOKUP(C214,'01_Products'!A:A,'01_Products'!C:C,"Missing Type"))</f>
        <v>#NAME?</v>
      </c>
      <c r="F214" s="2" t="e">
        <f ca="1">IF(B214="","",_xludf.XLOOKUP(B214,'02_Features'!A:A,'02_Features'!C:C,"Missing Feature"))</f>
        <v>#NAME?</v>
      </c>
      <c r="G214" s="2" t="e">
        <f ca="1">IF(B214="","",_xludf.XLOOKUP(B214,'02_Features'!A:A,'02_Features'!E:E,"Missing Prompt"))</f>
        <v>#NAME?</v>
      </c>
      <c r="H214" s="2" t="str">
        <f>IF('03_Functionalities'!D214="","",'03_Functionalities'!D214)</f>
        <v>Rollback and exception governance</v>
      </c>
      <c r="I214" s="2" t="str">
        <f>IF('03_Functionalities'!E214="","",'03_Functionalities'!E214)</f>
        <v>Major functionality for rollback and exception governance.</v>
      </c>
      <c r="J214" s="2" t="str">
        <f>IF('03_Functionalities'!F214="","",'03_Functionalities'!F214)</f>
        <v>Includes major assessment behavior for rollback and exception governance in the context of migration assessment and cutover governance.</v>
      </c>
      <c r="K214" s="2" t="str">
        <f>IF('03_Functionalities'!G214="","",'03_Functionalities'!G214)</f>
        <v>Excludes low-level configuration toggles, cosmetic UI behavior, and implementation-specific inventory minutiae unless they materially affect parity or risk.</v>
      </c>
      <c r="L214" s="2" t="str">
        <f>IF('03_Functionalities'!I214="","",'03_Functionalities'!I214)</f>
        <v>Migration</v>
      </c>
      <c r="M214" s="2" t="str">
        <f>IF('03_Functionalities'!J214="","",'03_Functionalities'!J214)</f>
        <v>Cutover Governance</v>
      </c>
      <c r="N214" s="2" t="str">
        <f>IF('03_Functionalities'!K214="","",'03_Functionalities'!K214)</f>
        <v>High</v>
      </c>
      <c r="O214" s="2" t="str">
        <f>IF('03_Functionalities'!L214="","",'03_Functionalities'!L214)</f>
        <v>Medium</v>
      </c>
      <c r="P214" s="2" t="str">
        <f>IF('03_Functionalities'!M214="","",'03_Functionalities'!M214)</f>
        <v>Official vendor documentation, release notes, validated KB/article, product guide, or architecture reference with version applicability.</v>
      </c>
      <c r="Q214" s="2" t="str">
        <f>IF('03_Functionalities'!N214="","",'03_Functionalities'!N214)</f>
        <v>VCF 9.1 Migration assessment and cutover governance Rollback and exception governance comparator parity evidence</v>
      </c>
      <c r="R214" s="2" t="str">
        <f>IF('03_Functionalities'!O214="","",'03_Functionalities'!O214)</f>
        <v>Yes</v>
      </c>
      <c r="S214" s="2" t="e">
        <f ca="1">IF(C214="","",_xludf.XLOOKUP(C214,'01_Products'!A:A,'01_Products'!K:K,0))</f>
        <v>#NAME?</v>
      </c>
      <c r="T214" s="2" t="e">
        <f ca="1">IF(B214="","",_xludf.XLOOKUP(B214,'02_Features'!A:A,'02_Features'!L:L,0))</f>
        <v>#NAME?</v>
      </c>
      <c r="U214" s="2">
        <f>IF('03_Functionalities'!P214="","",'03_Functionalities'!P214)</f>
        <v>3</v>
      </c>
      <c r="V214" s="2" t="str">
        <f>IF('03_Functionalities'!Q214="","",'03_Functionalities'!Q214)</f>
        <v>Draft</v>
      </c>
      <c r="W214" s="2" t="str">
        <f>IF('03_Functionalities'!R214="","",'03_Functionalities'!R214)</f>
        <v>https://www.vmware.com/docs/vmware-cloud-foundation-9-1-feature-comparison-and-upgrade-paths</v>
      </c>
      <c r="X214" s="2" t="str">
        <f>IF('03_Functionalities'!S214="","",'03_Functionalities'!S214)</f>
        <v>High</v>
      </c>
    </row>
    <row r="215" spans="1:24" ht="57">
      <c r="A215" s="2" t="str">
        <f>IF('03_Functionalities'!A215="","",'03_Functionalities'!A215)</f>
        <v>FN-RESILIENCE-01-01</v>
      </c>
      <c r="B215" s="2" t="str">
        <f>IF('03_Functionalities'!B215="","",'03_Functionalities'!B215)</f>
        <v>FT-RESILIENCE-01</v>
      </c>
      <c r="C215" s="2" t="str">
        <f>IF('03_Functionalities'!C215="","",'03_Functionalities'!C215)</f>
        <v>PC-RESILIENCE</v>
      </c>
      <c r="D215" s="2" t="e">
        <f ca="1">IF(C215="","",_xludf.XLOOKUP(C215,'01_Products'!A:A,'01_Products'!B:B,"Missing Product"))</f>
        <v>#NAME?</v>
      </c>
      <c r="E215" s="2" t="e">
        <f ca="1">IF(C215="","",_xludf.XLOOKUP(C215,'01_Products'!A:A,'01_Products'!C:C,"Missing Type"))</f>
        <v>#NAME?</v>
      </c>
      <c r="F215" s="2" t="e">
        <f ca="1">IF(B215="","",_xludf.XLOOKUP(B215,'02_Features'!A:A,'02_Features'!C:C,"Missing Feature"))</f>
        <v>#NAME?</v>
      </c>
      <c r="G215" s="2" t="e">
        <f ca="1">IF(B215="","",_xludf.XLOOKUP(B215,'02_Features'!A:A,'02_Features'!E:E,"Missing Prompt"))</f>
        <v>#NAME?</v>
      </c>
      <c r="H215" s="2" t="str">
        <f>IF('03_Functionalities'!D215="","",'03_Functionalities'!D215)</f>
        <v>Management component backup</v>
      </c>
      <c r="I215" s="2" t="str">
        <f>IF('03_Functionalities'!E215="","",'03_Functionalities'!E215)</f>
        <v>Major functionality for management component backup.</v>
      </c>
      <c r="J215" s="2" t="str">
        <f>IF('03_Functionalities'!F215="","",'03_Functionalities'!F215)</f>
        <v>Includes major assessment behavior for management component backup in the context of vcf management backup and restore.</v>
      </c>
      <c r="K215" s="2" t="str">
        <f>IF('03_Functionalities'!G215="","",'03_Functionalities'!G215)</f>
        <v>Excludes low-level configuration toggles, cosmetic UI behavior, and implementation-specific inventory minutiae unless they materially affect parity or risk.</v>
      </c>
      <c r="L215" s="2" t="str">
        <f>IF('03_Functionalities'!I215="","",'03_Functionalities'!I215)</f>
        <v>Resilience</v>
      </c>
      <c r="M215" s="2" t="str">
        <f>IF('03_Functionalities'!J215="","",'03_Functionalities'!J215)</f>
        <v>Management Protection</v>
      </c>
      <c r="N215" s="2" t="str">
        <f>IF('03_Functionalities'!K215="","",'03_Functionalities'!K215)</f>
        <v>Critical</v>
      </c>
      <c r="O215" s="2" t="str">
        <f>IF('03_Functionalities'!L215="","",'03_Functionalities'!L215)</f>
        <v>High</v>
      </c>
      <c r="P215" s="2" t="str">
        <f>IF('03_Functionalities'!M215="","",'03_Functionalities'!M215)</f>
        <v>Official vendor documentation, release notes, validated KB/article, product guide, or architecture reference with version applicability.</v>
      </c>
      <c r="Q215" s="2" t="str">
        <f>IF('03_Functionalities'!N215="","",'03_Functionalities'!N215)</f>
        <v>VCF 9.1 VCF management backup and restore Management component backup comparator parity evidence</v>
      </c>
      <c r="R215" s="2" t="str">
        <f>IF('03_Functionalities'!O215="","",'03_Functionalities'!O215)</f>
        <v>Yes</v>
      </c>
      <c r="S215" s="2" t="e">
        <f ca="1">IF(C215="","",_xludf.XLOOKUP(C215,'01_Products'!A:A,'01_Products'!K:K,0))</f>
        <v>#NAME?</v>
      </c>
      <c r="T215" s="2" t="e">
        <f ca="1">IF(B215="","",_xludf.XLOOKUP(B215,'02_Features'!A:A,'02_Features'!L:L,0))</f>
        <v>#NAME?</v>
      </c>
      <c r="U215" s="2">
        <f>IF('03_Functionalities'!P215="","",'03_Functionalities'!P215)</f>
        <v>1</v>
      </c>
      <c r="V215" s="2" t="str">
        <f>IF('03_Functionalities'!Q215="","",'03_Functionalities'!Q215)</f>
        <v>Draft</v>
      </c>
      <c r="W215" s="2" t="str">
        <f>IF('03_Functionalities'!R215="","",'03_Functionalities'!R215)</f>
        <v>https://www.vmware.com/docs/vmware-cloud-foundation-9-1-feature-comparison-and-upgrade-paths</v>
      </c>
      <c r="X215" s="2" t="str">
        <f>IF('03_Functionalities'!S215="","",'03_Functionalities'!S215)</f>
        <v>High</v>
      </c>
    </row>
    <row r="216" spans="1:24" ht="57">
      <c r="A216" s="2" t="str">
        <f>IF('03_Functionalities'!A216="","",'03_Functionalities'!A216)</f>
        <v>FN-RESILIENCE-01-02</v>
      </c>
      <c r="B216" s="2" t="str">
        <f>IF('03_Functionalities'!B216="","",'03_Functionalities'!B216)</f>
        <v>FT-RESILIENCE-01</v>
      </c>
      <c r="C216" s="2" t="str">
        <f>IF('03_Functionalities'!C216="","",'03_Functionalities'!C216)</f>
        <v>PC-RESILIENCE</v>
      </c>
      <c r="D216" s="2" t="e">
        <f ca="1">IF(C216="","",_xludf.XLOOKUP(C216,'01_Products'!A:A,'01_Products'!B:B,"Missing Product"))</f>
        <v>#NAME?</v>
      </c>
      <c r="E216" s="2" t="e">
        <f ca="1">IF(C216="","",_xludf.XLOOKUP(C216,'01_Products'!A:A,'01_Products'!C:C,"Missing Type"))</f>
        <v>#NAME?</v>
      </c>
      <c r="F216" s="2" t="e">
        <f ca="1">IF(B216="","",_xludf.XLOOKUP(B216,'02_Features'!A:A,'02_Features'!C:C,"Missing Feature"))</f>
        <v>#NAME?</v>
      </c>
      <c r="G216" s="2" t="e">
        <f ca="1">IF(B216="","",_xludf.XLOOKUP(B216,'02_Features'!A:A,'02_Features'!E:E,"Missing Prompt"))</f>
        <v>#NAME?</v>
      </c>
      <c r="H216" s="2" t="str">
        <f>IF('03_Functionalities'!D216="","",'03_Functionalities'!D216)</f>
        <v>Management component restore</v>
      </c>
      <c r="I216" s="2" t="str">
        <f>IF('03_Functionalities'!E216="","",'03_Functionalities'!E216)</f>
        <v>Major functionality for management component restore.</v>
      </c>
      <c r="J216" s="2" t="str">
        <f>IF('03_Functionalities'!F216="","",'03_Functionalities'!F216)</f>
        <v>Includes major assessment behavior for management component restore in the context of vcf management backup and restore.</v>
      </c>
      <c r="K216" s="2" t="str">
        <f>IF('03_Functionalities'!G216="","",'03_Functionalities'!G216)</f>
        <v>Excludes low-level configuration toggles, cosmetic UI behavior, and implementation-specific inventory minutiae unless they materially affect parity or risk.</v>
      </c>
      <c r="L216" s="2" t="str">
        <f>IF('03_Functionalities'!I216="","",'03_Functionalities'!I216)</f>
        <v>Resilience</v>
      </c>
      <c r="M216" s="2" t="str">
        <f>IF('03_Functionalities'!J216="","",'03_Functionalities'!J216)</f>
        <v>Management Protection</v>
      </c>
      <c r="N216" s="2" t="str">
        <f>IF('03_Functionalities'!K216="","",'03_Functionalities'!K216)</f>
        <v>Critical</v>
      </c>
      <c r="O216" s="2" t="str">
        <f>IF('03_Functionalities'!L216="","",'03_Functionalities'!L216)</f>
        <v>High</v>
      </c>
      <c r="P216" s="2" t="str">
        <f>IF('03_Functionalities'!M216="","",'03_Functionalities'!M216)</f>
        <v>Official vendor documentation, release notes, validated KB/article, product guide, or architecture reference with version applicability.</v>
      </c>
      <c r="Q216" s="2" t="str">
        <f>IF('03_Functionalities'!N216="","",'03_Functionalities'!N216)</f>
        <v>VCF 9.1 VCF management backup and restore Management component restore comparator parity evidence</v>
      </c>
      <c r="R216" s="2" t="str">
        <f>IF('03_Functionalities'!O216="","",'03_Functionalities'!O216)</f>
        <v>Yes</v>
      </c>
      <c r="S216" s="2" t="e">
        <f ca="1">IF(C216="","",_xludf.XLOOKUP(C216,'01_Products'!A:A,'01_Products'!K:K,0))</f>
        <v>#NAME?</v>
      </c>
      <c r="T216" s="2" t="e">
        <f ca="1">IF(B216="","",_xludf.XLOOKUP(B216,'02_Features'!A:A,'02_Features'!L:L,0))</f>
        <v>#NAME?</v>
      </c>
      <c r="U216" s="2">
        <f>IF('03_Functionalities'!P216="","",'03_Functionalities'!P216)</f>
        <v>2</v>
      </c>
      <c r="V216" s="2" t="str">
        <f>IF('03_Functionalities'!Q216="","",'03_Functionalities'!Q216)</f>
        <v>Draft</v>
      </c>
      <c r="W216" s="2" t="str">
        <f>IF('03_Functionalities'!R216="","",'03_Functionalities'!R216)</f>
        <v>https://www.vmware.com/docs/vmware-cloud-foundation-9-1-feature-comparison-and-upgrade-paths</v>
      </c>
      <c r="X216" s="2" t="str">
        <f>IF('03_Functionalities'!S216="","",'03_Functionalities'!S216)</f>
        <v>High</v>
      </c>
    </row>
    <row r="217" spans="1:24" ht="57">
      <c r="A217" s="2" t="str">
        <f>IF('03_Functionalities'!A217="","",'03_Functionalities'!A217)</f>
        <v>FN-RESILIENCE-01-03</v>
      </c>
      <c r="B217" s="2" t="str">
        <f>IF('03_Functionalities'!B217="","",'03_Functionalities'!B217)</f>
        <v>FT-RESILIENCE-01</v>
      </c>
      <c r="C217" s="2" t="str">
        <f>IF('03_Functionalities'!C217="","",'03_Functionalities'!C217)</f>
        <v>PC-RESILIENCE</v>
      </c>
      <c r="D217" s="2" t="e">
        <f ca="1">IF(C217="","",_xludf.XLOOKUP(C217,'01_Products'!A:A,'01_Products'!B:B,"Missing Product"))</f>
        <v>#NAME?</v>
      </c>
      <c r="E217" s="2" t="e">
        <f ca="1">IF(C217="","",_xludf.XLOOKUP(C217,'01_Products'!A:A,'01_Products'!C:C,"Missing Type"))</f>
        <v>#NAME?</v>
      </c>
      <c r="F217" s="2" t="e">
        <f ca="1">IF(B217="","",_xludf.XLOOKUP(B217,'02_Features'!A:A,'02_Features'!C:C,"Missing Feature"))</f>
        <v>#NAME?</v>
      </c>
      <c r="G217" s="2" t="e">
        <f ca="1">IF(B217="","",_xludf.XLOOKUP(B217,'02_Features'!A:A,'02_Features'!E:E,"Missing Prompt"))</f>
        <v>#NAME?</v>
      </c>
      <c r="H217" s="2" t="str">
        <f>IF('03_Functionalities'!D217="","",'03_Functionalities'!D217)</f>
        <v>Backup evidence and retention governance</v>
      </c>
      <c r="I217" s="2" t="str">
        <f>IF('03_Functionalities'!E217="","",'03_Functionalities'!E217)</f>
        <v>Major functionality for backup evidence and retention governance.</v>
      </c>
      <c r="J217" s="2" t="str">
        <f>IF('03_Functionalities'!F217="","",'03_Functionalities'!F217)</f>
        <v>Includes major assessment behavior for backup evidence and retention governance in the context of vcf management backup and restore.</v>
      </c>
      <c r="K217" s="2" t="str">
        <f>IF('03_Functionalities'!G217="","",'03_Functionalities'!G217)</f>
        <v>Excludes low-level configuration toggles, cosmetic UI behavior, and implementation-specific inventory minutiae unless they materially affect parity or risk.</v>
      </c>
      <c r="L217" s="2" t="str">
        <f>IF('03_Functionalities'!I217="","",'03_Functionalities'!I217)</f>
        <v>Resilience</v>
      </c>
      <c r="M217" s="2" t="str">
        <f>IF('03_Functionalities'!J217="","",'03_Functionalities'!J217)</f>
        <v>Management Protection</v>
      </c>
      <c r="N217" s="2" t="str">
        <f>IF('03_Functionalities'!K217="","",'03_Functionalities'!K217)</f>
        <v>Critical</v>
      </c>
      <c r="O217" s="2" t="str">
        <f>IF('03_Functionalities'!L217="","",'03_Functionalities'!L217)</f>
        <v>High</v>
      </c>
      <c r="P217" s="2" t="str">
        <f>IF('03_Functionalities'!M217="","",'03_Functionalities'!M217)</f>
        <v>Official vendor documentation, release notes, validated KB/article, product guide, or architecture reference with version applicability.</v>
      </c>
      <c r="Q217" s="2" t="str">
        <f>IF('03_Functionalities'!N217="","",'03_Functionalities'!N217)</f>
        <v>VCF 9.1 VCF management backup and restore Backup evidence and retention governance comparator parity evidence</v>
      </c>
      <c r="R217" s="2" t="str">
        <f>IF('03_Functionalities'!O217="","",'03_Functionalities'!O217)</f>
        <v>Yes</v>
      </c>
      <c r="S217" s="2" t="e">
        <f ca="1">IF(C217="","",_xludf.XLOOKUP(C217,'01_Products'!A:A,'01_Products'!K:K,0))</f>
        <v>#NAME?</v>
      </c>
      <c r="T217" s="2" t="e">
        <f ca="1">IF(B217="","",_xludf.XLOOKUP(B217,'02_Features'!A:A,'02_Features'!L:L,0))</f>
        <v>#NAME?</v>
      </c>
      <c r="U217" s="2">
        <f>IF('03_Functionalities'!P217="","",'03_Functionalities'!P217)</f>
        <v>3</v>
      </c>
      <c r="V217" s="2" t="str">
        <f>IF('03_Functionalities'!Q217="","",'03_Functionalities'!Q217)</f>
        <v>Draft</v>
      </c>
      <c r="W217" s="2" t="str">
        <f>IF('03_Functionalities'!R217="","",'03_Functionalities'!R217)</f>
        <v>https://www.vmware.com/docs/vmware-cloud-foundation-9-1-feature-comparison-and-upgrade-paths</v>
      </c>
      <c r="X217" s="2" t="str">
        <f>IF('03_Functionalities'!S217="","",'03_Functionalities'!S217)</f>
        <v>High</v>
      </c>
    </row>
    <row r="218" spans="1:24" ht="71.25">
      <c r="A218" s="2" t="str">
        <f>IF('03_Functionalities'!A218="","",'03_Functionalities'!A218)</f>
        <v>FN-RESILIENCE-02-01</v>
      </c>
      <c r="B218" s="2" t="str">
        <f>IF('03_Functionalities'!B218="","",'03_Functionalities'!B218)</f>
        <v>FT-RESILIENCE-02</v>
      </c>
      <c r="C218" s="2" t="str">
        <f>IF('03_Functionalities'!C218="","",'03_Functionalities'!C218)</f>
        <v>PC-RESILIENCE</v>
      </c>
      <c r="D218" s="2" t="e">
        <f ca="1">IF(C218="","",_xludf.XLOOKUP(C218,'01_Products'!A:A,'01_Products'!B:B,"Missing Product"))</f>
        <v>#NAME?</v>
      </c>
      <c r="E218" s="2" t="e">
        <f ca="1">IF(C218="","",_xludf.XLOOKUP(C218,'01_Products'!A:A,'01_Products'!C:C,"Missing Type"))</f>
        <v>#NAME?</v>
      </c>
      <c r="F218" s="2" t="e">
        <f ca="1">IF(B218="","",_xludf.XLOOKUP(B218,'02_Features'!A:A,'02_Features'!C:C,"Missing Feature"))</f>
        <v>#NAME?</v>
      </c>
      <c r="G218" s="2" t="e">
        <f ca="1">IF(B218="","",_xludf.XLOOKUP(B218,'02_Features'!A:A,'02_Features'!E:E,"Missing Prompt"))</f>
        <v>#NAME?</v>
      </c>
      <c r="H218" s="2" t="str">
        <f>IF('03_Functionalities'!D218="","",'03_Functionalities'!D218)</f>
        <v>VM replication setup</v>
      </c>
      <c r="I218" s="2" t="str">
        <f>IF('03_Functionalities'!E218="","",'03_Functionalities'!E218)</f>
        <v>Major functionality for vm replication setup.</v>
      </c>
      <c r="J218" s="2" t="str">
        <f>IF('03_Functionalities'!F218="","",'03_Functionalities'!F218)</f>
        <v>Includes major assessment behavior for vm replication setup in the context of vm and workload replication.</v>
      </c>
      <c r="K218" s="2" t="str">
        <f>IF('03_Functionalities'!G218="","",'03_Functionalities'!G218)</f>
        <v>Excludes low-level configuration toggles, cosmetic UI behavior, and implementation-specific inventory minutiae unless they materially affect parity or risk.</v>
      </c>
      <c r="L218" s="2" t="str">
        <f>IF('03_Functionalities'!I218="","",'03_Functionalities'!I218)</f>
        <v>Resilience</v>
      </c>
      <c r="M218" s="2" t="str">
        <f>IF('03_Functionalities'!J218="","",'03_Functionalities'!J218)</f>
        <v>Replication</v>
      </c>
      <c r="N218" s="2" t="str">
        <f>IF('03_Functionalities'!K218="","",'03_Functionalities'!K218)</f>
        <v>High</v>
      </c>
      <c r="O218" s="2" t="str">
        <f>IF('03_Functionalities'!L218="","",'03_Functionalities'!L218)</f>
        <v>High</v>
      </c>
      <c r="P218" s="2" t="str">
        <f>IF('03_Functionalities'!M218="","",'03_Functionalities'!M218)</f>
        <v>Official vendor documentation, release notes, validated KB/article, product guide, or architecture reference with version applicability.</v>
      </c>
      <c r="Q218" s="2" t="str">
        <f>IF('03_Functionalities'!N218="","",'03_Functionalities'!N218)</f>
        <v>VCF 9.1 VM and workload replication VM replication setup comparator parity evidence</v>
      </c>
      <c r="R218" s="2" t="str">
        <f>IF('03_Functionalities'!O218="","",'03_Functionalities'!O218)</f>
        <v>Yes</v>
      </c>
      <c r="S218" s="2" t="e">
        <f ca="1">IF(C218="","",_xludf.XLOOKUP(C218,'01_Products'!A:A,'01_Products'!K:K,0))</f>
        <v>#NAME?</v>
      </c>
      <c r="T218" s="2" t="e">
        <f ca="1">IF(B218="","",_xludf.XLOOKUP(B218,'02_Features'!A:A,'02_Features'!L:L,0))</f>
        <v>#NAME?</v>
      </c>
      <c r="U218" s="2">
        <f>IF('03_Functionalities'!P218="","",'03_Functionalities'!P218)</f>
        <v>1</v>
      </c>
      <c r="V218" s="2" t="str">
        <f>IF('03_Functionalities'!Q218="","",'03_Functionalities'!Q218)</f>
        <v>Draft</v>
      </c>
      <c r="W218" s="2" t="str">
        <f>IF('03_Functionalities'!R218="","",'03_Functionalities'!R218)</f>
        <v>https://techdocs.broadcom.com/us/en/vmware-cis/vcf/vcf-9-0-and-later/9-1/release-notes/vmware-cloud-foundation-9-1-0-0-release-notes/what-s-new/whats-new-vcf-cli-api-sdk/vcf-changelog.html</v>
      </c>
      <c r="X218" s="2" t="str">
        <f>IF('03_Functionalities'!S218="","",'03_Functionalities'!S218)</f>
        <v>High</v>
      </c>
    </row>
    <row r="219" spans="1:24" ht="71.25">
      <c r="A219" s="2" t="str">
        <f>IF('03_Functionalities'!A219="","",'03_Functionalities'!A219)</f>
        <v>FN-RESILIENCE-02-02</v>
      </c>
      <c r="B219" s="2" t="str">
        <f>IF('03_Functionalities'!B219="","",'03_Functionalities'!B219)</f>
        <v>FT-RESILIENCE-02</v>
      </c>
      <c r="C219" s="2" t="str">
        <f>IF('03_Functionalities'!C219="","",'03_Functionalities'!C219)</f>
        <v>PC-RESILIENCE</v>
      </c>
      <c r="D219" s="2" t="e">
        <f ca="1">IF(C219="","",_xludf.XLOOKUP(C219,'01_Products'!A:A,'01_Products'!B:B,"Missing Product"))</f>
        <v>#NAME?</v>
      </c>
      <c r="E219" s="2" t="e">
        <f ca="1">IF(C219="","",_xludf.XLOOKUP(C219,'01_Products'!A:A,'01_Products'!C:C,"Missing Type"))</f>
        <v>#NAME?</v>
      </c>
      <c r="F219" s="2" t="e">
        <f ca="1">IF(B219="","",_xludf.XLOOKUP(B219,'02_Features'!A:A,'02_Features'!C:C,"Missing Feature"))</f>
        <v>#NAME?</v>
      </c>
      <c r="G219" s="2" t="e">
        <f ca="1">IF(B219="","",_xludf.XLOOKUP(B219,'02_Features'!A:A,'02_Features'!E:E,"Missing Prompt"))</f>
        <v>#NAME?</v>
      </c>
      <c r="H219" s="2" t="str">
        <f>IF('03_Functionalities'!D219="","",'03_Functionalities'!D219)</f>
        <v>Replication monitoring</v>
      </c>
      <c r="I219" s="2" t="str">
        <f>IF('03_Functionalities'!E219="","",'03_Functionalities'!E219)</f>
        <v>Major functionality for replication monitoring.</v>
      </c>
      <c r="J219" s="2" t="str">
        <f>IF('03_Functionalities'!F219="","",'03_Functionalities'!F219)</f>
        <v>Includes major assessment behavior for replication monitoring in the context of vm and workload replication.</v>
      </c>
      <c r="K219" s="2" t="str">
        <f>IF('03_Functionalities'!G219="","",'03_Functionalities'!G219)</f>
        <v>Excludes low-level configuration toggles, cosmetic UI behavior, and implementation-specific inventory minutiae unless they materially affect parity or risk.</v>
      </c>
      <c r="L219" s="2" t="str">
        <f>IF('03_Functionalities'!I219="","",'03_Functionalities'!I219)</f>
        <v>Resilience</v>
      </c>
      <c r="M219" s="2" t="str">
        <f>IF('03_Functionalities'!J219="","",'03_Functionalities'!J219)</f>
        <v>Replication</v>
      </c>
      <c r="N219" s="2" t="str">
        <f>IF('03_Functionalities'!K219="","",'03_Functionalities'!K219)</f>
        <v>High</v>
      </c>
      <c r="O219" s="2" t="str">
        <f>IF('03_Functionalities'!L219="","",'03_Functionalities'!L219)</f>
        <v>High</v>
      </c>
      <c r="P219" s="2" t="str">
        <f>IF('03_Functionalities'!M219="","",'03_Functionalities'!M219)</f>
        <v>Official vendor documentation, release notes, validated KB/article, product guide, or architecture reference with version applicability.</v>
      </c>
      <c r="Q219" s="2" t="str">
        <f>IF('03_Functionalities'!N219="","",'03_Functionalities'!N219)</f>
        <v>VCF 9.1 VM and workload replication Replication monitoring comparator parity evidence</v>
      </c>
      <c r="R219" s="2" t="str">
        <f>IF('03_Functionalities'!O219="","",'03_Functionalities'!O219)</f>
        <v>Yes</v>
      </c>
      <c r="S219" s="2" t="e">
        <f ca="1">IF(C219="","",_xludf.XLOOKUP(C219,'01_Products'!A:A,'01_Products'!K:K,0))</f>
        <v>#NAME?</v>
      </c>
      <c r="T219" s="2" t="e">
        <f ca="1">IF(B219="","",_xludf.XLOOKUP(B219,'02_Features'!A:A,'02_Features'!L:L,0))</f>
        <v>#NAME?</v>
      </c>
      <c r="U219" s="2">
        <f>IF('03_Functionalities'!P219="","",'03_Functionalities'!P219)</f>
        <v>2</v>
      </c>
      <c r="V219" s="2" t="str">
        <f>IF('03_Functionalities'!Q219="","",'03_Functionalities'!Q219)</f>
        <v>Draft</v>
      </c>
      <c r="W219" s="2" t="str">
        <f>IF('03_Functionalities'!R219="","",'03_Functionalities'!R219)</f>
        <v>https://techdocs.broadcom.com/us/en/vmware-cis/vcf/vcf-9-0-and-later/9-1/release-notes/vmware-cloud-foundation-9-1-0-0-release-notes/what-s-new/whats-new-vcf-cli-api-sdk/vcf-changelog.html</v>
      </c>
      <c r="X219" s="2" t="str">
        <f>IF('03_Functionalities'!S219="","",'03_Functionalities'!S219)</f>
        <v>High</v>
      </c>
    </row>
    <row r="220" spans="1:24" ht="71.25">
      <c r="A220" s="2" t="str">
        <f>IF('03_Functionalities'!A220="","",'03_Functionalities'!A220)</f>
        <v>FN-RESILIENCE-02-03</v>
      </c>
      <c r="B220" s="2" t="str">
        <f>IF('03_Functionalities'!B220="","",'03_Functionalities'!B220)</f>
        <v>FT-RESILIENCE-02</v>
      </c>
      <c r="C220" s="2" t="str">
        <f>IF('03_Functionalities'!C220="","",'03_Functionalities'!C220)</f>
        <v>PC-RESILIENCE</v>
      </c>
      <c r="D220" s="2" t="e">
        <f ca="1">IF(C220="","",_xludf.XLOOKUP(C220,'01_Products'!A:A,'01_Products'!B:B,"Missing Product"))</f>
        <v>#NAME?</v>
      </c>
      <c r="E220" s="2" t="e">
        <f ca="1">IF(C220="","",_xludf.XLOOKUP(C220,'01_Products'!A:A,'01_Products'!C:C,"Missing Type"))</f>
        <v>#NAME?</v>
      </c>
      <c r="F220" s="2" t="e">
        <f ca="1">IF(B220="","",_xludf.XLOOKUP(B220,'02_Features'!A:A,'02_Features'!C:C,"Missing Feature"))</f>
        <v>#NAME?</v>
      </c>
      <c r="G220" s="2" t="e">
        <f ca="1">IF(B220="","",_xludf.XLOOKUP(B220,'02_Features'!A:A,'02_Features'!E:E,"Missing Prompt"))</f>
        <v>#NAME?</v>
      </c>
      <c r="H220" s="2" t="str">
        <f>IF('03_Functionalities'!D220="","",'03_Functionalities'!D220)</f>
        <v>Replication recovery point control</v>
      </c>
      <c r="I220" s="2" t="str">
        <f>IF('03_Functionalities'!E220="","",'03_Functionalities'!E220)</f>
        <v>Major functionality for replication recovery point control.</v>
      </c>
      <c r="J220" s="2" t="str">
        <f>IF('03_Functionalities'!F220="","",'03_Functionalities'!F220)</f>
        <v>Includes major assessment behavior for replication recovery point control in the context of vm and workload replication.</v>
      </c>
      <c r="K220" s="2" t="str">
        <f>IF('03_Functionalities'!G220="","",'03_Functionalities'!G220)</f>
        <v>Excludes low-level configuration toggles, cosmetic UI behavior, and implementation-specific inventory minutiae unless they materially affect parity or risk.</v>
      </c>
      <c r="L220" s="2" t="str">
        <f>IF('03_Functionalities'!I220="","",'03_Functionalities'!I220)</f>
        <v>Resilience</v>
      </c>
      <c r="M220" s="2" t="str">
        <f>IF('03_Functionalities'!J220="","",'03_Functionalities'!J220)</f>
        <v>Replication</v>
      </c>
      <c r="N220" s="2" t="str">
        <f>IF('03_Functionalities'!K220="","",'03_Functionalities'!K220)</f>
        <v>High</v>
      </c>
      <c r="O220" s="2" t="str">
        <f>IF('03_Functionalities'!L220="","",'03_Functionalities'!L220)</f>
        <v>High</v>
      </c>
      <c r="P220" s="2" t="str">
        <f>IF('03_Functionalities'!M220="","",'03_Functionalities'!M220)</f>
        <v>Official vendor documentation, release notes, validated KB/article, product guide, or architecture reference with version applicability.</v>
      </c>
      <c r="Q220" s="2" t="str">
        <f>IF('03_Functionalities'!N220="","",'03_Functionalities'!N220)</f>
        <v>VCF 9.1 VM and workload replication Replication recovery point control comparator parity evidence</v>
      </c>
      <c r="R220" s="2" t="str">
        <f>IF('03_Functionalities'!O220="","",'03_Functionalities'!O220)</f>
        <v>Yes</v>
      </c>
      <c r="S220" s="2" t="e">
        <f ca="1">IF(C220="","",_xludf.XLOOKUP(C220,'01_Products'!A:A,'01_Products'!K:K,0))</f>
        <v>#NAME?</v>
      </c>
      <c r="T220" s="2" t="e">
        <f ca="1">IF(B220="","",_xludf.XLOOKUP(B220,'02_Features'!A:A,'02_Features'!L:L,0))</f>
        <v>#NAME?</v>
      </c>
      <c r="U220" s="2">
        <f>IF('03_Functionalities'!P220="","",'03_Functionalities'!P220)</f>
        <v>3</v>
      </c>
      <c r="V220" s="2" t="str">
        <f>IF('03_Functionalities'!Q220="","",'03_Functionalities'!Q220)</f>
        <v>Draft</v>
      </c>
      <c r="W220" s="2" t="str">
        <f>IF('03_Functionalities'!R220="","",'03_Functionalities'!R220)</f>
        <v>https://techdocs.broadcom.com/us/en/vmware-cis/vcf/vcf-9-0-and-later/9-1/release-notes/vmware-cloud-foundation-9-1-0-0-release-notes/what-s-new/whats-new-vcf-cli-api-sdk/vcf-changelog.html</v>
      </c>
      <c r="X220" s="2" t="str">
        <f>IF('03_Functionalities'!S220="","",'03_Functionalities'!S220)</f>
        <v>High</v>
      </c>
    </row>
    <row r="221" spans="1:24" ht="57">
      <c r="A221" s="2" t="str">
        <f>IF('03_Functionalities'!A221="","",'03_Functionalities'!A221)</f>
        <v>FN-RESILIENCE-03-01</v>
      </c>
      <c r="B221" s="2" t="str">
        <f>IF('03_Functionalities'!B221="","",'03_Functionalities'!B221)</f>
        <v>FT-RESILIENCE-03</v>
      </c>
      <c r="C221" s="2" t="str">
        <f>IF('03_Functionalities'!C221="","",'03_Functionalities'!C221)</f>
        <v>PC-RESILIENCE</v>
      </c>
      <c r="D221" s="2" t="e">
        <f ca="1">IF(C221="","",_xludf.XLOOKUP(C221,'01_Products'!A:A,'01_Products'!B:B,"Missing Product"))</f>
        <v>#NAME?</v>
      </c>
      <c r="E221" s="2" t="e">
        <f ca="1">IF(C221="","",_xludf.XLOOKUP(C221,'01_Products'!A:A,'01_Products'!C:C,"Missing Type"))</f>
        <v>#NAME?</v>
      </c>
      <c r="F221" s="2" t="e">
        <f ca="1">IF(B221="","",_xludf.XLOOKUP(B221,'02_Features'!A:A,'02_Features'!C:C,"Missing Feature"))</f>
        <v>#NAME?</v>
      </c>
      <c r="G221" s="2" t="e">
        <f ca="1">IF(B221="","",_xludf.XLOOKUP(B221,'02_Features'!A:A,'02_Features'!E:E,"Missing Prompt"))</f>
        <v>#NAME?</v>
      </c>
      <c r="H221" s="2" t="str">
        <f>IF('03_Functionalities'!D221="","",'03_Functionalities'!D221)</f>
        <v>Recovery plan orchestration</v>
      </c>
      <c r="I221" s="2" t="str">
        <f>IF('03_Functionalities'!E221="","",'03_Functionalities'!E221)</f>
        <v>Major functionality for recovery plan orchestration.</v>
      </c>
      <c r="J221" s="2" t="str">
        <f>IF('03_Functionalities'!F221="","",'03_Functionalities'!F221)</f>
        <v>Includes major assessment behavior for recovery plan orchestration in the context of site recovery orchestration.</v>
      </c>
      <c r="K221" s="2" t="str">
        <f>IF('03_Functionalities'!G221="","",'03_Functionalities'!G221)</f>
        <v>Excludes low-level configuration toggles, cosmetic UI behavior, and implementation-specific inventory minutiae unless they materially affect parity or risk.</v>
      </c>
      <c r="L221" s="2" t="str">
        <f>IF('03_Functionalities'!I221="","",'03_Functionalities'!I221)</f>
        <v>Resilience</v>
      </c>
      <c r="M221" s="2" t="str">
        <f>IF('03_Functionalities'!J221="","",'03_Functionalities'!J221)</f>
        <v>Site Recovery</v>
      </c>
      <c r="N221" s="2" t="str">
        <f>IF('03_Functionalities'!K221="","",'03_Functionalities'!K221)</f>
        <v>High</v>
      </c>
      <c r="O221" s="2" t="str">
        <f>IF('03_Functionalities'!L221="","",'03_Functionalities'!L221)</f>
        <v>High</v>
      </c>
      <c r="P221" s="2" t="str">
        <f>IF('03_Functionalities'!M221="","",'03_Functionalities'!M221)</f>
        <v>Official vendor documentation, release notes, validated KB/article, product guide, or architecture reference with version applicability.</v>
      </c>
      <c r="Q221" s="2" t="str">
        <f>IF('03_Functionalities'!N221="","",'03_Functionalities'!N221)</f>
        <v>VCF 9.1 Site recovery orchestration Recovery plan orchestration comparator parity evidence</v>
      </c>
      <c r="R221" s="2" t="str">
        <f>IF('03_Functionalities'!O221="","",'03_Functionalities'!O221)</f>
        <v>Yes</v>
      </c>
      <c r="S221" s="2" t="e">
        <f ca="1">IF(C221="","",_xludf.XLOOKUP(C221,'01_Products'!A:A,'01_Products'!K:K,0))</f>
        <v>#NAME?</v>
      </c>
      <c r="T221" s="2" t="e">
        <f ca="1">IF(B221="","",_xludf.XLOOKUP(B221,'02_Features'!A:A,'02_Features'!L:L,0))</f>
        <v>#NAME?</v>
      </c>
      <c r="U221" s="2">
        <f>IF('03_Functionalities'!P221="","",'03_Functionalities'!P221)</f>
        <v>1</v>
      </c>
      <c r="V221" s="2" t="str">
        <f>IF('03_Functionalities'!Q221="","",'03_Functionalities'!Q221)</f>
        <v>Draft</v>
      </c>
      <c r="W221" s="2" t="str">
        <f>IF('03_Functionalities'!R221="","",'03_Functionalities'!R221)</f>
        <v>https://www.vmware.com/docs/vmware-cloud-foundation-9-1-feature-comparison-and-upgrade-paths</v>
      </c>
      <c r="X221" s="2" t="str">
        <f>IF('03_Functionalities'!S221="","",'03_Functionalities'!S221)</f>
        <v>High</v>
      </c>
    </row>
    <row r="222" spans="1:24" ht="57">
      <c r="A222" s="2" t="str">
        <f>IF('03_Functionalities'!A222="","",'03_Functionalities'!A222)</f>
        <v>FN-RESILIENCE-03-02</v>
      </c>
      <c r="B222" s="2" t="str">
        <f>IF('03_Functionalities'!B222="","",'03_Functionalities'!B222)</f>
        <v>FT-RESILIENCE-03</v>
      </c>
      <c r="C222" s="2" t="str">
        <f>IF('03_Functionalities'!C222="","",'03_Functionalities'!C222)</f>
        <v>PC-RESILIENCE</v>
      </c>
      <c r="D222" s="2" t="e">
        <f ca="1">IF(C222="","",_xludf.XLOOKUP(C222,'01_Products'!A:A,'01_Products'!B:B,"Missing Product"))</f>
        <v>#NAME?</v>
      </c>
      <c r="E222" s="2" t="e">
        <f ca="1">IF(C222="","",_xludf.XLOOKUP(C222,'01_Products'!A:A,'01_Products'!C:C,"Missing Type"))</f>
        <v>#NAME?</v>
      </c>
      <c r="F222" s="2" t="e">
        <f ca="1">IF(B222="","",_xludf.XLOOKUP(B222,'02_Features'!A:A,'02_Features'!C:C,"Missing Feature"))</f>
        <v>#NAME?</v>
      </c>
      <c r="G222" s="2" t="e">
        <f ca="1">IF(B222="","",_xludf.XLOOKUP(B222,'02_Features'!A:A,'02_Features'!E:E,"Missing Prompt"))</f>
        <v>#NAME?</v>
      </c>
      <c r="H222" s="2" t="str">
        <f>IF('03_Functionalities'!D222="","",'03_Functionalities'!D222)</f>
        <v>Failover/failback workflow</v>
      </c>
      <c r="I222" s="2" t="str">
        <f>IF('03_Functionalities'!E222="","",'03_Functionalities'!E222)</f>
        <v>Major functionality for failover/failback workflow.</v>
      </c>
      <c r="J222" s="2" t="str">
        <f>IF('03_Functionalities'!F222="","",'03_Functionalities'!F222)</f>
        <v>Includes major assessment behavior for failover/failback workflow in the context of site recovery orchestration.</v>
      </c>
      <c r="K222" s="2" t="str">
        <f>IF('03_Functionalities'!G222="","",'03_Functionalities'!G222)</f>
        <v>Excludes low-level configuration toggles, cosmetic UI behavior, and implementation-specific inventory minutiae unless they materially affect parity or risk.</v>
      </c>
      <c r="L222" s="2" t="str">
        <f>IF('03_Functionalities'!I222="","",'03_Functionalities'!I222)</f>
        <v>Resilience</v>
      </c>
      <c r="M222" s="2" t="str">
        <f>IF('03_Functionalities'!J222="","",'03_Functionalities'!J222)</f>
        <v>Site Recovery</v>
      </c>
      <c r="N222" s="2" t="str">
        <f>IF('03_Functionalities'!K222="","",'03_Functionalities'!K222)</f>
        <v>High</v>
      </c>
      <c r="O222" s="2" t="str">
        <f>IF('03_Functionalities'!L222="","",'03_Functionalities'!L222)</f>
        <v>High</v>
      </c>
      <c r="P222" s="2" t="str">
        <f>IF('03_Functionalities'!M222="","",'03_Functionalities'!M222)</f>
        <v>Official vendor documentation, release notes, validated KB/article, product guide, or architecture reference with version applicability.</v>
      </c>
      <c r="Q222" s="2" t="str">
        <f>IF('03_Functionalities'!N222="","",'03_Functionalities'!N222)</f>
        <v>VCF 9.1 Site recovery orchestration Failover/failback workflow comparator parity evidence</v>
      </c>
      <c r="R222" s="2" t="str">
        <f>IF('03_Functionalities'!O222="","",'03_Functionalities'!O222)</f>
        <v>Yes</v>
      </c>
      <c r="S222" s="2" t="e">
        <f ca="1">IF(C222="","",_xludf.XLOOKUP(C222,'01_Products'!A:A,'01_Products'!K:K,0))</f>
        <v>#NAME?</v>
      </c>
      <c r="T222" s="2" t="e">
        <f ca="1">IF(B222="","",_xludf.XLOOKUP(B222,'02_Features'!A:A,'02_Features'!L:L,0))</f>
        <v>#NAME?</v>
      </c>
      <c r="U222" s="2">
        <f>IF('03_Functionalities'!P222="","",'03_Functionalities'!P222)</f>
        <v>2</v>
      </c>
      <c r="V222" s="2" t="str">
        <f>IF('03_Functionalities'!Q222="","",'03_Functionalities'!Q222)</f>
        <v>Draft</v>
      </c>
      <c r="W222" s="2" t="str">
        <f>IF('03_Functionalities'!R222="","",'03_Functionalities'!R222)</f>
        <v>https://www.vmware.com/docs/vmware-cloud-foundation-9-1-feature-comparison-and-upgrade-paths</v>
      </c>
      <c r="X222" s="2" t="str">
        <f>IF('03_Functionalities'!S222="","",'03_Functionalities'!S222)</f>
        <v>High</v>
      </c>
    </row>
    <row r="223" spans="1:24" ht="57">
      <c r="A223" s="2" t="str">
        <f>IF('03_Functionalities'!A223="","",'03_Functionalities'!A223)</f>
        <v>FN-RESILIENCE-03-03</v>
      </c>
      <c r="B223" s="2" t="str">
        <f>IF('03_Functionalities'!B223="","",'03_Functionalities'!B223)</f>
        <v>FT-RESILIENCE-03</v>
      </c>
      <c r="C223" s="2" t="str">
        <f>IF('03_Functionalities'!C223="","",'03_Functionalities'!C223)</f>
        <v>PC-RESILIENCE</v>
      </c>
      <c r="D223" s="2" t="e">
        <f ca="1">IF(C223="","",_xludf.XLOOKUP(C223,'01_Products'!A:A,'01_Products'!B:B,"Missing Product"))</f>
        <v>#NAME?</v>
      </c>
      <c r="E223" s="2" t="e">
        <f ca="1">IF(C223="","",_xludf.XLOOKUP(C223,'01_Products'!A:A,'01_Products'!C:C,"Missing Type"))</f>
        <v>#NAME?</v>
      </c>
      <c r="F223" s="2" t="e">
        <f ca="1">IF(B223="","",_xludf.XLOOKUP(B223,'02_Features'!A:A,'02_Features'!C:C,"Missing Feature"))</f>
        <v>#NAME?</v>
      </c>
      <c r="G223" s="2" t="e">
        <f ca="1">IF(B223="","",_xludf.XLOOKUP(B223,'02_Features'!A:A,'02_Features'!E:E,"Missing Prompt"))</f>
        <v>#NAME?</v>
      </c>
      <c r="H223" s="2" t="str">
        <f>IF('03_Functionalities'!D223="","",'03_Functionalities'!D223)</f>
        <v>Recovery runbook validation</v>
      </c>
      <c r="I223" s="2" t="str">
        <f>IF('03_Functionalities'!E223="","",'03_Functionalities'!E223)</f>
        <v>Major functionality for recovery runbook validation.</v>
      </c>
      <c r="J223" s="2" t="str">
        <f>IF('03_Functionalities'!F223="","",'03_Functionalities'!F223)</f>
        <v>Includes major assessment behavior for recovery runbook validation in the context of site recovery orchestration.</v>
      </c>
      <c r="K223" s="2" t="str">
        <f>IF('03_Functionalities'!G223="","",'03_Functionalities'!G223)</f>
        <v>Excludes low-level configuration toggles, cosmetic UI behavior, and implementation-specific inventory minutiae unless they materially affect parity or risk.</v>
      </c>
      <c r="L223" s="2" t="str">
        <f>IF('03_Functionalities'!I223="","",'03_Functionalities'!I223)</f>
        <v>Resilience</v>
      </c>
      <c r="M223" s="2" t="str">
        <f>IF('03_Functionalities'!J223="","",'03_Functionalities'!J223)</f>
        <v>Site Recovery</v>
      </c>
      <c r="N223" s="2" t="str">
        <f>IF('03_Functionalities'!K223="","",'03_Functionalities'!K223)</f>
        <v>High</v>
      </c>
      <c r="O223" s="2" t="str">
        <f>IF('03_Functionalities'!L223="","",'03_Functionalities'!L223)</f>
        <v>High</v>
      </c>
      <c r="P223" s="2" t="str">
        <f>IF('03_Functionalities'!M223="","",'03_Functionalities'!M223)</f>
        <v>Official vendor documentation, release notes, validated KB/article, product guide, or architecture reference with version applicability.</v>
      </c>
      <c r="Q223" s="2" t="str">
        <f>IF('03_Functionalities'!N223="","",'03_Functionalities'!N223)</f>
        <v>VCF 9.1 Site recovery orchestration Recovery runbook validation comparator parity evidence</v>
      </c>
      <c r="R223" s="2" t="str">
        <f>IF('03_Functionalities'!O223="","",'03_Functionalities'!O223)</f>
        <v>Yes</v>
      </c>
      <c r="S223" s="2" t="e">
        <f ca="1">IF(C223="","",_xludf.XLOOKUP(C223,'01_Products'!A:A,'01_Products'!K:K,0))</f>
        <v>#NAME?</v>
      </c>
      <c r="T223" s="2" t="e">
        <f ca="1">IF(B223="","",_xludf.XLOOKUP(B223,'02_Features'!A:A,'02_Features'!L:L,0))</f>
        <v>#NAME?</v>
      </c>
      <c r="U223" s="2">
        <f>IF('03_Functionalities'!P223="","",'03_Functionalities'!P223)</f>
        <v>3</v>
      </c>
      <c r="V223" s="2" t="str">
        <f>IF('03_Functionalities'!Q223="","",'03_Functionalities'!Q223)</f>
        <v>Draft</v>
      </c>
      <c r="W223" s="2" t="str">
        <f>IF('03_Functionalities'!R223="","",'03_Functionalities'!R223)</f>
        <v>https://www.vmware.com/docs/vmware-cloud-foundation-9-1-feature-comparison-and-upgrade-paths</v>
      </c>
      <c r="X223" s="2" t="str">
        <f>IF('03_Functionalities'!S223="","",'03_Functionalities'!S223)</f>
        <v>High</v>
      </c>
    </row>
    <row r="224" spans="1:24" ht="71.25">
      <c r="A224" s="2" t="str">
        <f>IF('03_Functionalities'!A224="","",'03_Functionalities'!A224)</f>
        <v>FN-RESILIENCE-04-01</v>
      </c>
      <c r="B224" s="2" t="str">
        <f>IF('03_Functionalities'!B224="","",'03_Functionalities'!B224)</f>
        <v>FT-RESILIENCE-04</v>
      </c>
      <c r="C224" s="2" t="str">
        <f>IF('03_Functionalities'!C224="","",'03_Functionalities'!C224)</f>
        <v>PC-RESILIENCE</v>
      </c>
      <c r="D224" s="2" t="e">
        <f ca="1">IF(C224="","",_xludf.XLOOKUP(C224,'01_Products'!A:A,'01_Products'!B:B,"Missing Product"))</f>
        <v>#NAME?</v>
      </c>
      <c r="E224" s="2" t="e">
        <f ca="1">IF(C224="","",_xludf.XLOOKUP(C224,'01_Products'!A:A,'01_Products'!C:C,"Missing Type"))</f>
        <v>#NAME?</v>
      </c>
      <c r="F224" s="2" t="e">
        <f ca="1">IF(B224="","",_xludf.XLOOKUP(B224,'02_Features'!A:A,'02_Features'!C:C,"Missing Feature"))</f>
        <v>#NAME?</v>
      </c>
      <c r="G224" s="2" t="e">
        <f ca="1">IF(B224="","",_xludf.XLOOKUP(B224,'02_Features'!A:A,'02_Features'!E:E,"Missing Prompt"))</f>
        <v>#NAME?</v>
      </c>
      <c r="H224" s="2" t="str">
        <f>IF('03_Functionalities'!D224="","",'03_Functionalities'!D224)</f>
        <v>vSAN snapshot policy</v>
      </c>
      <c r="I224" s="2" t="str">
        <f>IF('03_Functionalities'!E224="","",'03_Functionalities'!E224)</f>
        <v>Major functionality for vsan snapshot policy.</v>
      </c>
      <c r="J224" s="2" t="str">
        <f>IF('03_Functionalities'!F224="","",'03_Functionalities'!F224)</f>
        <v>Includes major assessment behavior for vsan snapshot policy in the context of vsan data protection and snapshots.</v>
      </c>
      <c r="K224" s="2" t="str">
        <f>IF('03_Functionalities'!G224="","",'03_Functionalities'!G224)</f>
        <v>Excludes low-level configuration toggles, cosmetic UI behavior, and implementation-specific inventory minutiae unless they materially affect parity or risk.</v>
      </c>
      <c r="L224" s="2" t="str">
        <f>IF('03_Functionalities'!I224="","",'03_Functionalities'!I224)</f>
        <v>Resilience</v>
      </c>
      <c r="M224" s="2" t="str">
        <f>IF('03_Functionalities'!J224="","",'03_Functionalities'!J224)</f>
        <v>vSAN Protection</v>
      </c>
      <c r="N224" s="2" t="str">
        <f>IF('03_Functionalities'!K224="","",'03_Functionalities'!K224)</f>
        <v>High</v>
      </c>
      <c r="O224" s="2" t="str">
        <f>IF('03_Functionalities'!L224="","",'03_Functionalities'!L224)</f>
        <v>High</v>
      </c>
      <c r="P224" s="2" t="str">
        <f>IF('03_Functionalities'!M224="","",'03_Functionalities'!M224)</f>
        <v>Official vendor documentation, release notes, validated KB/article, product guide, or architecture reference with version applicability.</v>
      </c>
      <c r="Q224" s="2" t="str">
        <f>IF('03_Functionalities'!N224="","",'03_Functionalities'!N224)</f>
        <v>VCF 9.1 vSAN data protection and snapshots vSAN snapshot policy comparator parity evidence</v>
      </c>
      <c r="R224" s="2" t="str">
        <f>IF('03_Functionalities'!O224="","",'03_Functionalities'!O224)</f>
        <v>Yes</v>
      </c>
      <c r="S224" s="2" t="e">
        <f ca="1">IF(C224="","",_xludf.XLOOKUP(C224,'01_Products'!A:A,'01_Products'!K:K,0))</f>
        <v>#NAME?</v>
      </c>
      <c r="T224" s="2" t="e">
        <f ca="1">IF(B224="","",_xludf.XLOOKUP(B224,'02_Features'!A:A,'02_Features'!L:L,0))</f>
        <v>#NAME?</v>
      </c>
      <c r="U224" s="2">
        <f>IF('03_Functionalities'!P224="","",'03_Functionalities'!P224)</f>
        <v>1</v>
      </c>
      <c r="V224" s="2" t="str">
        <f>IF('03_Functionalities'!Q224="","",'03_Functionalities'!Q224)</f>
        <v>Draft</v>
      </c>
      <c r="W224" s="2" t="str">
        <f>IF('03_Functionalities'!R224="","",'03_Functionalities'!R224)</f>
        <v>https://techdocs.broadcom.com/us/en/vmware-cis/vcf/vcf-9-0-and-later/9-1/release-notes/vmware-cloud-foundation-9-1-0-0-release-notes/what-s-new/whats-new-vcf-cli-api-sdk/vcf-changelog.html</v>
      </c>
      <c r="X224" s="2" t="str">
        <f>IF('03_Functionalities'!S224="","",'03_Functionalities'!S224)</f>
        <v>High</v>
      </c>
    </row>
    <row r="225" spans="1:24" ht="71.25">
      <c r="A225" s="2" t="str">
        <f>IF('03_Functionalities'!A225="","",'03_Functionalities'!A225)</f>
        <v>FN-RESILIENCE-04-02</v>
      </c>
      <c r="B225" s="2" t="str">
        <f>IF('03_Functionalities'!B225="","",'03_Functionalities'!B225)</f>
        <v>FT-RESILIENCE-04</v>
      </c>
      <c r="C225" s="2" t="str">
        <f>IF('03_Functionalities'!C225="","",'03_Functionalities'!C225)</f>
        <v>PC-RESILIENCE</v>
      </c>
      <c r="D225" s="2" t="e">
        <f ca="1">IF(C225="","",_xludf.XLOOKUP(C225,'01_Products'!A:A,'01_Products'!B:B,"Missing Product"))</f>
        <v>#NAME?</v>
      </c>
      <c r="E225" s="2" t="e">
        <f ca="1">IF(C225="","",_xludf.XLOOKUP(C225,'01_Products'!A:A,'01_Products'!C:C,"Missing Type"))</f>
        <v>#NAME?</v>
      </c>
      <c r="F225" s="2" t="e">
        <f ca="1">IF(B225="","",_xludf.XLOOKUP(B225,'02_Features'!A:A,'02_Features'!C:C,"Missing Feature"))</f>
        <v>#NAME?</v>
      </c>
      <c r="G225" s="2" t="e">
        <f ca="1">IF(B225="","",_xludf.XLOOKUP(B225,'02_Features'!A:A,'02_Features'!E:E,"Missing Prompt"))</f>
        <v>#NAME?</v>
      </c>
      <c r="H225" s="2" t="str">
        <f>IF('03_Functionalities'!D225="","",'03_Functionalities'!D225)</f>
        <v>Snapshot API consumption</v>
      </c>
      <c r="I225" s="2" t="str">
        <f>IF('03_Functionalities'!E225="","",'03_Functionalities'!E225)</f>
        <v>Major functionality for snapshot api consumption.</v>
      </c>
      <c r="J225" s="2" t="str">
        <f>IF('03_Functionalities'!F225="","",'03_Functionalities'!F225)</f>
        <v>Includes major assessment behavior for snapshot api consumption in the context of vsan data protection and snapshots.</v>
      </c>
      <c r="K225" s="2" t="str">
        <f>IF('03_Functionalities'!G225="","",'03_Functionalities'!G225)</f>
        <v>Excludes low-level configuration toggles, cosmetic UI behavior, and implementation-specific inventory minutiae unless they materially affect parity or risk.</v>
      </c>
      <c r="L225" s="2" t="str">
        <f>IF('03_Functionalities'!I225="","",'03_Functionalities'!I225)</f>
        <v>Resilience</v>
      </c>
      <c r="M225" s="2" t="str">
        <f>IF('03_Functionalities'!J225="","",'03_Functionalities'!J225)</f>
        <v>vSAN Protection</v>
      </c>
      <c r="N225" s="2" t="str">
        <f>IF('03_Functionalities'!K225="","",'03_Functionalities'!K225)</f>
        <v>High</v>
      </c>
      <c r="O225" s="2" t="str">
        <f>IF('03_Functionalities'!L225="","",'03_Functionalities'!L225)</f>
        <v>High</v>
      </c>
      <c r="P225" s="2" t="str">
        <f>IF('03_Functionalities'!M225="","",'03_Functionalities'!M225)</f>
        <v>Official vendor documentation, release notes, validated KB/article, product guide, or architecture reference with version applicability.</v>
      </c>
      <c r="Q225" s="2" t="str">
        <f>IF('03_Functionalities'!N225="","",'03_Functionalities'!N225)</f>
        <v>VCF 9.1 vSAN data protection and snapshots Snapshot API consumption comparator parity evidence</v>
      </c>
      <c r="R225" s="2" t="str">
        <f>IF('03_Functionalities'!O225="","",'03_Functionalities'!O225)</f>
        <v>Yes</v>
      </c>
      <c r="S225" s="2" t="e">
        <f ca="1">IF(C225="","",_xludf.XLOOKUP(C225,'01_Products'!A:A,'01_Products'!K:K,0))</f>
        <v>#NAME?</v>
      </c>
      <c r="T225" s="2" t="e">
        <f ca="1">IF(B225="","",_xludf.XLOOKUP(B225,'02_Features'!A:A,'02_Features'!L:L,0))</f>
        <v>#NAME?</v>
      </c>
      <c r="U225" s="2">
        <f>IF('03_Functionalities'!P225="","",'03_Functionalities'!P225)</f>
        <v>2</v>
      </c>
      <c r="V225" s="2" t="str">
        <f>IF('03_Functionalities'!Q225="","",'03_Functionalities'!Q225)</f>
        <v>Draft</v>
      </c>
      <c r="W225" s="2" t="str">
        <f>IF('03_Functionalities'!R225="","",'03_Functionalities'!R225)</f>
        <v>https://techdocs.broadcom.com/us/en/vmware-cis/vcf/vcf-9-0-and-later/9-1/release-notes/vmware-cloud-foundation-9-1-0-0-release-notes/what-s-new/whats-new-vcf-cli-api-sdk/vcf-changelog.html</v>
      </c>
      <c r="X225" s="2" t="str">
        <f>IF('03_Functionalities'!S225="","",'03_Functionalities'!S225)</f>
        <v>High</v>
      </c>
    </row>
    <row r="226" spans="1:24" ht="71.25">
      <c r="A226" s="2" t="str">
        <f>IF('03_Functionalities'!A226="","",'03_Functionalities'!A226)</f>
        <v>FN-RESILIENCE-04-03</v>
      </c>
      <c r="B226" s="2" t="str">
        <f>IF('03_Functionalities'!B226="","",'03_Functionalities'!B226)</f>
        <v>FT-RESILIENCE-04</v>
      </c>
      <c r="C226" s="2" t="str">
        <f>IF('03_Functionalities'!C226="","",'03_Functionalities'!C226)</f>
        <v>PC-RESILIENCE</v>
      </c>
      <c r="D226" s="2" t="e">
        <f ca="1">IF(C226="","",_xludf.XLOOKUP(C226,'01_Products'!A:A,'01_Products'!B:B,"Missing Product"))</f>
        <v>#NAME?</v>
      </c>
      <c r="E226" s="2" t="e">
        <f ca="1">IF(C226="","",_xludf.XLOOKUP(C226,'01_Products'!A:A,'01_Products'!C:C,"Missing Type"))</f>
        <v>#NAME?</v>
      </c>
      <c r="F226" s="2" t="e">
        <f ca="1">IF(B226="","",_xludf.XLOOKUP(B226,'02_Features'!A:A,'02_Features'!C:C,"Missing Feature"))</f>
        <v>#NAME?</v>
      </c>
      <c r="G226" s="2" t="e">
        <f ca="1">IF(B226="","",_xludf.XLOOKUP(B226,'02_Features'!A:A,'02_Features'!E:E,"Missing Prompt"))</f>
        <v>#NAME?</v>
      </c>
      <c r="H226" s="2" t="str">
        <f>IF('03_Functionalities'!D226="","",'03_Functionalities'!D226)</f>
        <v>Snapshot restore/recovery workflow</v>
      </c>
      <c r="I226" s="2" t="str">
        <f>IF('03_Functionalities'!E226="","",'03_Functionalities'!E226)</f>
        <v>Major functionality for snapshot restore/recovery workflow.</v>
      </c>
      <c r="J226" s="2" t="str">
        <f>IF('03_Functionalities'!F226="","",'03_Functionalities'!F226)</f>
        <v>Includes major assessment behavior for snapshot restore/recovery workflow in the context of vsan data protection and snapshots.</v>
      </c>
      <c r="K226" s="2" t="str">
        <f>IF('03_Functionalities'!G226="","",'03_Functionalities'!G226)</f>
        <v>Excludes low-level configuration toggles, cosmetic UI behavior, and implementation-specific inventory minutiae unless they materially affect parity or risk.</v>
      </c>
      <c r="L226" s="2" t="str">
        <f>IF('03_Functionalities'!I226="","",'03_Functionalities'!I226)</f>
        <v>Resilience</v>
      </c>
      <c r="M226" s="2" t="str">
        <f>IF('03_Functionalities'!J226="","",'03_Functionalities'!J226)</f>
        <v>vSAN Protection</v>
      </c>
      <c r="N226" s="2" t="str">
        <f>IF('03_Functionalities'!K226="","",'03_Functionalities'!K226)</f>
        <v>High</v>
      </c>
      <c r="O226" s="2" t="str">
        <f>IF('03_Functionalities'!L226="","",'03_Functionalities'!L226)</f>
        <v>High</v>
      </c>
      <c r="P226" s="2" t="str">
        <f>IF('03_Functionalities'!M226="","",'03_Functionalities'!M226)</f>
        <v>Official vendor documentation, release notes, validated KB/article, product guide, or architecture reference with version applicability.</v>
      </c>
      <c r="Q226" s="2" t="str">
        <f>IF('03_Functionalities'!N226="","",'03_Functionalities'!N226)</f>
        <v>VCF 9.1 vSAN data protection and snapshots Snapshot restore/recovery workflow comparator parity evidence</v>
      </c>
      <c r="R226" s="2" t="str">
        <f>IF('03_Functionalities'!O226="","",'03_Functionalities'!O226)</f>
        <v>Yes</v>
      </c>
      <c r="S226" s="2" t="e">
        <f ca="1">IF(C226="","",_xludf.XLOOKUP(C226,'01_Products'!A:A,'01_Products'!K:K,0))</f>
        <v>#NAME?</v>
      </c>
      <c r="T226" s="2" t="e">
        <f ca="1">IF(B226="","",_xludf.XLOOKUP(B226,'02_Features'!A:A,'02_Features'!L:L,0))</f>
        <v>#NAME?</v>
      </c>
      <c r="U226" s="2">
        <f>IF('03_Functionalities'!P226="","",'03_Functionalities'!P226)</f>
        <v>3</v>
      </c>
      <c r="V226" s="2" t="str">
        <f>IF('03_Functionalities'!Q226="","",'03_Functionalities'!Q226)</f>
        <v>Draft</v>
      </c>
      <c r="W226" s="2" t="str">
        <f>IF('03_Functionalities'!R226="","",'03_Functionalities'!R226)</f>
        <v>https://techdocs.broadcom.com/us/en/vmware-cis/vcf/vcf-9-0-and-later/9-1/release-notes/vmware-cloud-foundation-9-1-0-0-release-notes/what-s-new/whats-new-vcf-cli-api-sdk/vcf-changelog.html</v>
      </c>
      <c r="X226" s="2" t="str">
        <f>IF('03_Functionalities'!S226="","",'03_Functionalities'!S226)</f>
        <v>High</v>
      </c>
    </row>
    <row r="227" spans="1:24" ht="57">
      <c r="A227" s="2" t="str">
        <f>IF('03_Functionalities'!A227="","",'03_Functionalities'!A227)</f>
        <v>FN-RESILIENCE-05-01</v>
      </c>
      <c r="B227" s="2" t="str">
        <f>IF('03_Functionalities'!B227="","",'03_Functionalities'!B227)</f>
        <v>FT-RESILIENCE-05</v>
      </c>
      <c r="C227" s="2" t="str">
        <f>IF('03_Functionalities'!C227="","",'03_Functionalities'!C227)</f>
        <v>PC-RESILIENCE</v>
      </c>
      <c r="D227" s="2" t="e">
        <f ca="1">IF(C227="","",_xludf.XLOOKUP(C227,'01_Products'!A:A,'01_Products'!B:B,"Missing Product"))</f>
        <v>#NAME?</v>
      </c>
      <c r="E227" s="2" t="e">
        <f ca="1">IF(C227="","",_xludf.XLOOKUP(C227,'01_Products'!A:A,'01_Products'!C:C,"Missing Type"))</f>
        <v>#NAME?</v>
      </c>
      <c r="F227" s="2" t="e">
        <f ca="1">IF(B227="","",_xludf.XLOOKUP(B227,'02_Features'!A:A,'02_Features'!C:C,"Missing Feature"))</f>
        <v>#NAME?</v>
      </c>
      <c r="G227" s="2" t="e">
        <f ca="1">IF(B227="","",_xludf.XLOOKUP(B227,'02_Features'!A:A,'02_Features'!E:E,"Missing Prompt"))</f>
        <v>#NAME?</v>
      </c>
      <c r="H227" s="2" t="str">
        <f>IF('03_Functionalities'!D227="","",'03_Functionalities'!D227)</f>
        <v>Recovery test execution</v>
      </c>
      <c r="I227" s="2" t="str">
        <f>IF('03_Functionalities'!E227="","",'03_Functionalities'!E227)</f>
        <v>Major functionality for recovery test execution.</v>
      </c>
      <c r="J227" s="2" t="str">
        <f>IF('03_Functionalities'!F227="","",'03_Functionalities'!F227)</f>
        <v>Includes major assessment behavior for recovery test execution in the context of resilience operations and recovery validation.</v>
      </c>
      <c r="K227" s="2" t="str">
        <f>IF('03_Functionalities'!G227="","",'03_Functionalities'!G227)</f>
        <v>Excludes low-level configuration toggles, cosmetic UI behavior, and implementation-specific inventory minutiae unless they materially affect parity or risk.</v>
      </c>
      <c r="L227" s="2" t="str">
        <f>IF('03_Functionalities'!I227="","",'03_Functionalities'!I227)</f>
        <v>Resilience</v>
      </c>
      <c r="M227" s="2" t="str">
        <f>IF('03_Functionalities'!J227="","",'03_Functionalities'!J227)</f>
        <v>Recovery Assurance</v>
      </c>
      <c r="N227" s="2" t="str">
        <f>IF('03_Functionalities'!K227="","",'03_Functionalities'!K227)</f>
        <v>Medium</v>
      </c>
      <c r="O227" s="2" t="str">
        <f>IF('03_Functionalities'!L227="","",'03_Functionalities'!L227)</f>
        <v>High</v>
      </c>
      <c r="P227" s="2" t="str">
        <f>IF('03_Functionalities'!M227="","",'03_Functionalities'!M227)</f>
        <v>Official vendor documentation, release notes, validated KB/article, product guide, or architecture reference with version applicability.</v>
      </c>
      <c r="Q227" s="2" t="str">
        <f>IF('03_Functionalities'!N227="","",'03_Functionalities'!N227)</f>
        <v>VCF 9.1 Resilience operations and recovery validation Recovery test execution comparator parity evidence</v>
      </c>
      <c r="R227" s="2" t="str">
        <f>IF('03_Functionalities'!O227="","",'03_Functionalities'!O227)</f>
        <v>Yes</v>
      </c>
      <c r="S227" s="2" t="e">
        <f ca="1">IF(C227="","",_xludf.XLOOKUP(C227,'01_Products'!A:A,'01_Products'!K:K,0))</f>
        <v>#NAME?</v>
      </c>
      <c r="T227" s="2" t="e">
        <f ca="1">IF(B227="","",_xludf.XLOOKUP(B227,'02_Features'!A:A,'02_Features'!L:L,0))</f>
        <v>#NAME?</v>
      </c>
      <c r="U227" s="2">
        <f>IF('03_Functionalities'!P227="","",'03_Functionalities'!P227)</f>
        <v>1</v>
      </c>
      <c r="V227" s="2" t="str">
        <f>IF('03_Functionalities'!Q227="","",'03_Functionalities'!Q227)</f>
        <v>Draft</v>
      </c>
      <c r="W227" s="2" t="str">
        <f>IF('03_Functionalities'!R227="","",'03_Functionalities'!R227)</f>
        <v>https://www.vmware.com/docs/vmware-cloud-foundation-9-1-feature-comparison-and-upgrade-paths</v>
      </c>
      <c r="X227" s="2" t="str">
        <f>IF('03_Functionalities'!S227="","",'03_Functionalities'!S227)</f>
        <v>High</v>
      </c>
    </row>
    <row r="228" spans="1:24" ht="57">
      <c r="A228" s="2" t="str">
        <f>IF('03_Functionalities'!A228="","",'03_Functionalities'!A228)</f>
        <v>FN-RESILIENCE-05-02</v>
      </c>
      <c r="B228" s="2" t="str">
        <f>IF('03_Functionalities'!B228="","",'03_Functionalities'!B228)</f>
        <v>FT-RESILIENCE-05</v>
      </c>
      <c r="C228" s="2" t="str">
        <f>IF('03_Functionalities'!C228="","",'03_Functionalities'!C228)</f>
        <v>PC-RESILIENCE</v>
      </c>
      <c r="D228" s="2" t="e">
        <f ca="1">IF(C228="","",_xludf.XLOOKUP(C228,'01_Products'!A:A,'01_Products'!B:B,"Missing Product"))</f>
        <v>#NAME?</v>
      </c>
      <c r="E228" s="2" t="e">
        <f ca="1">IF(C228="","",_xludf.XLOOKUP(C228,'01_Products'!A:A,'01_Products'!C:C,"Missing Type"))</f>
        <v>#NAME?</v>
      </c>
      <c r="F228" s="2" t="e">
        <f ca="1">IF(B228="","",_xludf.XLOOKUP(B228,'02_Features'!A:A,'02_Features'!C:C,"Missing Feature"))</f>
        <v>#NAME?</v>
      </c>
      <c r="G228" s="2" t="e">
        <f ca="1">IF(B228="","",_xludf.XLOOKUP(B228,'02_Features'!A:A,'02_Features'!E:E,"Missing Prompt"))</f>
        <v>#NAME?</v>
      </c>
      <c r="H228" s="2" t="str">
        <f>IF('03_Functionalities'!D228="","",'03_Functionalities'!D228)</f>
        <v>Resilience dashboard evidence</v>
      </c>
      <c r="I228" s="2" t="str">
        <f>IF('03_Functionalities'!E228="","",'03_Functionalities'!E228)</f>
        <v>Major functionality for resilience dashboard evidence.</v>
      </c>
      <c r="J228" s="2" t="str">
        <f>IF('03_Functionalities'!F228="","",'03_Functionalities'!F228)</f>
        <v>Includes major assessment behavior for resilience dashboard evidence in the context of resilience operations and recovery validation.</v>
      </c>
      <c r="K228" s="2" t="str">
        <f>IF('03_Functionalities'!G228="","",'03_Functionalities'!G228)</f>
        <v>Excludes low-level configuration toggles, cosmetic UI behavior, and implementation-specific inventory minutiae unless they materially affect parity or risk.</v>
      </c>
      <c r="L228" s="2" t="str">
        <f>IF('03_Functionalities'!I228="","",'03_Functionalities'!I228)</f>
        <v>Resilience</v>
      </c>
      <c r="M228" s="2" t="str">
        <f>IF('03_Functionalities'!J228="","",'03_Functionalities'!J228)</f>
        <v>Recovery Assurance</v>
      </c>
      <c r="N228" s="2" t="str">
        <f>IF('03_Functionalities'!K228="","",'03_Functionalities'!K228)</f>
        <v>Medium</v>
      </c>
      <c r="O228" s="2" t="str">
        <f>IF('03_Functionalities'!L228="","",'03_Functionalities'!L228)</f>
        <v>High</v>
      </c>
      <c r="P228" s="2" t="str">
        <f>IF('03_Functionalities'!M228="","",'03_Functionalities'!M228)</f>
        <v>Official vendor documentation, release notes, validated KB/article, product guide, or architecture reference with version applicability.</v>
      </c>
      <c r="Q228" s="2" t="str">
        <f>IF('03_Functionalities'!N228="","",'03_Functionalities'!N228)</f>
        <v>VCF 9.1 Resilience operations and recovery validation Resilience dashboard evidence comparator parity evidence</v>
      </c>
      <c r="R228" s="2" t="str">
        <f>IF('03_Functionalities'!O228="","",'03_Functionalities'!O228)</f>
        <v>Yes</v>
      </c>
      <c r="S228" s="2" t="e">
        <f ca="1">IF(C228="","",_xludf.XLOOKUP(C228,'01_Products'!A:A,'01_Products'!K:K,0))</f>
        <v>#NAME?</v>
      </c>
      <c r="T228" s="2" t="e">
        <f ca="1">IF(B228="","",_xludf.XLOOKUP(B228,'02_Features'!A:A,'02_Features'!L:L,0))</f>
        <v>#NAME?</v>
      </c>
      <c r="U228" s="2">
        <f>IF('03_Functionalities'!P228="","",'03_Functionalities'!P228)</f>
        <v>2</v>
      </c>
      <c r="V228" s="2" t="str">
        <f>IF('03_Functionalities'!Q228="","",'03_Functionalities'!Q228)</f>
        <v>Draft</v>
      </c>
      <c r="W228" s="2" t="str">
        <f>IF('03_Functionalities'!R228="","",'03_Functionalities'!R228)</f>
        <v>https://www.vmware.com/docs/vmware-cloud-foundation-9-1-feature-comparison-and-upgrade-paths</v>
      </c>
      <c r="X228" s="2" t="str">
        <f>IF('03_Functionalities'!S228="","",'03_Functionalities'!S228)</f>
        <v>High</v>
      </c>
    </row>
    <row r="229" spans="1:24" ht="57">
      <c r="A229" s="2" t="str">
        <f>IF('03_Functionalities'!A229="","",'03_Functionalities'!A229)</f>
        <v>FN-RESILIENCE-05-03</v>
      </c>
      <c r="B229" s="2" t="str">
        <f>IF('03_Functionalities'!B229="","",'03_Functionalities'!B229)</f>
        <v>FT-RESILIENCE-05</v>
      </c>
      <c r="C229" s="2" t="str">
        <f>IF('03_Functionalities'!C229="","",'03_Functionalities'!C229)</f>
        <v>PC-RESILIENCE</v>
      </c>
      <c r="D229" s="2" t="e">
        <f ca="1">IF(C229="","",_xludf.XLOOKUP(C229,'01_Products'!A:A,'01_Products'!B:B,"Missing Product"))</f>
        <v>#NAME?</v>
      </c>
      <c r="E229" s="2" t="e">
        <f ca="1">IF(C229="","",_xludf.XLOOKUP(C229,'01_Products'!A:A,'01_Products'!C:C,"Missing Type"))</f>
        <v>#NAME?</v>
      </c>
      <c r="F229" s="2" t="e">
        <f ca="1">IF(B229="","",_xludf.XLOOKUP(B229,'02_Features'!A:A,'02_Features'!C:C,"Missing Feature"))</f>
        <v>#NAME?</v>
      </c>
      <c r="G229" s="2" t="e">
        <f ca="1">IF(B229="","",_xludf.XLOOKUP(B229,'02_Features'!A:A,'02_Features'!E:E,"Missing Prompt"))</f>
        <v>#NAME?</v>
      </c>
      <c r="H229" s="2" t="str">
        <f>IF('03_Functionalities'!D229="","",'03_Functionalities'!D229)</f>
        <v>Recovery readiness reporting</v>
      </c>
      <c r="I229" s="2" t="str">
        <f>IF('03_Functionalities'!E229="","",'03_Functionalities'!E229)</f>
        <v>Major functionality for recovery readiness reporting.</v>
      </c>
      <c r="J229" s="2" t="str">
        <f>IF('03_Functionalities'!F229="","",'03_Functionalities'!F229)</f>
        <v>Includes major assessment behavior for recovery readiness reporting in the context of resilience operations and recovery validation.</v>
      </c>
      <c r="K229" s="2" t="str">
        <f>IF('03_Functionalities'!G229="","",'03_Functionalities'!G229)</f>
        <v>Excludes low-level configuration toggles, cosmetic UI behavior, and implementation-specific inventory minutiae unless they materially affect parity or risk.</v>
      </c>
      <c r="L229" s="2" t="str">
        <f>IF('03_Functionalities'!I229="","",'03_Functionalities'!I229)</f>
        <v>Resilience</v>
      </c>
      <c r="M229" s="2" t="str">
        <f>IF('03_Functionalities'!J229="","",'03_Functionalities'!J229)</f>
        <v>Recovery Assurance</v>
      </c>
      <c r="N229" s="2" t="str">
        <f>IF('03_Functionalities'!K229="","",'03_Functionalities'!K229)</f>
        <v>Medium</v>
      </c>
      <c r="O229" s="2" t="str">
        <f>IF('03_Functionalities'!L229="","",'03_Functionalities'!L229)</f>
        <v>High</v>
      </c>
      <c r="P229" s="2" t="str">
        <f>IF('03_Functionalities'!M229="","",'03_Functionalities'!M229)</f>
        <v>Official vendor documentation, release notes, validated KB/article, product guide, or architecture reference with version applicability.</v>
      </c>
      <c r="Q229" s="2" t="str">
        <f>IF('03_Functionalities'!N229="","",'03_Functionalities'!N229)</f>
        <v>VCF 9.1 Resilience operations and recovery validation Recovery readiness reporting comparator parity evidence</v>
      </c>
      <c r="R229" s="2" t="str">
        <f>IF('03_Functionalities'!O229="","",'03_Functionalities'!O229)</f>
        <v>Yes</v>
      </c>
      <c r="S229" s="2" t="e">
        <f ca="1">IF(C229="","",_xludf.XLOOKUP(C229,'01_Products'!A:A,'01_Products'!K:K,0))</f>
        <v>#NAME?</v>
      </c>
      <c r="T229" s="2" t="e">
        <f ca="1">IF(B229="","",_xludf.XLOOKUP(B229,'02_Features'!A:A,'02_Features'!L:L,0))</f>
        <v>#NAME?</v>
      </c>
      <c r="U229" s="2">
        <f>IF('03_Functionalities'!P229="","",'03_Functionalities'!P229)</f>
        <v>3</v>
      </c>
      <c r="V229" s="2" t="str">
        <f>IF('03_Functionalities'!Q229="","",'03_Functionalities'!Q229)</f>
        <v>Draft</v>
      </c>
      <c r="W229" s="2" t="str">
        <f>IF('03_Functionalities'!R229="","",'03_Functionalities'!R229)</f>
        <v>https://www.vmware.com/docs/vmware-cloud-foundation-9-1-feature-comparison-and-upgrade-paths</v>
      </c>
      <c r="X229" s="2" t="str">
        <f>IF('03_Functionalities'!S229="","",'03_Functionalities'!S229)</f>
        <v>High</v>
      </c>
    </row>
    <row r="230" spans="1:24" ht="57">
      <c r="A230" s="2" t="str">
        <f>IF('03_Functionalities'!A230="","",'03_Functionalities'!A230)</f>
        <v>FN-PRIVATEAI-01-01</v>
      </c>
      <c r="B230" s="2" t="str">
        <f>IF('03_Functionalities'!B230="","",'03_Functionalities'!B230)</f>
        <v>FT-PRIVATEAI-01</v>
      </c>
      <c r="C230" s="2" t="str">
        <f>IF('03_Functionalities'!C230="","",'03_Functionalities'!C230)</f>
        <v>PC-PRIVATEAI</v>
      </c>
      <c r="D230" s="2" t="e">
        <f ca="1">IF(C230="","",_xludf.XLOOKUP(C230,'01_Products'!A:A,'01_Products'!B:B,"Missing Product"))</f>
        <v>#NAME?</v>
      </c>
      <c r="E230" s="2" t="e">
        <f ca="1">IF(C230="","",_xludf.XLOOKUP(C230,'01_Products'!A:A,'01_Products'!C:C,"Missing Type"))</f>
        <v>#NAME?</v>
      </c>
      <c r="F230" s="2" t="e">
        <f ca="1">IF(B230="","",_xludf.XLOOKUP(B230,'02_Features'!A:A,'02_Features'!C:C,"Missing Feature"))</f>
        <v>#NAME?</v>
      </c>
      <c r="G230" s="2" t="e">
        <f ca="1">IF(B230="","",_xludf.XLOOKUP(B230,'02_Features'!A:A,'02_Features'!E:E,"Missing Prompt"))</f>
        <v>#NAME?</v>
      </c>
      <c r="H230" s="2" t="str">
        <f>IF('03_Functionalities'!D230="","",'03_Functionalities'!D230)</f>
        <v>Private AI service activation</v>
      </c>
      <c r="I230" s="2" t="str">
        <f>IF('03_Functionalities'!E230="","",'03_Functionalities'!E230)</f>
        <v>Major functionality for private ai service activation.</v>
      </c>
      <c r="J230" s="2" t="str">
        <f>IF('03_Functionalities'!F230="","",'03_Functionalities'!F230)</f>
        <v>Includes major assessment behavior for private ai service activation in the context of private ai platform services.</v>
      </c>
      <c r="K230" s="2" t="str">
        <f>IF('03_Functionalities'!G230="","",'03_Functionalities'!G230)</f>
        <v>Excludes low-level configuration toggles, cosmetic UI behavior, and implementation-specific inventory minutiae unless they materially affect parity or risk.</v>
      </c>
      <c r="L230" s="2" t="str">
        <f>IF('03_Functionalities'!I230="","",'03_Functionalities'!I230)</f>
        <v>AI</v>
      </c>
      <c r="M230" s="2" t="str">
        <f>IF('03_Functionalities'!J230="","",'03_Functionalities'!J230)</f>
        <v>AI Platform</v>
      </c>
      <c r="N230" s="2" t="str">
        <f>IF('03_Functionalities'!K230="","",'03_Functionalities'!K230)</f>
        <v>Medium</v>
      </c>
      <c r="O230" s="2" t="str">
        <f>IF('03_Functionalities'!L230="","",'03_Functionalities'!L230)</f>
        <v>High</v>
      </c>
      <c r="P230" s="2" t="str">
        <f>IF('03_Functionalities'!M230="","",'03_Functionalities'!M230)</f>
        <v>Official vendor documentation, release notes, validated KB/article, product guide, or architecture reference with version applicability.</v>
      </c>
      <c r="Q230" s="2" t="str">
        <f>IF('03_Functionalities'!N230="","",'03_Functionalities'!N230)</f>
        <v>VCF 9.1 Private AI platform services Private AI service activation comparator parity evidence</v>
      </c>
      <c r="R230" s="2" t="str">
        <f>IF('03_Functionalities'!O230="","",'03_Functionalities'!O230)</f>
        <v>Yes</v>
      </c>
      <c r="S230" s="2" t="e">
        <f ca="1">IF(C230="","",_xludf.XLOOKUP(C230,'01_Products'!A:A,'01_Products'!K:K,0))</f>
        <v>#NAME?</v>
      </c>
      <c r="T230" s="2" t="e">
        <f ca="1">IF(B230="","",_xludf.XLOOKUP(B230,'02_Features'!A:A,'02_Features'!L:L,0))</f>
        <v>#NAME?</v>
      </c>
      <c r="U230" s="2">
        <f>IF('03_Functionalities'!P230="","",'03_Functionalities'!P230)</f>
        <v>1</v>
      </c>
      <c r="V230" s="2" t="str">
        <f>IF('03_Functionalities'!Q230="","",'03_Functionalities'!Q230)</f>
        <v>Draft</v>
      </c>
      <c r="W230" s="2" t="str">
        <f>IF('03_Functionalities'!R230="","",'03_Functionalities'!R230)</f>
        <v>https://www.vmware.com/docs/vmware-cloud-foundation-9-1-general-faqs</v>
      </c>
      <c r="X230" s="2" t="str">
        <f>IF('03_Functionalities'!S230="","",'03_Functionalities'!S230)</f>
        <v>High</v>
      </c>
    </row>
    <row r="231" spans="1:24" ht="57">
      <c r="A231" s="2" t="str">
        <f>IF('03_Functionalities'!A231="","",'03_Functionalities'!A231)</f>
        <v>FN-PRIVATEAI-01-02</v>
      </c>
      <c r="B231" s="2" t="str">
        <f>IF('03_Functionalities'!B231="","",'03_Functionalities'!B231)</f>
        <v>FT-PRIVATEAI-01</v>
      </c>
      <c r="C231" s="2" t="str">
        <f>IF('03_Functionalities'!C231="","",'03_Functionalities'!C231)</f>
        <v>PC-PRIVATEAI</v>
      </c>
      <c r="D231" s="2" t="e">
        <f ca="1">IF(C231="","",_xludf.XLOOKUP(C231,'01_Products'!A:A,'01_Products'!B:B,"Missing Product"))</f>
        <v>#NAME?</v>
      </c>
      <c r="E231" s="2" t="e">
        <f ca="1">IF(C231="","",_xludf.XLOOKUP(C231,'01_Products'!A:A,'01_Products'!C:C,"Missing Type"))</f>
        <v>#NAME?</v>
      </c>
      <c r="F231" s="2" t="e">
        <f ca="1">IF(B231="","",_xludf.XLOOKUP(B231,'02_Features'!A:A,'02_Features'!C:C,"Missing Feature"))</f>
        <v>#NAME?</v>
      </c>
      <c r="G231" s="2" t="e">
        <f ca="1">IF(B231="","",_xludf.XLOOKUP(B231,'02_Features'!A:A,'02_Features'!E:E,"Missing Prompt"))</f>
        <v>#NAME?</v>
      </c>
      <c r="H231" s="2" t="str">
        <f>IF('03_Functionalities'!D231="","",'03_Functionalities'!D231)</f>
        <v>AI service entitlement context</v>
      </c>
      <c r="I231" s="2" t="str">
        <f>IF('03_Functionalities'!E231="","",'03_Functionalities'!E231)</f>
        <v>Major functionality for ai service entitlement context.</v>
      </c>
      <c r="J231" s="2" t="str">
        <f>IF('03_Functionalities'!F231="","",'03_Functionalities'!F231)</f>
        <v>Includes major assessment behavior for ai service entitlement context in the context of private ai platform services.</v>
      </c>
      <c r="K231" s="2" t="str">
        <f>IF('03_Functionalities'!G231="","",'03_Functionalities'!G231)</f>
        <v>Excludes low-level configuration toggles, cosmetic UI behavior, and implementation-specific inventory minutiae unless they materially affect parity or risk.</v>
      </c>
      <c r="L231" s="2" t="str">
        <f>IF('03_Functionalities'!I231="","",'03_Functionalities'!I231)</f>
        <v>AI</v>
      </c>
      <c r="M231" s="2" t="str">
        <f>IF('03_Functionalities'!J231="","",'03_Functionalities'!J231)</f>
        <v>AI Platform</v>
      </c>
      <c r="N231" s="2" t="str">
        <f>IF('03_Functionalities'!K231="","",'03_Functionalities'!K231)</f>
        <v>Medium</v>
      </c>
      <c r="O231" s="2" t="str">
        <f>IF('03_Functionalities'!L231="","",'03_Functionalities'!L231)</f>
        <v>High</v>
      </c>
      <c r="P231" s="2" t="str">
        <f>IF('03_Functionalities'!M231="","",'03_Functionalities'!M231)</f>
        <v>Official vendor documentation, release notes, validated KB/article, product guide, or architecture reference with version applicability.</v>
      </c>
      <c r="Q231" s="2" t="str">
        <f>IF('03_Functionalities'!N231="","",'03_Functionalities'!N231)</f>
        <v>VCF 9.1 Private AI platform services AI service entitlement context comparator parity evidence</v>
      </c>
      <c r="R231" s="2" t="str">
        <f>IF('03_Functionalities'!O231="","",'03_Functionalities'!O231)</f>
        <v>Yes</v>
      </c>
      <c r="S231" s="2" t="e">
        <f ca="1">IF(C231="","",_xludf.XLOOKUP(C231,'01_Products'!A:A,'01_Products'!K:K,0))</f>
        <v>#NAME?</v>
      </c>
      <c r="T231" s="2" t="e">
        <f ca="1">IF(B231="","",_xludf.XLOOKUP(B231,'02_Features'!A:A,'02_Features'!L:L,0))</f>
        <v>#NAME?</v>
      </c>
      <c r="U231" s="2">
        <f>IF('03_Functionalities'!P231="","",'03_Functionalities'!P231)</f>
        <v>2</v>
      </c>
      <c r="V231" s="2" t="str">
        <f>IF('03_Functionalities'!Q231="","",'03_Functionalities'!Q231)</f>
        <v>Draft</v>
      </c>
      <c r="W231" s="2" t="str">
        <f>IF('03_Functionalities'!R231="","",'03_Functionalities'!R231)</f>
        <v>https://www.vmware.com/docs/vmware-cloud-foundation-9-1-general-faqs</v>
      </c>
      <c r="X231" s="2" t="str">
        <f>IF('03_Functionalities'!S231="","",'03_Functionalities'!S231)</f>
        <v>High</v>
      </c>
    </row>
    <row r="232" spans="1:24" ht="57">
      <c r="A232" s="2" t="str">
        <f>IF('03_Functionalities'!A232="","",'03_Functionalities'!A232)</f>
        <v>FN-PRIVATEAI-01-03</v>
      </c>
      <c r="B232" s="2" t="str">
        <f>IF('03_Functionalities'!B232="","",'03_Functionalities'!B232)</f>
        <v>FT-PRIVATEAI-01</v>
      </c>
      <c r="C232" s="2" t="str">
        <f>IF('03_Functionalities'!C232="","",'03_Functionalities'!C232)</f>
        <v>PC-PRIVATEAI</v>
      </c>
      <c r="D232" s="2" t="e">
        <f ca="1">IF(C232="","",_xludf.XLOOKUP(C232,'01_Products'!A:A,'01_Products'!B:B,"Missing Product"))</f>
        <v>#NAME?</v>
      </c>
      <c r="E232" s="2" t="e">
        <f ca="1">IF(C232="","",_xludf.XLOOKUP(C232,'01_Products'!A:A,'01_Products'!C:C,"Missing Type"))</f>
        <v>#NAME?</v>
      </c>
      <c r="F232" s="2" t="e">
        <f ca="1">IF(B232="","",_xludf.XLOOKUP(B232,'02_Features'!A:A,'02_Features'!C:C,"Missing Feature"))</f>
        <v>#NAME?</v>
      </c>
      <c r="G232" s="2" t="e">
        <f ca="1">IF(B232="","",_xludf.XLOOKUP(B232,'02_Features'!A:A,'02_Features'!E:E,"Missing Prompt"))</f>
        <v>#NAME?</v>
      </c>
      <c r="H232" s="2" t="str">
        <f>IF('03_Functionalities'!D232="","",'03_Functionalities'!D232)</f>
        <v>AI service governance and access</v>
      </c>
      <c r="I232" s="2" t="str">
        <f>IF('03_Functionalities'!E232="","",'03_Functionalities'!E232)</f>
        <v>Major functionality for ai service governance and access.</v>
      </c>
      <c r="J232" s="2" t="str">
        <f>IF('03_Functionalities'!F232="","",'03_Functionalities'!F232)</f>
        <v>Includes major assessment behavior for ai service governance and access in the context of private ai platform services.</v>
      </c>
      <c r="K232" s="2" t="str">
        <f>IF('03_Functionalities'!G232="","",'03_Functionalities'!G232)</f>
        <v>Excludes low-level configuration toggles, cosmetic UI behavior, and implementation-specific inventory minutiae unless they materially affect parity or risk.</v>
      </c>
      <c r="L232" s="2" t="str">
        <f>IF('03_Functionalities'!I232="","",'03_Functionalities'!I232)</f>
        <v>AI</v>
      </c>
      <c r="M232" s="2" t="str">
        <f>IF('03_Functionalities'!J232="","",'03_Functionalities'!J232)</f>
        <v>AI Platform</v>
      </c>
      <c r="N232" s="2" t="str">
        <f>IF('03_Functionalities'!K232="","",'03_Functionalities'!K232)</f>
        <v>Medium</v>
      </c>
      <c r="O232" s="2" t="str">
        <f>IF('03_Functionalities'!L232="","",'03_Functionalities'!L232)</f>
        <v>High</v>
      </c>
      <c r="P232" s="2" t="str">
        <f>IF('03_Functionalities'!M232="","",'03_Functionalities'!M232)</f>
        <v>Official vendor documentation, release notes, validated KB/article, product guide, or architecture reference with version applicability.</v>
      </c>
      <c r="Q232" s="2" t="str">
        <f>IF('03_Functionalities'!N232="","",'03_Functionalities'!N232)</f>
        <v>VCF 9.1 Private AI platform services AI service governance and access comparator parity evidence</v>
      </c>
      <c r="R232" s="2" t="str">
        <f>IF('03_Functionalities'!O232="","",'03_Functionalities'!O232)</f>
        <v>Yes</v>
      </c>
      <c r="S232" s="2" t="e">
        <f ca="1">IF(C232="","",_xludf.XLOOKUP(C232,'01_Products'!A:A,'01_Products'!K:K,0))</f>
        <v>#NAME?</v>
      </c>
      <c r="T232" s="2" t="e">
        <f ca="1">IF(B232="","",_xludf.XLOOKUP(B232,'02_Features'!A:A,'02_Features'!L:L,0))</f>
        <v>#NAME?</v>
      </c>
      <c r="U232" s="2">
        <f>IF('03_Functionalities'!P232="","",'03_Functionalities'!P232)</f>
        <v>3</v>
      </c>
      <c r="V232" s="2" t="str">
        <f>IF('03_Functionalities'!Q232="","",'03_Functionalities'!Q232)</f>
        <v>Draft</v>
      </c>
      <c r="W232" s="2" t="str">
        <f>IF('03_Functionalities'!R232="","",'03_Functionalities'!R232)</f>
        <v>https://www.vmware.com/docs/vmware-cloud-foundation-9-1-general-faqs</v>
      </c>
      <c r="X232" s="2" t="str">
        <f>IF('03_Functionalities'!S232="","",'03_Functionalities'!S232)</f>
        <v>High</v>
      </c>
    </row>
    <row r="233" spans="1:24" ht="57">
      <c r="A233" s="2" t="str">
        <f>IF('03_Functionalities'!A233="","",'03_Functionalities'!A233)</f>
        <v>FN-PRIVATEAI-02-01</v>
      </c>
      <c r="B233" s="2" t="str">
        <f>IF('03_Functionalities'!B233="","",'03_Functionalities'!B233)</f>
        <v>FT-PRIVATEAI-02</v>
      </c>
      <c r="C233" s="2" t="str">
        <f>IF('03_Functionalities'!C233="","",'03_Functionalities'!C233)</f>
        <v>PC-PRIVATEAI</v>
      </c>
      <c r="D233" s="2" t="e">
        <f ca="1">IF(C233="","",_xludf.XLOOKUP(C233,'01_Products'!A:A,'01_Products'!B:B,"Missing Product"))</f>
        <v>#NAME?</v>
      </c>
      <c r="E233" s="2" t="e">
        <f ca="1">IF(C233="","",_xludf.XLOOKUP(C233,'01_Products'!A:A,'01_Products'!C:C,"Missing Type"))</f>
        <v>#NAME?</v>
      </c>
      <c r="F233" s="2" t="e">
        <f ca="1">IF(B233="","",_xludf.XLOOKUP(B233,'02_Features'!A:A,'02_Features'!C:C,"Missing Feature"))</f>
        <v>#NAME?</v>
      </c>
      <c r="G233" s="2" t="e">
        <f ca="1">IF(B233="","",_xludf.XLOOKUP(B233,'02_Features'!A:A,'02_Features'!E:E,"Missing Prompt"))</f>
        <v>#NAME?</v>
      </c>
      <c r="H233" s="2" t="str">
        <f>IF('03_Functionalities'!D233="","",'03_Functionalities'!D233)</f>
        <v>GPU/vGPU inventory visibility</v>
      </c>
      <c r="I233" s="2" t="str">
        <f>IF('03_Functionalities'!E233="","",'03_Functionalities'!E233)</f>
        <v>Major functionality for gpu/vgpu inventory visibility.</v>
      </c>
      <c r="J233" s="2" t="str">
        <f>IF('03_Functionalities'!F233="","",'03_Functionalities'!F233)</f>
        <v>Includes major assessment behavior for gpu/vgpu inventory visibility in the context of gpu/vgpu infrastructure visibility.</v>
      </c>
      <c r="K233" s="2" t="str">
        <f>IF('03_Functionalities'!G233="","",'03_Functionalities'!G233)</f>
        <v>Excludes low-level configuration toggles, cosmetic UI behavior, and implementation-specific inventory minutiae unless they materially affect parity or risk.</v>
      </c>
      <c r="L233" s="2" t="str">
        <f>IF('03_Functionalities'!I233="","",'03_Functionalities'!I233)</f>
        <v>AI</v>
      </c>
      <c r="M233" s="2" t="str">
        <f>IF('03_Functionalities'!J233="","",'03_Functionalities'!J233)</f>
        <v>GPU Operations</v>
      </c>
      <c r="N233" s="2" t="str">
        <f>IF('03_Functionalities'!K233="","",'03_Functionalities'!K233)</f>
        <v>Medium</v>
      </c>
      <c r="O233" s="2" t="str">
        <f>IF('03_Functionalities'!L233="","",'03_Functionalities'!L233)</f>
        <v>High</v>
      </c>
      <c r="P233" s="2" t="str">
        <f>IF('03_Functionalities'!M233="","",'03_Functionalities'!M233)</f>
        <v>Official vendor documentation, release notes, validated KB/article, product guide, or architecture reference with version applicability.</v>
      </c>
      <c r="Q233" s="2" t="str">
        <f>IF('03_Functionalities'!N233="","",'03_Functionalities'!N233)</f>
        <v>VCF 9.1 GPU/vGPU infrastructure visibility GPU/vGPU inventory visibility comparator parity evidence</v>
      </c>
      <c r="R233" s="2" t="str">
        <f>IF('03_Functionalities'!O233="","",'03_Functionalities'!O233)</f>
        <v>Yes</v>
      </c>
      <c r="S233" s="2" t="e">
        <f ca="1">IF(C233="","",_xludf.XLOOKUP(C233,'01_Products'!A:A,'01_Products'!K:K,0))</f>
        <v>#NAME?</v>
      </c>
      <c r="T233" s="2" t="e">
        <f ca="1">IF(B233="","",_xludf.XLOOKUP(B233,'02_Features'!A:A,'02_Features'!L:L,0))</f>
        <v>#NAME?</v>
      </c>
      <c r="U233" s="2">
        <f>IF('03_Functionalities'!P233="","",'03_Functionalities'!P233)</f>
        <v>1</v>
      </c>
      <c r="V233" s="2" t="str">
        <f>IF('03_Functionalities'!Q233="","",'03_Functionalities'!Q233)</f>
        <v>Draft</v>
      </c>
      <c r="W233" s="2" t="str">
        <f>IF('03_Functionalities'!R233="","",'03_Functionalities'!R233)</f>
        <v>https://www.vmware.com/docs/vmware-cloud-foundation-9-1-feature-comparison-and-upgrade-paths</v>
      </c>
      <c r="X233" s="2" t="str">
        <f>IF('03_Functionalities'!S233="","",'03_Functionalities'!S233)</f>
        <v>High</v>
      </c>
    </row>
    <row r="234" spans="1:24" ht="57">
      <c r="A234" s="2" t="str">
        <f>IF('03_Functionalities'!A234="","",'03_Functionalities'!A234)</f>
        <v>FN-PRIVATEAI-02-02</v>
      </c>
      <c r="B234" s="2" t="str">
        <f>IF('03_Functionalities'!B234="","",'03_Functionalities'!B234)</f>
        <v>FT-PRIVATEAI-02</v>
      </c>
      <c r="C234" s="2" t="str">
        <f>IF('03_Functionalities'!C234="","",'03_Functionalities'!C234)</f>
        <v>PC-PRIVATEAI</v>
      </c>
      <c r="D234" s="2" t="e">
        <f ca="1">IF(C234="","",_xludf.XLOOKUP(C234,'01_Products'!A:A,'01_Products'!B:B,"Missing Product"))</f>
        <v>#NAME?</v>
      </c>
      <c r="E234" s="2" t="e">
        <f ca="1">IF(C234="","",_xludf.XLOOKUP(C234,'01_Products'!A:A,'01_Products'!C:C,"Missing Type"))</f>
        <v>#NAME?</v>
      </c>
      <c r="F234" s="2" t="e">
        <f ca="1">IF(B234="","",_xludf.XLOOKUP(B234,'02_Features'!A:A,'02_Features'!C:C,"Missing Feature"))</f>
        <v>#NAME?</v>
      </c>
      <c r="G234" s="2" t="e">
        <f ca="1">IF(B234="","",_xludf.XLOOKUP(B234,'02_Features'!A:A,'02_Features'!E:E,"Missing Prompt"))</f>
        <v>#NAME?</v>
      </c>
      <c r="H234" s="2" t="str">
        <f>IF('03_Functionalities'!D234="","",'03_Functionalities'!D234)</f>
        <v>vGPU profile visibility</v>
      </c>
      <c r="I234" s="2" t="str">
        <f>IF('03_Functionalities'!E234="","",'03_Functionalities'!E234)</f>
        <v>Major functionality for vgpu profile visibility.</v>
      </c>
      <c r="J234" s="2" t="str">
        <f>IF('03_Functionalities'!F234="","",'03_Functionalities'!F234)</f>
        <v>Includes major assessment behavior for vgpu profile visibility in the context of gpu/vgpu infrastructure visibility.</v>
      </c>
      <c r="K234" s="2" t="str">
        <f>IF('03_Functionalities'!G234="","",'03_Functionalities'!G234)</f>
        <v>Excludes low-level configuration toggles, cosmetic UI behavior, and implementation-specific inventory minutiae unless they materially affect parity or risk.</v>
      </c>
      <c r="L234" s="2" t="str">
        <f>IF('03_Functionalities'!I234="","",'03_Functionalities'!I234)</f>
        <v>AI</v>
      </c>
      <c r="M234" s="2" t="str">
        <f>IF('03_Functionalities'!J234="","",'03_Functionalities'!J234)</f>
        <v>GPU Operations</v>
      </c>
      <c r="N234" s="2" t="str">
        <f>IF('03_Functionalities'!K234="","",'03_Functionalities'!K234)</f>
        <v>Medium</v>
      </c>
      <c r="O234" s="2" t="str">
        <f>IF('03_Functionalities'!L234="","",'03_Functionalities'!L234)</f>
        <v>High</v>
      </c>
      <c r="P234" s="2" t="str">
        <f>IF('03_Functionalities'!M234="","",'03_Functionalities'!M234)</f>
        <v>Official vendor documentation, release notes, validated KB/article, product guide, or architecture reference with version applicability.</v>
      </c>
      <c r="Q234" s="2" t="str">
        <f>IF('03_Functionalities'!N234="","",'03_Functionalities'!N234)</f>
        <v>VCF 9.1 GPU/vGPU infrastructure visibility vGPU profile visibility comparator parity evidence</v>
      </c>
      <c r="R234" s="2" t="str">
        <f>IF('03_Functionalities'!O234="","",'03_Functionalities'!O234)</f>
        <v>Yes</v>
      </c>
      <c r="S234" s="2" t="e">
        <f ca="1">IF(C234="","",_xludf.XLOOKUP(C234,'01_Products'!A:A,'01_Products'!K:K,0))</f>
        <v>#NAME?</v>
      </c>
      <c r="T234" s="2" t="e">
        <f ca="1">IF(B234="","",_xludf.XLOOKUP(B234,'02_Features'!A:A,'02_Features'!L:L,0))</f>
        <v>#NAME?</v>
      </c>
      <c r="U234" s="2">
        <f>IF('03_Functionalities'!P234="","",'03_Functionalities'!P234)</f>
        <v>2</v>
      </c>
      <c r="V234" s="2" t="str">
        <f>IF('03_Functionalities'!Q234="","",'03_Functionalities'!Q234)</f>
        <v>Draft</v>
      </c>
      <c r="W234" s="2" t="str">
        <f>IF('03_Functionalities'!R234="","",'03_Functionalities'!R234)</f>
        <v>https://www.vmware.com/docs/vmware-cloud-foundation-9-1-feature-comparison-and-upgrade-paths</v>
      </c>
      <c r="X234" s="2" t="str">
        <f>IF('03_Functionalities'!S234="","",'03_Functionalities'!S234)</f>
        <v>High</v>
      </c>
    </row>
    <row r="235" spans="1:24" ht="57">
      <c r="A235" s="2" t="str">
        <f>IF('03_Functionalities'!A235="","",'03_Functionalities'!A235)</f>
        <v>FN-PRIVATEAI-02-03</v>
      </c>
      <c r="B235" s="2" t="str">
        <f>IF('03_Functionalities'!B235="","",'03_Functionalities'!B235)</f>
        <v>FT-PRIVATEAI-02</v>
      </c>
      <c r="C235" s="2" t="str">
        <f>IF('03_Functionalities'!C235="","",'03_Functionalities'!C235)</f>
        <v>PC-PRIVATEAI</v>
      </c>
      <c r="D235" s="2" t="e">
        <f ca="1">IF(C235="","",_xludf.XLOOKUP(C235,'01_Products'!A:A,'01_Products'!B:B,"Missing Product"))</f>
        <v>#NAME?</v>
      </c>
      <c r="E235" s="2" t="e">
        <f ca="1">IF(C235="","",_xludf.XLOOKUP(C235,'01_Products'!A:A,'01_Products'!C:C,"Missing Type"))</f>
        <v>#NAME?</v>
      </c>
      <c r="F235" s="2" t="e">
        <f ca="1">IF(B235="","",_xludf.XLOOKUP(B235,'02_Features'!A:A,'02_Features'!C:C,"Missing Feature"))</f>
        <v>#NAME?</v>
      </c>
      <c r="G235" s="2" t="e">
        <f ca="1">IF(B235="","",_xludf.XLOOKUP(B235,'02_Features'!A:A,'02_Features'!E:E,"Missing Prompt"))</f>
        <v>#NAME?</v>
      </c>
      <c r="H235" s="2" t="str">
        <f>IF('03_Functionalities'!D235="","",'03_Functionalities'!D235)</f>
        <v>GPU placement and readiness evidence</v>
      </c>
      <c r="I235" s="2" t="str">
        <f>IF('03_Functionalities'!E235="","",'03_Functionalities'!E235)</f>
        <v>Major functionality for gpu placement and readiness evidence.</v>
      </c>
      <c r="J235" s="2" t="str">
        <f>IF('03_Functionalities'!F235="","",'03_Functionalities'!F235)</f>
        <v>Includes major assessment behavior for gpu placement and readiness evidence in the context of gpu/vgpu infrastructure visibility.</v>
      </c>
      <c r="K235" s="2" t="str">
        <f>IF('03_Functionalities'!G235="","",'03_Functionalities'!G235)</f>
        <v>Excludes low-level configuration toggles, cosmetic UI behavior, and implementation-specific inventory minutiae unless they materially affect parity or risk.</v>
      </c>
      <c r="L235" s="2" t="str">
        <f>IF('03_Functionalities'!I235="","",'03_Functionalities'!I235)</f>
        <v>AI</v>
      </c>
      <c r="M235" s="2" t="str">
        <f>IF('03_Functionalities'!J235="","",'03_Functionalities'!J235)</f>
        <v>GPU Operations</v>
      </c>
      <c r="N235" s="2" t="str">
        <f>IF('03_Functionalities'!K235="","",'03_Functionalities'!K235)</f>
        <v>Medium</v>
      </c>
      <c r="O235" s="2" t="str">
        <f>IF('03_Functionalities'!L235="","",'03_Functionalities'!L235)</f>
        <v>High</v>
      </c>
      <c r="P235" s="2" t="str">
        <f>IF('03_Functionalities'!M235="","",'03_Functionalities'!M235)</f>
        <v>Official vendor documentation, release notes, validated KB/article, product guide, or architecture reference with version applicability.</v>
      </c>
      <c r="Q235" s="2" t="str">
        <f>IF('03_Functionalities'!N235="","",'03_Functionalities'!N235)</f>
        <v>VCF 9.1 GPU/vGPU infrastructure visibility GPU placement and readiness evidence comparator parity evidence</v>
      </c>
      <c r="R235" s="2" t="str">
        <f>IF('03_Functionalities'!O235="","",'03_Functionalities'!O235)</f>
        <v>Yes</v>
      </c>
      <c r="S235" s="2" t="e">
        <f ca="1">IF(C235="","",_xludf.XLOOKUP(C235,'01_Products'!A:A,'01_Products'!K:K,0))</f>
        <v>#NAME?</v>
      </c>
      <c r="T235" s="2" t="e">
        <f ca="1">IF(B235="","",_xludf.XLOOKUP(B235,'02_Features'!A:A,'02_Features'!L:L,0))</f>
        <v>#NAME?</v>
      </c>
      <c r="U235" s="2">
        <f>IF('03_Functionalities'!P235="","",'03_Functionalities'!P235)</f>
        <v>3</v>
      </c>
      <c r="V235" s="2" t="str">
        <f>IF('03_Functionalities'!Q235="","",'03_Functionalities'!Q235)</f>
        <v>Draft</v>
      </c>
      <c r="W235" s="2" t="str">
        <f>IF('03_Functionalities'!R235="","",'03_Functionalities'!R235)</f>
        <v>https://www.vmware.com/docs/vmware-cloud-foundation-9-1-feature-comparison-and-upgrade-paths</v>
      </c>
      <c r="X235" s="2" t="str">
        <f>IF('03_Functionalities'!S235="","",'03_Functionalities'!S235)</f>
        <v>High</v>
      </c>
    </row>
    <row r="236" spans="1:24" ht="57">
      <c r="A236" s="2" t="str">
        <f>IF('03_Functionalities'!A236="","",'03_Functionalities'!A236)</f>
        <v>FN-PRIVATEAI-03-01</v>
      </c>
      <c r="B236" s="2" t="str">
        <f>IF('03_Functionalities'!B236="","",'03_Functionalities'!B236)</f>
        <v>FT-PRIVATEAI-03</v>
      </c>
      <c r="C236" s="2" t="str">
        <f>IF('03_Functionalities'!C236="","",'03_Functionalities'!C236)</f>
        <v>PC-PRIVATEAI</v>
      </c>
      <c r="D236" s="2" t="e">
        <f ca="1">IF(C236="","",_xludf.XLOOKUP(C236,'01_Products'!A:A,'01_Products'!B:B,"Missing Product"))</f>
        <v>#NAME?</v>
      </c>
      <c r="E236" s="2" t="e">
        <f ca="1">IF(C236="","",_xludf.XLOOKUP(C236,'01_Products'!A:A,'01_Products'!C:C,"Missing Type"))</f>
        <v>#NAME?</v>
      </c>
      <c r="F236" s="2" t="e">
        <f ca="1">IF(B236="","",_xludf.XLOOKUP(B236,'02_Features'!A:A,'02_Features'!C:C,"Missing Feature"))</f>
        <v>#NAME?</v>
      </c>
      <c r="G236" s="2" t="e">
        <f ca="1">IF(B236="","",_xludf.XLOOKUP(B236,'02_Features'!A:A,'02_Features'!E:E,"Missing Prompt"))</f>
        <v>#NAME?</v>
      </c>
      <c r="H236" s="2" t="str">
        <f>IF('03_Functionalities'!D236="","",'03_Functionalities'!D236)</f>
        <v>Model runtime service</v>
      </c>
      <c r="I236" s="2" t="str">
        <f>IF('03_Functionalities'!E236="","",'03_Functionalities'!E236)</f>
        <v>Major functionality for model runtime service.</v>
      </c>
      <c r="J236" s="2" t="str">
        <f>IF('03_Functionalities'!F236="","",'03_Functionalities'!F236)</f>
        <v>Includes major assessment behavior for model runtime service in the context of model runtime/store and ai blueprints.</v>
      </c>
      <c r="K236" s="2" t="str">
        <f>IF('03_Functionalities'!G236="","",'03_Functionalities'!G236)</f>
        <v>Excludes low-level configuration toggles, cosmetic UI behavior, and implementation-specific inventory minutiae unless they materially affect parity or risk.</v>
      </c>
      <c r="L236" s="2" t="str">
        <f>IF('03_Functionalities'!I236="","",'03_Functionalities'!I236)</f>
        <v>AI</v>
      </c>
      <c r="M236" s="2" t="str">
        <f>IF('03_Functionalities'!J236="","",'03_Functionalities'!J236)</f>
        <v>AI Runtime</v>
      </c>
      <c r="N236" s="2" t="str">
        <f>IF('03_Functionalities'!K236="","",'03_Functionalities'!K236)</f>
        <v>Medium</v>
      </c>
      <c r="O236" s="2" t="str">
        <f>IF('03_Functionalities'!L236="","",'03_Functionalities'!L236)</f>
        <v>High</v>
      </c>
      <c r="P236" s="2" t="str">
        <f>IF('03_Functionalities'!M236="","",'03_Functionalities'!M236)</f>
        <v>Official vendor documentation, release notes, validated KB/article, product guide, or architecture reference with version applicability.</v>
      </c>
      <c r="Q236" s="2" t="str">
        <f>IF('03_Functionalities'!N236="","",'03_Functionalities'!N236)</f>
        <v>VCF 9.1 Model runtime/store and AI blueprints Model runtime service comparator parity evidence</v>
      </c>
      <c r="R236" s="2" t="str">
        <f>IF('03_Functionalities'!O236="","",'03_Functionalities'!O236)</f>
        <v>Yes</v>
      </c>
      <c r="S236" s="2" t="e">
        <f ca="1">IF(C236="","",_xludf.XLOOKUP(C236,'01_Products'!A:A,'01_Products'!K:K,0))</f>
        <v>#NAME?</v>
      </c>
      <c r="T236" s="2" t="e">
        <f ca="1">IF(B236="","",_xludf.XLOOKUP(B236,'02_Features'!A:A,'02_Features'!L:L,0))</f>
        <v>#NAME?</v>
      </c>
      <c r="U236" s="2">
        <f>IF('03_Functionalities'!P236="","",'03_Functionalities'!P236)</f>
        <v>1</v>
      </c>
      <c r="V236" s="2" t="str">
        <f>IF('03_Functionalities'!Q236="","",'03_Functionalities'!Q236)</f>
        <v>Draft</v>
      </c>
      <c r="W236" s="2" t="str">
        <f>IF('03_Functionalities'!R236="","",'03_Functionalities'!R236)</f>
        <v>https://www.vmware.com/docs/vmware-cloud-foundation-9-1-feature-comparison-and-upgrade-paths</v>
      </c>
      <c r="X236" s="2" t="str">
        <f>IF('03_Functionalities'!S236="","",'03_Functionalities'!S236)</f>
        <v>High</v>
      </c>
    </row>
    <row r="237" spans="1:24" ht="57">
      <c r="A237" s="2" t="str">
        <f>IF('03_Functionalities'!A237="","",'03_Functionalities'!A237)</f>
        <v>FN-PRIVATEAI-03-02</v>
      </c>
      <c r="B237" s="2" t="str">
        <f>IF('03_Functionalities'!B237="","",'03_Functionalities'!B237)</f>
        <v>FT-PRIVATEAI-03</v>
      </c>
      <c r="C237" s="2" t="str">
        <f>IF('03_Functionalities'!C237="","",'03_Functionalities'!C237)</f>
        <v>PC-PRIVATEAI</v>
      </c>
      <c r="D237" s="2" t="e">
        <f ca="1">IF(C237="","",_xludf.XLOOKUP(C237,'01_Products'!A:A,'01_Products'!B:B,"Missing Product"))</f>
        <v>#NAME?</v>
      </c>
      <c r="E237" s="2" t="e">
        <f ca="1">IF(C237="","",_xludf.XLOOKUP(C237,'01_Products'!A:A,'01_Products'!C:C,"Missing Type"))</f>
        <v>#NAME?</v>
      </c>
      <c r="F237" s="2" t="e">
        <f ca="1">IF(B237="","",_xludf.XLOOKUP(B237,'02_Features'!A:A,'02_Features'!C:C,"Missing Feature"))</f>
        <v>#NAME?</v>
      </c>
      <c r="G237" s="2" t="e">
        <f ca="1">IF(B237="","",_xludf.XLOOKUP(B237,'02_Features'!A:A,'02_Features'!E:E,"Missing Prompt"))</f>
        <v>#NAME?</v>
      </c>
      <c r="H237" s="2" t="str">
        <f>IF('03_Functionalities'!D237="","",'03_Functionalities'!D237)</f>
        <v>Model store governance</v>
      </c>
      <c r="I237" s="2" t="str">
        <f>IF('03_Functionalities'!E237="","",'03_Functionalities'!E237)</f>
        <v>Major functionality for model store governance.</v>
      </c>
      <c r="J237" s="2" t="str">
        <f>IF('03_Functionalities'!F237="","",'03_Functionalities'!F237)</f>
        <v>Includes major assessment behavior for model store governance in the context of model runtime/store and ai blueprints.</v>
      </c>
      <c r="K237" s="2" t="str">
        <f>IF('03_Functionalities'!G237="","",'03_Functionalities'!G237)</f>
        <v>Excludes low-level configuration toggles, cosmetic UI behavior, and implementation-specific inventory minutiae unless they materially affect parity or risk.</v>
      </c>
      <c r="L237" s="2" t="str">
        <f>IF('03_Functionalities'!I237="","",'03_Functionalities'!I237)</f>
        <v>AI</v>
      </c>
      <c r="M237" s="2" t="str">
        <f>IF('03_Functionalities'!J237="","",'03_Functionalities'!J237)</f>
        <v>AI Runtime</v>
      </c>
      <c r="N237" s="2" t="str">
        <f>IF('03_Functionalities'!K237="","",'03_Functionalities'!K237)</f>
        <v>Medium</v>
      </c>
      <c r="O237" s="2" t="str">
        <f>IF('03_Functionalities'!L237="","",'03_Functionalities'!L237)</f>
        <v>High</v>
      </c>
      <c r="P237" s="2" t="str">
        <f>IF('03_Functionalities'!M237="","",'03_Functionalities'!M237)</f>
        <v>Official vendor documentation, release notes, validated KB/article, product guide, or architecture reference with version applicability.</v>
      </c>
      <c r="Q237" s="2" t="str">
        <f>IF('03_Functionalities'!N237="","",'03_Functionalities'!N237)</f>
        <v>VCF 9.1 Model runtime/store and AI blueprints Model store governance comparator parity evidence</v>
      </c>
      <c r="R237" s="2" t="str">
        <f>IF('03_Functionalities'!O237="","",'03_Functionalities'!O237)</f>
        <v>Yes</v>
      </c>
      <c r="S237" s="2" t="e">
        <f ca="1">IF(C237="","",_xludf.XLOOKUP(C237,'01_Products'!A:A,'01_Products'!K:K,0))</f>
        <v>#NAME?</v>
      </c>
      <c r="T237" s="2" t="e">
        <f ca="1">IF(B237="","",_xludf.XLOOKUP(B237,'02_Features'!A:A,'02_Features'!L:L,0))</f>
        <v>#NAME?</v>
      </c>
      <c r="U237" s="2">
        <f>IF('03_Functionalities'!P237="","",'03_Functionalities'!P237)</f>
        <v>2</v>
      </c>
      <c r="V237" s="2" t="str">
        <f>IF('03_Functionalities'!Q237="","",'03_Functionalities'!Q237)</f>
        <v>Draft</v>
      </c>
      <c r="W237" s="2" t="str">
        <f>IF('03_Functionalities'!R237="","",'03_Functionalities'!R237)</f>
        <v>https://www.vmware.com/docs/vmware-cloud-foundation-9-1-feature-comparison-and-upgrade-paths</v>
      </c>
      <c r="X237" s="2" t="str">
        <f>IF('03_Functionalities'!S237="","",'03_Functionalities'!S237)</f>
        <v>High</v>
      </c>
    </row>
    <row r="238" spans="1:24" ht="57">
      <c r="A238" s="2" t="str">
        <f>IF('03_Functionalities'!A238="","",'03_Functionalities'!A238)</f>
        <v>FN-PRIVATEAI-03-03</v>
      </c>
      <c r="B238" s="2" t="str">
        <f>IF('03_Functionalities'!B238="","",'03_Functionalities'!B238)</f>
        <v>FT-PRIVATEAI-03</v>
      </c>
      <c r="C238" s="2" t="str">
        <f>IF('03_Functionalities'!C238="","",'03_Functionalities'!C238)</f>
        <v>PC-PRIVATEAI</v>
      </c>
      <c r="D238" s="2" t="e">
        <f ca="1">IF(C238="","",_xludf.XLOOKUP(C238,'01_Products'!A:A,'01_Products'!B:B,"Missing Product"))</f>
        <v>#NAME?</v>
      </c>
      <c r="E238" s="2" t="e">
        <f ca="1">IF(C238="","",_xludf.XLOOKUP(C238,'01_Products'!A:A,'01_Products'!C:C,"Missing Type"))</f>
        <v>#NAME?</v>
      </c>
      <c r="F238" s="2" t="e">
        <f ca="1">IF(B238="","",_xludf.XLOOKUP(B238,'02_Features'!A:A,'02_Features'!C:C,"Missing Feature"))</f>
        <v>#NAME?</v>
      </c>
      <c r="G238" s="2" t="e">
        <f ca="1">IF(B238="","",_xludf.XLOOKUP(B238,'02_Features'!A:A,'02_Features'!E:E,"Missing Prompt"))</f>
        <v>#NAME?</v>
      </c>
      <c r="H238" s="2" t="str">
        <f>IF('03_Functionalities'!D238="","",'03_Functionalities'!D238)</f>
        <v>AI blueprint provisioning</v>
      </c>
      <c r="I238" s="2" t="str">
        <f>IF('03_Functionalities'!E238="","",'03_Functionalities'!E238)</f>
        <v>Major functionality for ai blueprint provisioning.</v>
      </c>
      <c r="J238" s="2" t="str">
        <f>IF('03_Functionalities'!F238="","",'03_Functionalities'!F238)</f>
        <v>Includes major assessment behavior for ai blueprint provisioning in the context of model runtime/store and ai blueprints.</v>
      </c>
      <c r="K238" s="2" t="str">
        <f>IF('03_Functionalities'!G238="","",'03_Functionalities'!G238)</f>
        <v>Excludes low-level configuration toggles, cosmetic UI behavior, and implementation-specific inventory minutiae unless they materially affect parity or risk.</v>
      </c>
      <c r="L238" s="2" t="str">
        <f>IF('03_Functionalities'!I238="","",'03_Functionalities'!I238)</f>
        <v>AI</v>
      </c>
      <c r="M238" s="2" t="str">
        <f>IF('03_Functionalities'!J238="","",'03_Functionalities'!J238)</f>
        <v>AI Runtime</v>
      </c>
      <c r="N238" s="2" t="str">
        <f>IF('03_Functionalities'!K238="","",'03_Functionalities'!K238)</f>
        <v>Medium</v>
      </c>
      <c r="O238" s="2" t="str">
        <f>IF('03_Functionalities'!L238="","",'03_Functionalities'!L238)</f>
        <v>High</v>
      </c>
      <c r="P238" s="2" t="str">
        <f>IF('03_Functionalities'!M238="","",'03_Functionalities'!M238)</f>
        <v>Official vendor documentation, release notes, validated KB/article, product guide, or architecture reference with version applicability.</v>
      </c>
      <c r="Q238" s="2" t="str">
        <f>IF('03_Functionalities'!N238="","",'03_Functionalities'!N238)</f>
        <v>VCF 9.1 Model runtime/store and AI blueprints AI blueprint provisioning comparator parity evidence</v>
      </c>
      <c r="R238" s="2" t="str">
        <f>IF('03_Functionalities'!O238="","",'03_Functionalities'!O238)</f>
        <v>Yes</v>
      </c>
      <c r="S238" s="2" t="e">
        <f ca="1">IF(C238="","",_xludf.XLOOKUP(C238,'01_Products'!A:A,'01_Products'!K:K,0))</f>
        <v>#NAME?</v>
      </c>
      <c r="T238" s="2" t="e">
        <f ca="1">IF(B238="","",_xludf.XLOOKUP(B238,'02_Features'!A:A,'02_Features'!L:L,0))</f>
        <v>#NAME?</v>
      </c>
      <c r="U238" s="2">
        <f>IF('03_Functionalities'!P238="","",'03_Functionalities'!P238)</f>
        <v>3</v>
      </c>
      <c r="V238" s="2" t="str">
        <f>IF('03_Functionalities'!Q238="","",'03_Functionalities'!Q238)</f>
        <v>Draft</v>
      </c>
      <c r="W238" s="2" t="str">
        <f>IF('03_Functionalities'!R238="","",'03_Functionalities'!R238)</f>
        <v>https://www.vmware.com/docs/vmware-cloud-foundation-9-1-feature-comparison-and-upgrade-paths</v>
      </c>
      <c r="X238" s="2" t="str">
        <f>IF('03_Functionalities'!S238="","",'03_Functionalities'!S238)</f>
        <v>High</v>
      </c>
    </row>
    <row r="239" spans="1:24" ht="57">
      <c r="A239" s="2" t="str">
        <f>IF('03_Functionalities'!A239="","",'03_Functionalities'!A239)</f>
        <v>FN-PRIVATEAI-04-01</v>
      </c>
      <c r="B239" s="2" t="str">
        <f>IF('03_Functionalities'!B239="","",'03_Functionalities'!B239)</f>
        <v>FT-PRIVATEAI-04</v>
      </c>
      <c r="C239" s="2" t="str">
        <f>IF('03_Functionalities'!C239="","",'03_Functionalities'!C239)</f>
        <v>PC-PRIVATEAI</v>
      </c>
      <c r="D239" s="2" t="e">
        <f ca="1">IF(C239="","",_xludf.XLOOKUP(C239,'01_Products'!A:A,'01_Products'!B:B,"Missing Product"))</f>
        <v>#NAME?</v>
      </c>
      <c r="E239" s="2" t="e">
        <f ca="1">IF(C239="","",_xludf.XLOOKUP(C239,'01_Products'!A:A,'01_Products'!C:C,"Missing Type"))</f>
        <v>#NAME?</v>
      </c>
      <c r="F239" s="2" t="e">
        <f ca="1">IF(B239="","",_xludf.XLOOKUP(B239,'02_Features'!A:A,'02_Features'!C:C,"Missing Feature"))</f>
        <v>#NAME?</v>
      </c>
      <c r="G239" s="2" t="e">
        <f ca="1">IF(B239="","",_xludf.XLOOKUP(B239,'02_Features'!A:A,'02_Features'!E:E,"Missing Prompt"))</f>
        <v>#NAME?</v>
      </c>
      <c r="H239" s="2" t="str">
        <f>IF('03_Functionalities'!D239="","",'03_Functionalities'!D239)</f>
        <v>Data indexing and retrieval</v>
      </c>
      <c r="I239" s="2" t="str">
        <f>IF('03_Functionalities'!E239="","",'03_Functionalities'!E239)</f>
        <v>Major functionality for data indexing and retrieval.</v>
      </c>
      <c r="J239" s="2" t="str">
        <f>IF('03_Functionalities'!F239="","",'03_Functionalities'!F239)</f>
        <v>Includes major assessment behavior for data indexing and retrieval in the context of rag, data indexing and vector services.</v>
      </c>
      <c r="K239" s="2" t="str">
        <f>IF('03_Functionalities'!G239="","",'03_Functionalities'!G239)</f>
        <v>Excludes low-level configuration toggles, cosmetic UI behavior, and implementation-specific inventory minutiae unless they materially affect parity or risk.</v>
      </c>
      <c r="L239" s="2" t="str">
        <f>IF('03_Functionalities'!I239="","",'03_Functionalities'!I239)</f>
        <v>AI</v>
      </c>
      <c r="M239" s="2" t="str">
        <f>IF('03_Functionalities'!J239="","",'03_Functionalities'!J239)</f>
        <v>RAG Data Services</v>
      </c>
      <c r="N239" s="2" t="str">
        <f>IF('03_Functionalities'!K239="","",'03_Functionalities'!K239)</f>
        <v>Medium</v>
      </c>
      <c r="O239" s="2" t="str">
        <f>IF('03_Functionalities'!L239="","",'03_Functionalities'!L239)</f>
        <v>High</v>
      </c>
      <c r="P239" s="2" t="str">
        <f>IF('03_Functionalities'!M239="","",'03_Functionalities'!M239)</f>
        <v>Official vendor documentation, release notes, validated KB/article, product guide, or architecture reference with version applicability.</v>
      </c>
      <c r="Q239" s="2" t="str">
        <f>IF('03_Functionalities'!N239="","",'03_Functionalities'!N239)</f>
        <v>VCF 9.1 RAG, data indexing and vector services Data indexing and retrieval comparator parity evidence</v>
      </c>
      <c r="R239" s="2" t="str">
        <f>IF('03_Functionalities'!O239="","",'03_Functionalities'!O239)</f>
        <v>Yes</v>
      </c>
      <c r="S239" s="2" t="e">
        <f ca="1">IF(C239="","",_xludf.XLOOKUP(C239,'01_Products'!A:A,'01_Products'!K:K,0))</f>
        <v>#NAME?</v>
      </c>
      <c r="T239" s="2" t="e">
        <f ca="1">IF(B239="","",_xludf.XLOOKUP(B239,'02_Features'!A:A,'02_Features'!L:L,0))</f>
        <v>#NAME?</v>
      </c>
      <c r="U239" s="2">
        <f>IF('03_Functionalities'!P239="","",'03_Functionalities'!P239)</f>
        <v>1</v>
      </c>
      <c r="V239" s="2" t="str">
        <f>IF('03_Functionalities'!Q239="","",'03_Functionalities'!Q239)</f>
        <v>Draft</v>
      </c>
      <c r="W239" s="2" t="str">
        <f>IF('03_Functionalities'!R239="","",'03_Functionalities'!R239)</f>
        <v>https://www.vmware.com/docs/vmware-cloud-foundation-9-1-feature-comparison-and-upgrade-paths</v>
      </c>
      <c r="X239" s="2" t="str">
        <f>IF('03_Functionalities'!S239="","",'03_Functionalities'!S239)</f>
        <v>High</v>
      </c>
    </row>
    <row r="240" spans="1:24" ht="57">
      <c r="A240" s="2" t="str">
        <f>IF('03_Functionalities'!A240="","",'03_Functionalities'!A240)</f>
        <v>FN-PRIVATEAI-04-02</v>
      </c>
      <c r="B240" s="2" t="str">
        <f>IF('03_Functionalities'!B240="","",'03_Functionalities'!B240)</f>
        <v>FT-PRIVATEAI-04</v>
      </c>
      <c r="C240" s="2" t="str">
        <f>IF('03_Functionalities'!C240="","",'03_Functionalities'!C240)</f>
        <v>PC-PRIVATEAI</v>
      </c>
      <c r="D240" s="2" t="e">
        <f ca="1">IF(C240="","",_xludf.XLOOKUP(C240,'01_Products'!A:A,'01_Products'!B:B,"Missing Product"))</f>
        <v>#NAME?</v>
      </c>
      <c r="E240" s="2" t="e">
        <f ca="1">IF(C240="","",_xludf.XLOOKUP(C240,'01_Products'!A:A,'01_Products'!C:C,"Missing Type"))</f>
        <v>#NAME?</v>
      </c>
      <c r="F240" s="2" t="e">
        <f ca="1">IF(B240="","",_xludf.XLOOKUP(B240,'02_Features'!A:A,'02_Features'!C:C,"Missing Feature"))</f>
        <v>#NAME?</v>
      </c>
      <c r="G240" s="2" t="e">
        <f ca="1">IF(B240="","",_xludf.XLOOKUP(B240,'02_Features'!A:A,'02_Features'!E:E,"Missing Prompt"))</f>
        <v>#NAME?</v>
      </c>
      <c r="H240" s="2" t="str">
        <f>IF('03_Functionalities'!D240="","",'03_Functionalities'!D240)</f>
        <v>Vector database service context</v>
      </c>
      <c r="I240" s="2" t="str">
        <f>IF('03_Functionalities'!E240="","",'03_Functionalities'!E240)</f>
        <v>Major functionality for vector database service context.</v>
      </c>
      <c r="J240" s="2" t="str">
        <f>IF('03_Functionalities'!F240="","",'03_Functionalities'!F240)</f>
        <v>Includes major assessment behavior for vector database service context in the context of rag, data indexing and vector services.</v>
      </c>
      <c r="K240" s="2" t="str">
        <f>IF('03_Functionalities'!G240="","",'03_Functionalities'!G240)</f>
        <v>Excludes low-level configuration toggles, cosmetic UI behavior, and implementation-specific inventory minutiae unless they materially affect parity or risk.</v>
      </c>
      <c r="L240" s="2" t="str">
        <f>IF('03_Functionalities'!I240="","",'03_Functionalities'!I240)</f>
        <v>AI</v>
      </c>
      <c r="M240" s="2" t="str">
        <f>IF('03_Functionalities'!J240="","",'03_Functionalities'!J240)</f>
        <v>RAG Data Services</v>
      </c>
      <c r="N240" s="2" t="str">
        <f>IF('03_Functionalities'!K240="","",'03_Functionalities'!K240)</f>
        <v>Medium</v>
      </c>
      <c r="O240" s="2" t="str">
        <f>IF('03_Functionalities'!L240="","",'03_Functionalities'!L240)</f>
        <v>High</v>
      </c>
      <c r="P240" s="2" t="str">
        <f>IF('03_Functionalities'!M240="","",'03_Functionalities'!M240)</f>
        <v>Official vendor documentation, release notes, validated KB/article, product guide, or architecture reference with version applicability.</v>
      </c>
      <c r="Q240" s="2" t="str">
        <f>IF('03_Functionalities'!N240="","",'03_Functionalities'!N240)</f>
        <v>VCF 9.1 RAG, data indexing and vector services Vector database service context comparator parity evidence</v>
      </c>
      <c r="R240" s="2" t="str">
        <f>IF('03_Functionalities'!O240="","",'03_Functionalities'!O240)</f>
        <v>Yes</v>
      </c>
      <c r="S240" s="2" t="e">
        <f ca="1">IF(C240="","",_xludf.XLOOKUP(C240,'01_Products'!A:A,'01_Products'!K:K,0))</f>
        <v>#NAME?</v>
      </c>
      <c r="T240" s="2" t="e">
        <f ca="1">IF(B240="","",_xludf.XLOOKUP(B240,'02_Features'!A:A,'02_Features'!L:L,0))</f>
        <v>#NAME?</v>
      </c>
      <c r="U240" s="2">
        <f>IF('03_Functionalities'!P240="","",'03_Functionalities'!P240)</f>
        <v>2</v>
      </c>
      <c r="V240" s="2" t="str">
        <f>IF('03_Functionalities'!Q240="","",'03_Functionalities'!Q240)</f>
        <v>Draft</v>
      </c>
      <c r="W240" s="2" t="str">
        <f>IF('03_Functionalities'!R240="","",'03_Functionalities'!R240)</f>
        <v>https://www.vmware.com/docs/vmware-cloud-foundation-9-1-feature-comparison-and-upgrade-paths</v>
      </c>
      <c r="X240" s="2" t="str">
        <f>IF('03_Functionalities'!S240="","",'03_Functionalities'!S240)</f>
        <v>High</v>
      </c>
    </row>
    <row r="241" spans="1:24" ht="57">
      <c r="A241" s="2" t="str">
        <f>IF('03_Functionalities'!A241="","",'03_Functionalities'!A241)</f>
        <v>FN-PRIVATEAI-04-03</v>
      </c>
      <c r="B241" s="2" t="str">
        <f>IF('03_Functionalities'!B241="","",'03_Functionalities'!B241)</f>
        <v>FT-PRIVATEAI-04</v>
      </c>
      <c r="C241" s="2" t="str">
        <f>IF('03_Functionalities'!C241="","",'03_Functionalities'!C241)</f>
        <v>PC-PRIVATEAI</v>
      </c>
      <c r="D241" s="2" t="e">
        <f ca="1">IF(C241="","",_xludf.XLOOKUP(C241,'01_Products'!A:A,'01_Products'!B:B,"Missing Product"))</f>
        <v>#NAME?</v>
      </c>
      <c r="E241" s="2" t="e">
        <f ca="1">IF(C241="","",_xludf.XLOOKUP(C241,'01_Products'!A:A,'01_Products'!C:C,"Missing Type"))</f>
        <v>#NAME?</v>
      </c>
      <c r="F241" s="2" t="e">
        <f ca="1">IF(B241="","",_xludf.XLOOKUP(B241,'02_Features'!A:A,'02_Features'!C:C,"Missing Feature"))</f>
        <v>#NAME?</v>
      </c>
      <c r="G241" s="2" t="e">
        <f ca="1">IF(B241="","",_xludf.XLOOKUP(B241,'02_Features'!A:A,'02_Features'!E:E,"Missing Prompt"))</f>
        <v>#NAME?</v>
      </c>
      <c r="H241" s="2" t="str">
        <f>IF('03_Functionalities'!D241="","",'03_Functionalities'!D241)</f>
        <v>RAG workflow enablement</v>
      </c>
      <c r="I241" s="2" t="str">
        <f>IF('03_Functionalities'!E241="","",'03_Functionalities'!E241)</f>
        <v>Major functionality for rag workflow enablement.</v>
      </c>
      <c r="J241" s="2" t="str">
        <f>IF('03_Functionalities'!F241="","",'03_Functionalities'!F241)</f>
        <v>Includes major assessment behavior for rag workflow enablement in the context of rag, data indexing and vector services.</v>
      </c>
      <c r="K241" s="2" t="str">
        <f>IF('03_Functionalities'!G241="","",'03_Functionalities'!G241)</f>
        <v>Excludes low-level configuration toggles, cosmetic UI behavior, and implementation-specific inventory minutiae unless they materially affect parity or risk.</v>
      </c>
      <c r="L241" s="2" t="str">
        <f>IF('03_Functionalities'!I241="","",'03_Functionalities'!I241)</f>
        <v>AI</v>
      </c>
      <c r="M241" s="2" t="str">
        <f>IF('03_Functionalities'!J241="","",'03_Functionalities'!J241)</f>
        <v>RAG Data Services</v>
      </c>
      <c r="N241" s="2" t="str">
        <f>IF('03_Functionalities'!K241="","",'03_Functionalities'!K241)</f>
        <v>Medium</v>
      </c>
      <c r="O241" s="2" t="str">
        <f>IF('03_Functionalities'!L241="","",'03_Functionalities'!L241)</f>
        <v>High</v>
      </c>
      <c r="P241" s="2" t="str">
        <f>IF('03_Functionalities'!M241="","",'03_Functionalities'!M241)</f>
        <v>Official vendor documentation, release notes, validated KB/article, product guide, or architecture reference with version applicability.</v>
      </c>
      <c r="Q241" s="2" t="str">
        <f>IF('03_Functionalities'!N241="","",'03_Functionalities'!N241)</f>
        <v>VCF 9.1 RAG, data indexing and vector services RAG workflow enablement comparator parity evidence</v>
      </c>
      <c r="R241" s="2" t="str">
        <f>IF('03_Functionalities'!O241="","",'03_Functionalities'!O241)</f>
        <v>Yes</v>
      </c>
      <c r="S241" s="2" t="e">
        <f ca="1">IF(C241="","",_xludf.XLOOKUP(C241,'01_Products'!A:A,'01_Products'!K:K,0))</f>
        <v>#NAME?</v>
      </c>
      <c r="T241" s="2" t="e">
        <f ca="1">IF(B241="","",_xludf.XLOOKUP(B241,'02_Features'!A:A,'02_Features'!L:L,0))</f>
        <v>#NAME?</v>
      </c>
      <c r="U241" s="2">
        <f>IF('03_Functionalities'!P241="","",'03_Functionalities'!P241)</f>
        <v>3</v>
      </c>
      <c r="V241" s="2" t="str">
        <f>IF('03_Functionalities'!Q241="","",'03_Functionalities'!Q241)</f>
        <v>Draft</v>
      </c>
      <c r="W241" s="2" t="str">
        <f>IF('03_Functionalities'!R241="","",'03_Functionalities'!R241)</f>
        <v>https://www.vmware.com/docs/vmware-cloud-foundation-9-1-feature-comparison-and-upgrade-paths</v>
      </c>
      <c r="X241" s="2" t="str">
        <f>IF('03_Functionalities'!S241="","",'03_Functionalities'!S241)</f>
        <v>High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032715-1c0b-409f-a5f7-72d59c7bfffc">
      <Terms xmlns="http://schemas.microsoft.com/office/infopath/2007/PartnerControls"/>
    </lcf76f155ced4ddcb4097134ff3c332f>
    <TaxCatchAll xmlns="e3404d3d-0387-4800-a563-2ac7e7f507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8C03C69A0E541B73ABF0E23B46DB7" ma:contentTypeVersion="10" ma:contentTypeDescription="Create a new document." ma:contentTypeScope="" ma:versionID="61aafffdc7bf36d15c0e2c3f8cdac420">
  <xsd:schema xmlns:xsd="http://www.w3.org/2001/XMLSchema" xmlns:xs="http://www.w3.org/2001/XMLSchema" xmlns:p="http://schemas.microsoft.com/office/2006/metadata/properties" xmlns:ns2="cd032715-1c0b-409f-a5f7-72d59c7bfffc" xmlns:ns3="e3404d3d-0387-4800-a563-2ac7e7f507d0" targetNamespace="http://schemas.microsoft.com/office/2006/metadata/properties" ma:root="true" ma:fieldsID="56f3fc931d5cb2506fb442327589587d" ns2:_="" ns3:_="">
    <xsd:import namespace="cd032715-1c0b-409f-a5f7-72d59c7bfffc"/>
    <xsd:import namespace="e3404d3d-0387-4800-a563-2ac7e7f50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32715-1c0b-409f-a5f7-72d59c7bf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a6c181-b3a6-4e6d-958a-84db0634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04d3d-0387-4800-a563-2ac7e7f507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11e15f-836d-490b-9337-e646c18716be}" ma:internalName="TaxCatchAll" ma:showField="CatchAllData" ma:web="e3404d3d-0387-4800-a563-2ac7e7f50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B2B5AE-69C7-4ADE-A81C-E9526416D15D}">
  <ds:schemaRefs>
    <ds:schemaRef ds:uri="http://schemas.microsoft.com/office/2006/metadata/properties"/>
    <ds:schemaRef ds:uri="http://schemas.microsoft.com/office/infopath/2007/PartnerControls"/>
    <ds:schemaRef ds:uri="cd032715-1c0b-409f-a5f7-72d59c7bfffc"/>
    <ds:schemaRef ds:uri="e3404d3d-0387-4800-a563-2ac7e7f507d0"/>
  </ds:schemaRefs>
</ds:datastoreItem>
</file>

<file path=customXml/itemProps2.xml><?xml version="1.0" encoding="utf-8"?>
<ds:datastoreItem xmlns:ds="http://schemas.openxmlformats.org/officeDocument/2006/customXml" ds:itemID="{07808D1B-B7AD-49A9-84C1-F639B1E40E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620788-6737-462E-A7E3-E3F56EB4E4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032715-1c0b-409f-a5f7-72d59c7bfffc"/>
    <ds:schemaRef ds:uri="e3404d3d-0387-4800-a563-2ac7e7f507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00_Metadata</vt:lpstr>
      <vt:lpstr>01_Products</vt:lpstr>
      <vt:lpstr>01b_Integrations_AddOns</vt:lpstr>
      <vt:lpstr>02_Features</vt:lpstr>
      <vt:lpstr>03_Functionalities</vt:lpstr>
      <vt:lpstr>04_Enums</vt:lpstr>
      <vt:lpstr>05_Quality_Checks</vt:lpstr>
      <vt:lpstr>06_Change_Log</vt:lpstr>
      <vt:lpstr>07_Source_References</vt:lpstr>
      <vt:lpstr>99_App_Load_View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Mackta, Keith</cp:lastModifiedBy>
  <dcterms:modified xsi:type="dcterms:W3CDTF">2026-07-02T15:22:33Z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0x0101006998C03C69A0E541B73ABF0E23B46DB7</vt:lpwstr>
  </property>
  <property fmtid="{D5CDD505-2E9C-101B-9397-08002B2CF9AE}" pid="3" name="MediaServiceImageTags">
    <vt:lpwstr/>
  </property>
</Properties>
</file>