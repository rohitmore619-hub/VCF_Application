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ec0197eaed934474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Metadata" sheetId="1" r:id="Rd71e3538cf45407d"/>
    <x:sheet xmlns:r="http://schemas.openxmlformats.org/officeDocument/2006/relationships" name="01_Products" sheetId="2" r:id="Rba6db87f5a764e19"/>
    <x:sheet xmlns:r="http://schemas.openxmlformats.org/officeDocument/2006/relationships" name="02_Features" sheetId="3" r:id="Rdedcd7a27c3945d9"/>
    <x:sheet xmlns:r="http://schemas.openxmlformats.org/officeDocument/2006/relationships" name="03_Functionalities" sheetId="4" r:id="R6a45adc844d34691"/>
    <x:sheet xmlns:r="http://schemas.openxmlformats.org/officeDocument/2006/relationships" name="04_Enums" sheetId="5" r:id="Rc4e7405776fe482f"/>
    <x:sheet xmlns:r="http://schemas.openxmlformats.org/officeDocument/2006/relationships" name="05_Quality_Checks" sheetId="6" r:id="R9e219d883f30414f"/>
    <x:sheet xmlns:r="http://schemas.openxmlformats.org/officeDocument/2006/relationships" name="06_Change_Log" sheetId="7" r:id="R0e2631e9c56c4661"/>
    <x:sheet xmlns:r="http://schemas.openxmlformats.org/officeDocument/2006/relationships" name="99_App_Load_View" sheetId="8" r:id="Rf8e58e31ff8046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1F2937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1"/>
      <x:color rgb="FF78350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A5B"/>
      </x:patternFill>
    </x:fill>
    <x:fill>
      <x:patternFill patternType="solid">
        <x:fgColor rgb="FFEAF3FF"/>
      </x:patternFill>
    </x:fill>
    <x:fill>
      <x:patternFill patternType="solid">
        <x:fgColor rgb="FF1F4E79"/>
      </x:patternFill>
    </x:fill>
    <x:fill>
      <x:patternFill patternType="solid">
        <x:fgColor rgb="FFFFF7E6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EAF7EE"/>
        </x:patternFill>
      </x:fill>
    </x:dxf>
    <x:dxf>
      <x:font>
        <x:b/>
        <x:color rgb="FF92400E"/>
      </x:font>
      <x:fill>
        <x:patternFill patternType="solid">
          <x:bgColor rgb="FFFFF7E6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<?xml version="1.0" encoding="UTF-8" standalone="yes"?>
<Relationships xmlns="http://schemas.openxmlformats.org/package/2006/relationships"><Relationship Id="Rc0eb28982b0946ab" Type="http://schemas.openxmlformats.org/officeDocument/2006/relationships/styles" Target="/xl/styles.xml"/><Relationship Id="R6a45adc844d34691" Type="http://schemas.openxmlformats.org/officeDocument/2006/relationships/worksheet" Target="/xl/worksheets/sheet4.xml"/><Relationship Id="rId3" Type="http://schemas.openxmlformats.org/officeDocument/2006/relationships/customXml" Target="../customXml/item3.xml"/><Relationship Id="Rba6db87f5a764e19" Type="http://schemas.openxmlformats.org/officeDocument/2006/relationships/worksheet" Target="/xl/worksheets/sheet2.xml"/><Relationship Id="Rb9e8ab3c7e5b4eeb" Type="http://schemas.openxmlformats.org/officeDocument/2006/relationships/theme" Target="/xl/theme/theme1.xml"/><Relationship Id="Rd71e3538cf45407d" Type="http://schemas.openxmlformats.org/officeDocument/2006/relationships/worksheet" Target="/xl/worksheets/sheet1.xml"/><Relationship Id="Rc4e7405776fe482f" Type="http://schemas.openxmlformats.org/officeDocument/2006/relationships/worksheet" Target="/xl/worksheets/sheet5.xml"/><Relationship Id="rId2" Type="http://schemas.openxmlformats.org/officeDocument/2006/relationships/customXml" Target="../customXml/item2.xml"/><Relationship Id="Rf8e58e31ff8046b8" Type="http://schemas.openxmlformats.org/officeDocument/2006/relationships/worksheet" Target="/xl/worksheets/sheet8.xml"/><Relationship Id="rId1" Type="http://schemas.openxmlformats.org/officeDocument/2006/relationships/customXml" Target="../customXml/item1.xml"/><Relationship Id="R0e2631e9c56c4661" Type="http://schemas.openxmlformats.org/officeDocument/2006/relationships/worksheet" Target="/xl/worksheets/sheet7.xml"/><Relationship Id="R480bd74bc91a4c10" Type="http://schemas.openxmlformats.org/officeDocument/2006/relationships/sharedStrings" Target="/xl/sharedStrings.xml"/><Relationship Id="Rdedcd7a27c3945d9" Type="http://schemas.openxmlformats.org/officeDocument/2006/relationships/worksheet" Target="/xl/worksheets/sheet3.xml"/><Relationship Id="R9e219d883f30414f" Type="http://schemas.openxmlformats.org/officeDocument/2006/relationships/worksheet" Target="/xl/worksheets/sheet6.xml"/></Relationships>
</file>

<file path=xl/tables/table1.xml><?xml version="1.0" encoding="utf-8"?>
<x:table xmlns:x="http://schemas.openxmlformats.org/spreadsheetml/2006/main" id="1" name="MetadataTable" displayName="MetadataTable" ref="A4:D18" headerRowCount="1">
  <x:tableColumns count="4">
    <x:tableColumn id="1" name="Field"/>
    <x:tableColumn id="2" name="Value"/>
    <x:tableColumn id="3" name="Notes"/>
    <x:tableColumn id="4" name="Owner / Control"/>
  </x:tableColumns>
  <x:tableStyleInfo name="TableStyleMedium2" showRowStripes="1"/>
</x:table>
</file>

<file path=xl/tables/table2.xml><?xml version="1.0" encoding="utf-8"?>
<x:table xmlns:x="http://schemas.openxmlformats.org/spreadsheetml/2006/main" id="2" name="ProductsTable" displayName="ProductsTable" ref="A4:I16" headerRowCount="1">
  <x:tableColumns count="9">
    <x:tableColumn id="1" name="Product_ID"/>
    <x:tableColumn id="2" name="Product_Name"/>
    <x:tableColumn id="3" name="Product_Type"/>
    <x:tableColumn id="4" name="Product_Description"/>
    <x:tableColumn id="5" name="Customer_Facing_Label"/>
    <x:tableColumn id="6" name="Assessment_Included"/>
    <x:tableColumn id="7" name="Sort_Order"/>
    <x:tableColumn id="8" name="Status"/>
    <x:tableColumn id="9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FeaturesTable" displayName="FeaturesTable" ref="A4:L124" headerRowCount="1">
  <x:tableColumns count="12">
    <x:tableColumn id="1" name="Feature_ID"/>
    <x:tableColumn id="2" name="Product_ID"/>
    <x:tableColumn id="3" name="Feature_Name"/>
    <x:tableColumn id="4" name="Feature_Description"/>
    <x:tableColumn id="5" name="Customer_Assessment_Prompt"/>
    <x:tableColumn id="6" name="Default_Assessment_Level"/>
    <x:tableColumn id="7" name="Requires_Functionality_Detail"/>
    <x:tableColumn id="8" name="Default_Criticality"/>
    <x:tableColumn id="9" name="Sovereignty_Relevance"/>
    <x:tableColumn id="10" name="Sort_Order"/>
    <x:tableColumn id="11" name="Status"/>
    <x:tableColumn id="12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FunctionalitiesTable" displayName="FunctionalitiesTable" ref="A4:R304" headerRowCount="1">
  <x:tableColumns count="18">
    <x:tableColumn id="1" name="Functionality_ID"/>
    <x:tableColumn id="2" name="Feature_ID"/>
    <x:tableColumn id="3" name="Product_ID"/>
    <x:tableColumn id="4" name="Functionality_Name"/>
    <x:tableColumn id="5" name="Functionality_Description"/>
    <x:tableColumn id="6" name="Includes"/>
    <x:tableColumn id="7" name="Excludes"/>
    <x:tableColumn id="8" name="Comparator_Evaluation_Question"/>
    <x:tableColumn id="9" name="Primary_Analysis_Domain"/>
    <x:tableColumn id="10" name="Capability_Group"/>
    <x:tableColumn id="11" name="Default_Criticality"/>
    <x:tableColumn id="12" name="Sovereignty_Relevance"/>
    <x:tableColumn id="13" name="Evidence_Expectation"/>
    <x:tableColumn id="14" name="AI_Seed_Search_Terms"/>
    <x:tableColumn id="15" name="Assessment_Enabled"/>
    <x:tableColumn id="16" name="Sort_Order"/>
    <x:tableColumn id="17" name="Status"/>
    <x:tableColumn id="18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EnumsTable" displayName="EnumsTable" ref="A4:D53" headerRowCount="1">
  <x:tableColumns count="4">
    <x:tableColumn id="1" name="Enum_Group"/>
    <x:tableColumn id="2" name="Value"/>
    <x:tableColumn id="3" name="Sort_Order"/>
    <x:tableColumn id="4" name="Description"/>
  </x:tableColumns>
  <x:tableStyleInfo name="TableStyleMedium2" showRowStripes="1"/>
</x:table>
</file>

<file path=xl/tables/table6.xml><?xml version="1.0" encoding="utf-8"?>
<x:table xmlns:x="http://schemas.openxmlformats.org/spreadsheetml/2006/main" id="6" name="QualityChecksTable" displayName="QualityChecksTable" ref="A4:G21" headerRowCount="1">
  <x:tableColumns count="7">
    <x:tableColumn id="1" name="Check_ID"/>
    <x:tableColumn id="2" name="Check_Name"/>
    <x:tableColumn id="3" name="Current_Value"/>
    <x:tableColumn id="4" name="Target_Min"/>
    <x:tableColumn id="5" name="Target_Max"/>
    <x:tableColumn id="6" name="Status"/>
    <x:tableColumn id="7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ChangeLogTable" displayName="ChangeLogTable" ref="A4:J104" headerRowCount="1">
  <x:tableColumns count="10">
    <x:tableColumn id="1" name="Change_ID"/>
    <x:tableColumn id="2" name="Date"/>
    <x:tableColumn id="3" name="Model_Version"/>
    <x:tableColumn id="4" name="Changed_By"/>
    <x:tableColumn id="5" name="Change_Type"/>
    <x:tableColumn id="6" name="Affected_ID"/>
    <x:tableColumn id="7" name="Change_Summary"/>
    <x:tableColumn id="8" name="Rationale"/>
    <x:tableColumn id="9" name="Impact"/>
    <x:tableColumn id="10" name="Approval_Status"/>
  </x:tableColumns>
  <x:tableStyleInfo name="TableStyleMedium2" showRowStripes="1"/>
</x:table>
</file>

<file path=xl/tables/table8.xml><?xml version="1.0" encoding="utf-8"?>
<x:table xmlns:x="http://schemas.openxmlformats.org/spreadsheetml/2006/main" id="8" name="AppLoadViewTable" displayName="AppLoadViewTable" ref="A4:X304" headerRowCount="1">
  <x:tableColumns count="24">
    <x:tableColumn id="1" name="Product_ID"/>
    <x:tableColumn id="2" name="Product_Name"/>
    <x:tableColumn id="3" name="Product_Type"/>
    <x:tableColumn id="4" name="Feature_ID"/>
    <x:tableColumn id="5" name="Feature_Name"/>
    <x:tableColumn id="6" name="Feature_Description"/>
    <x:tableColumn id="7" name="Customer_Assessment_Prompt"/>
    <x:tableColumn id="8" name="Functionality_ID"/>
    <x:tableColumn id="9" name="Functionality_Name"/>
    <x:tableColumn id="10" name="Functionality_Description"/>
    <x:tableColumn id="11" name="Includes"/>
    <x:tableColumn id="12" name="Excludes"/>
    <x:tableColumn id="13" name="Comparator_Evaluation_Question"/>
    <x:tableColumn id="14" name="Primary_Analysis_Domain"/>
    <x:tableColumn id="15" name="Capability_Group"/>
    <x:tableColumn id="16" name="Default_Criticality"/>
    <x:tableColumn id="17" name="Sovereignty_Relevance"/>
    <x:tableColumn id="18" name="Evidence_Expectation"/>
    <x:tableColumn id="19" name="AI_Seed_Search_Terms"/>
    <x:tableColumn id="20" name="Assessment_Enabled"/>
    <x:tableColumn id="21" name="Product_Sort_Order"/>
    <x:tableColumn id="22" name="Feature_Sort_Order"/>
    <x:tableColumn id="23" name="Functionality_Sort_Order"/>
    <x:tableColumn id="24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9d5ddf18f6474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597dd78540f48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20de7c427e842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677734c247146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0fe6109ffcd4f8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fab89f85b214eb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2fcb81f0230412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b6dac06eba74ebf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58" hidden="0" customWidth="1"/>
    <x:col min="4" max="4" width="24" hidden="0" customWidth="1"/>
  </x:cols>
  <x:sheetData>
    <x:row r="1" ht="28" customHeight="1">
      <x:c r="A1" s="5" t="str">
        <x:v>VCF-AFA CN v0.1 — Canonical Model Workbook</x:v>
      </x:c>
    </x:row>
    <x:row r="2" ht="32" customHeight="1">
      <x:c r="A2" s="14" t="str">
        <x:v>Authority workbook for VCF-AFA product/component, feature, and functionality identity. KB files and assessments should reference this model, not redefine it.</x:v>
      </x:c>
    </x:row>
    <x:row r="4" ht="36" customHeight="1">
      <x:c r="A4" s="24" t="str">
        <x:v>Field</x:v>
      </x:c>
      <x:c r="B4" s="24" t="str">
        <x:v>Value</x:v>
      </x:c>
      <x:c r="C4" s="24" t="str">
        <x:v>Notes</x:v>
      </x:c>
      <x:c r="D4" s="24" t="str">
        <x:v>Owner / Control</x:v>
      </x:c>
      <x:c r="E4" s="38"/>
      <x:c r="F4" s="38"/>
      <x:c r="G4" s="38"/>
      <x:c r="H4" s="38"/>
      <x:c r="I4" s="38"/>
      <x:c r="J4" s="38"/>
      <x:c r="K4" s="38"/>
      <x:c r="L4" s="38"/>
      <x:c r="M4" s="38"/>
      <x:c r="N4" s="38"/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</x:row>
    <x:row r="5">
      <x:c r="A5" s="32" t="str">
        <x:v>Model_ID</x:v>
      </x:c>
      <x:c r="B5" s="32" t="str">
        <x:v>VCF-AFA-CN</x:v>
      </x:c>
      <x:c r="C5" s="32" t="str">
        <x:v>Stable identifier for the canonical model.</x:v>
      </x:c>
      <x:c r="D5" s="32" t="str">
        <x:v>VCF-AFA</x:v>
      </x:c>
      <x:c r="E5" s="38"/>
      <x:c r="F5" s="38"/>
      <x:c r="G5" s="38"/>
      <x:c r="H5" s="38"/>
      <x:c r="I5" s="38"/>
      <x:c r="J5" s="38"/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</x:row>
    <x:row r="6">
      <x:c r="A6" s="32" t="str">
        <x:v>Model_Name</x:v>
      </x:c>
      <x:c r="B6" s="32" t="str">
        <x:v>VCF-AFA Canonical Model</x:v>
      </x:c>
      <x:c r="C6" s="32" t="str">
        <x:v>Customer-facing VCF product/component to analysis-functionality model.</x:v>
      </x:c>
      <x:c r="D6" s="32" t="str">
        <x:v>VCF-AFA</x:v>
      </x:c>
      <x:c r="E6" s="38"/>
      <x:c r="F6" s="38"/>
      <x:c r="G6" s="38"/>
      <x:c r="H6" s="38"/>
      <x:c r="I6" s="38"/>
      <x:c r="J6" s="38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</x:row>
    <x:row r="7">
      <x:c r="A7" s="32" t="str">
        <x:v>Model_Version</x:v>
      </x:c>
      <x:c r="B7" s="32" t="str">
        <x:v>CN v0.1</x:v>
      </x:c>
      <x:c r="C7" s="32" t="str">
        <x:v>Initial draft schema and starter product/component seed.</x:v>
      </x:c>
      <x:c r="D7" s="32" t="str">
        <x:v>VCF-AFA</x:v>
      </x:c>
      <x:c r="E7" s="38"/>
      <x:c r="F7" s="38"/>
      <x:c r="G7" s="38"/>
      <x:c r="H7" s="38"/>
      <x:c r="I7" s="38"/>
      <x:c r="J7" s="38"/>
      <x:c r="K7" s="38"/>
      <x:c r="L7" s="38"/>
      <x:c r="M7" s="38"/>
      <x:c r="N7" s="38"/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</x:row>
    <x:row r="8">
      <x:c r="A8" s="32" t="str">
        <x:v>Schema_Version</x:v>
      </x:c>
      <x:c r="B8" s="32" t="str">
        <x:v>CN_SCHEMA_1.0</x:v>
      </x:c>
      <x:c r="C8" s="32" t="str">
        <x:v>Workbook schema version.</x:v>
      </x:c>
      <x:c r="D8" s="32" t="str">
        <x:v>VCF-AFA</x:v>
      </x:c>
      <x:c r="E8" s="38"/>
      <x:c r="F8" s="38"/>
      <x:c r="G8" s="38"/>
      <x:c r="H8" s="38"/>
      <x:c r="I8" s="38"/>
      <x:c r="J8" s="38"/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</x:row>
    <x:row r="9">
      <x:c r="A9" s="32" t="str">
        <x:v>Status</x:v>
      </x:c>
      <x:c r="B9" s="32" t="str">
        <x:v>Draft</x:v>
      </x:c>
      <x:c r="C9" s="32" t="str">
        <x:v>Use Review or Approved only after content governance.</x:v>
      </x:c>
      <x:c r="D9" s="32" t="str">
        <x:v>Model Owner</x:v>
      </x:c>
      <x:c r="E9" s="38"/>
      <x:c r="F9" s="38"/>
      <x:c r="G9" s="38"/>
      <x:c r="H9" s="38"/>
      <x:c r="I9" s="38"/>
      <x:c r="J9" s="38"/>
      <x:c r="K9" s="38"/>
      <x:c r="L9" s="38"/>
      <x:c r="M9" s="38"/>
      <x:c r="N9" s="38"/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</x:row>
    <x:row r="10">
      <x:c r="A10" s="32" t="str">
        <x:v>Target_Product_Count</x:v>
      </x:c>
      <x:c r="B10" s="32" t="n">
        <x:v>12</x:v>
      </x:c>
      <x:c r="C10" s="32" t="str">
        <x:v>Planning target: approximately 12 VCF products/components.</x:v>
      </x:c>
      <x:c r="D10" s="32" t="str">
        <x:v>Model Owner</x:v>
      </x:c>
      <x:c r="E10" s="38"/>
      <x:c r="F10" s="38"/>
      <x:c r="G10" s="38"/>
      <x:c r="H10" s="38"/>
      <x:c r="I10" s="38"/>
      <x:c r="J10" s="38"/>
      <x:c r="K10" s="38"/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</x:row>
    <x:row r="11">
      <x:c r="A11" s="32" t="str">
        <x:v>Target_Feature_Count</x:v>
      </x:c>
      <x:c r="B11" s="32" t="n">
        <x:v>80</x:v>
      </x:c>
      <x:c r="C11" s="32" t="str">
        <x:v>Planning target: approximately 80 major features.</x:v>
      </x:c>
      <x:c r="D11" s="32" t="str">
        <x:v>Model Owner</x:v>
      </x:c>
      <x:c r="E11" s="38"/>
      <x:c r="F11" s="38"/>
      <x:c r="G11" s="38"/>
      <x:c r="H11" s="38"/>
      <x:c r="I11" s="38"/>
      <x:c r="J11" s="38"/>
      <x:c r="K11" s="38"/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</x:row>
    <x:row r="12">
      <x:c r="A12" s="32" t="str">
        <x:v>Target_Functionality_Count</x:v>
      </x:c>
      <x:c r="B12" s="32" t="n">
        <x:v>240</x:v>
      </x:c>
      <x:c r="C12" s="32" t="str">
        <x:v>Planning target: approximately 240 major functionalities.</x:v>
      </x:c>
      <x:c r="D12" s="32" t="str">
        <x:v>Model Owner</x:v>
      </x:c>
      <x:c r="E12" s="38"/>
      <x:c r="F12" s="38"/>
      <x:c r="G12" s="38"/>
      <x:c r="H12" s="38"/>
      <x:c r="I12" s="38"/>
      <x:c r="J12" s="38"/>
      <x:c r="K12" s="38"/>
      <x:c r="L12" s="38"/>
      <x:c r="M12" s="38"/>
      <x:c r="N12" s="38"/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</x:row>
    <x:row r="13">
      <x:c r="A13" s="32" t="str">
        <x:v>Created_Date</x:v>
      </x:c>
      <x:c r="B13" s="36" t="n">
        <x:v>46196</x:v>
      </x:c>
      <x:c r="C13" s="32" t="str">
        <x:v>Initial workbook creation date.</x:v>
      </x:c>
      <x:c r="D13" s="32" t="str">
        <x:v>Model Owner</x:v>
      </x:c>
      <x:c r="E13" s="38"/>
      <x:c r="F13" s="38"/>
      <x:c r="G13" s="38"/>
      <x:c r="H13" s="38"/>
      <x:c r="I13" s="38"/>
      <x:c r="J13" s="38"/>
      <x:c r="K13" s="38"/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</x:row>
    <x:row r="14">
      <x:c r="A14" s="32" t="str">
        <x:v>Last_Updated</x:v>
      </x:c>
      <x:c r="B14" s="36" t="n">
        <x:v>46196</x:v>
      </x:c>
      <x:c r="C14" s="32" t="str">
        <x:v>Update on every material model change.</x:v>
      </x:c>
      <x:c r="D14" s="32" t="str">
        <x:v>Model Owner</x:v>
      </x:c>
      <x:c r="E14" s="38"/>
      <x:c r="F14" s="38"/>
      <x:c r="G14" s="38"/>
      <x:c r="H14" s="38"/>
      <x:c r="I14" s="38"/>
      <x:c r="J14" s="38"/>
      <x:c r="K14" s="38"/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</x:row>
    <x:row r="15">
      <x:c r="A15" s="32" t="str">
        <x:v>Approved_By</x:v>
      </x:c>
      <x:c r="B15" s="32" t="str"/>
      <x:c r="C15" s="32" t="str">
        <x:v>Required only when Status = Approved.</x:v>
      </x:c>
      <x:c r="D15" s="32" t="str">
        <x:v>Governance</x:v>
      </x:c>
      <x:c r="E15" s="38"/>
      <x:c r="F15" s="38"/>
      <x:c r="G15" s="38"/>
      <x:c r="H15" s="38"/>
      <x:c r="I15" s="38"/>
      <x:c r="J15" s="38"/>
      <x:c r="K15" s="38"/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</x:row>
    <x:row r="16">
      <x:c r="A16" s="32" t="str">
        <x:v>Approved_Date</x:v>
      </x:c>
      <x:c r="B16" s="32" t="str"/>
      <x:c r="C16" s="32" t="str">
        <x:v>Required only when Status = Approved.</x:v>
      </x:c>
      <x:c r="D16" s="32" t="str">
        <x:v>Governance</x:v>
      </x:c>
      <x:c r="E16" s="38"/>
      <x:c r="F16" s="38"/>
      <x:c r="G16" s="38"/>
      <x:c r="H16" s="38"/>
      <x:c r="I16" s="38"/>
      <x:c r="J16" s="38"/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</x:row>
    <x:row r="17">
      <x:c r="A17" s="32" t="str">
        <x:v>Design_Principle</x:v>
      </x:c>
      <x:c r="B17" s="32" t="str">
        <x:v>Customer-facing assessment at Product/Feature; analysis scoring at Functionality_ID.</x:v>
      </x:c>
      <x:c r="C17" s="32" t="str">
        <x:v>Keeps workshops practical while preserving comparator granularity.</x:v>
      </x:c>
      <x:c r="D17" s="32" t="str">
        <x:v>Architecture</x:v>
      </x:c>
      <x:c r="E17" s="38"/>
      <x:c r="F17" s="38"/>
      <x:c r="G17" s="38"/>
      <x:c r="H17" s="38"/>
      <x:c r="I17" s="38"/>
      <x:c r="J17" s="38"/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</x:row>
    <x:row r="18">
      <x:c r="A18" s="32" t="str">
        <x:v>Notes</x:v>
      </x:c>
      <x:c r="B18" s="32" t="str">
        <x:v>CN v0.1 contains schema, governed tabs, quality checks, and draft product/component seed rows. Feature and functionality population should be performed through controlled review.</x:v>
      </x:c>
      <x:c r="C18" s="32" t="str">
        <x:v>Do not use names as keys; use stable IDs.</x:v>
      </x:c>
      <x:c r="D18" s="32" t="str">
        <x:v>Architecture</x:v>
      </x:c>
      <x:c r="E18" s="38"/>
      <x:c r="F18" s="38"/>
      <x:c r="G18" s="38"/>
      <x:c r="H18" s="38"/>
      <x:c r="I18" s="38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</x:row>
    <x:row r="19">
      <x:c r="A19" s="38"/>
      <x:c r="B19" s="38"/>
      <x:c r="C19" s="38"/>
      <x:c r="D19" s="38"/>
      <x:c r="E19" s="38"/>
      <x:c r="F19" s="38"/>
      <x:c r="G19" s="38"/>
      <x:c r="H19" s="38"/>
      <x:c r="I19" s="38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</x:row>
    <x:row r="20">
      <x:c r="A20" s="38"/>
      <x:c r="B20" s="38"/>
      <x:c r="C20" s="38"/>
      <x:c r="D20" s="38"/>
      <x:c r="E20" s="38"/>
      <x:c r="F20" s="38"/>
      <x:c r="G20" s="38"/>
      <x:c r="H20" s="38"/>
      <x:c r="I20" s="38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</x:row>
    <x:row r="21">
      <x:c r="A21" s="42" t="str">
        <x:v>Governance warning: CN v0.1 is a draft model workbook. Product/component seed rows are not yet approved. Feature and functionality rows must be populated and reviewed before app production use.</x:v>
      </x:c>
      <x:c r="B21" s="38"/>
      <x:c r="C21" s="38"/>
      <x:c r="D21" s="38"/>
      <x:c r="E21" s="38"/>
      <x:c r="F21" s="38"/>
      <x:c r="G21" s="38"/>
      <x:c r="H21" s="38"/>
      <x:c r="I21" s="38"/>
      <x:c r="J21" s="38"/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</x:row>
    <x:row r="22">
      <x:c r="A22" s="38"/>
      <x:c r="B22" s="38"/>
      <x:c r="C22" s="38"/>
      <x:c r="D22" s="38"/>
      <x:c r="E22" s="38"/>
      <x:c r="F22" s="38"/>
      <x:c r="G22" s="38"/>
      <x:c r="H22" s="38"/>
      <x:c r="I22" s="38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</x:row>
    <x:row r="23">
      <x:c r="A23" s="38"/>
      <x:c r="B23" s="38"/>
      <x:c r="C23" s="38"/>
      <x:c r="D23" s="38"/>
      <x:c r="E23" s="38"/>
      <x:c r="F23" s="38"/>
      <x:c r="G23" s="38"/>
      <x:c r="H23" s="38"/>
      <x:c r="I23" s="38"/>
      <x:c r="J23" s="38"/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</x:row>
    <x:row r="24">
      <x:c r="A24" s="38"/>
      <x:c r="B24" s="38"/>
      <x:c r="C24" s="38"/>
      <x:c r="D24" s="38"/>
      <x:c r="E24" s="38"/>
      <x:c r="F24" s="38"/>
      <x:c r="G24" s="38"/>
      <x:c r="H24" s="38"/>
      <x:c r="I24" s="38"/>
      <x:c r="J24" s="38"/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</x:row>
    <x:row r="25">
      <x:c r="A25" s="38"/>
      <x:c r="B25" s="38"/>
      <x:c r="C25" s="38"/>
      <x:c r="D25" s="38"/>
      <x:c r="E25" s="38"/>
      <x:c r="F25" s="38"/>
      <x:c r="G25" s="38"/>
      <x:c r="H25" s="38"/>
      <x:c r="I25" s="38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</x:row>
    <x:row r="26">
      <x:c r="A26" s="38"/>
      <x:c r="B26" s="38"/>
      <x:c r="C26" s="38"/>
      <x:c r="D26" s="38"/>
      <x:c r="E26" s="38"/>
      <x:c r="F26" s="38"/>
      <x:c r="G26" s="38"/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</x:row>
    <x:row r="27">
      <x:c r="A27" s="38"/>
      <x:c r="B27" s="38"/>
      <x:c r="C27" s="38"/>
      <x:c r="D27" s="38"/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</x:row>
    <x:row r="28">
      <x:c r="A28" s="38"/>
      <x:c r="B28" s="38"/>
      <x:c r="C28" s="38"/>
      <x:c r="D28" s="38"/>
      <x:c r="E28" s="38"/>
      <x:c r="F28" s="38"/>
      <x:c r="G28" s="38"/>
      <x:c r="H28" s="38"/>
      <x:c r="I28" s="38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</x:row>
    <x:row r="29">
      <x:c r="A29" s="38"/>
      <x:c r="B29" s="38"/>
      <x:c r="C29" s="38"/>
      <x:c r="D29" s="38"/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</x:row>
    <x:row r="30">
      <x:c r="A30" s="38"/>
      <x:c r="B30" s="38"/>
      <x:c r="C30" s="38"/>
      <x:c r="D30" s="38"/>
      <x:c r="E30" s="38"/>
      <x:c r="F30" s="38"/>
      <x:c r="G30" s="38"/>
      <x:c r="H30" s="38"/>
      <x:c r="I30" s="38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</x:row>
    <x:row r="31">
      <x:c r="A31" s="38"/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</x:row>
    <x:row r="32">
      <x:c r="A32" s="38"/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</x:row>
    <x:row r="33">
      <x:c r="A33" s="38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</x:row>
    <x:row r="34">
      <x:c r="A34" s="38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</x:row>
    <x:row r="35">
      <x:c r="A35" s="38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</x:row>
    <x:row r="36">
      <x:c r="A36" s="38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</x:row>
    <x:row r="37">
      <x:c r="A37" s="38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</x:row>
    <x:row r="38">
      <x:c r="A38" s="38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</x:row>
    <x:row r="39">
      <x:c r="A39" s="38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</x:row>
    <x:row r="40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</x:row>
    <x:row r="41">
      <x:c r="A41" s="38"/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</x:row>
    <x:row r="42">
      <x:c r="A42" s="38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</x:row>
    <x:row r="43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</x:row>
    <x:row r="44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</x:row>
    <x:row r="45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</x:row>
    <x:row r="46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</x:row>
    <x:row r="47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</x:row>
    <x:row r="48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</x:row>
    <x:row r="49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</x:row>
    <x:row r="50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</x:row>
    <x:row r="5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</x:row>
    <x:row r="52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</x:row>
    <x:row r="53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</x:row>
    <x:row r="54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</x:row>
    <x:row r="55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</x:row>
    <x:row r="56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</x:row>
    <x:row r="57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</x:row>
    <x:row r="58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</x:row>
    <x:row r="59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</x:row>
    <x:row r="60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</x:row>
    <x:row r="6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</x:row>
    <x:row r="62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</x:row>
    <x:row r="63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</x:row>
    <x:row r="64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</x:row>
    <x:row r="65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</x:row>
    <x:row r="66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</x:row>
    <x:row r="67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</x:row>
    <x:row r="68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</x:row>
    <x:row r="69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</x:row>
    <x:row r="70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</x:row>
    <x:row r="7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</x:row>
    <x:row r="72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</x:row>
    <x:row r="73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</x:row>
    <x:row r="74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</x:row>
    <x:row r="75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</x:row>
    <x:row r="76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</x:row>
    <x:row r="77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</x:row>
    <x:row r="78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</x:row>
    <x:row r="79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</x:row>
    <x:row r="80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</x:row>
    <x:row r="8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</x:row>
    <x:row r="82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</x:row>
    <x:row r="83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</x:row>
    <x:row r="84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</x:row>
    <x:row r="85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</x:row>
    <x:row r="86">
      <x:c r="A86" s="38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</x:row>
    <x:row r="87">
      <x:c r="A87" s="38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</x:row>
    <x:row r="88">
      <x:c r="A88" s="38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</x:row>
    <x:row r="89">
      <x:c r="A89" s="38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</x:row>
    <x:row r="90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</x:row>
    <x:row r="9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</x:row>
    <x:row r="92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</x:row>
    <x:row r="93">
      <x:c r="A93" s="38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</x:row>
    <x:row r="94">
      <x:c r="A94" s="38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</x:row>
    <x:row r="95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</x:row>
    <x:row r="96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</x:row>
    <x:row r="97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</x:row>
    <x:row r="98">
      <x:c r="A98" s="38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</x:row>
    <x:row r="99">
      <x:c r="A99" s="38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</x:row>
    <x:row r="100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</x:row>
    <x:row r="10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</x:row>
    <x:row r="102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</x:row>
    <x:row r="103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</x:row>
    <x:row r="104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</x:row>
    <x:row r="105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</x:row>
    <x:row r="106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</x:row>
    <x:row r="107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</x:row>
    <x:row r="108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</x:row>
    <x:row r="109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</x:row>
    <x:row r="110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</x:row>
    <x:row r="11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</x:row>
    <x:row r="112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</x:row>
    <x:row r="113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</x:row>
    <x:row r="114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</x:row>
    <x:row r="115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</x:row>
    <x:row r="116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</x:row>
    <x:row r="117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</x:row>
    <x:row r="118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</x:row>
    <x:row r="119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</x:row>
    <x:row r="120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  <x:row r="121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</x:row>
    <x:row r="122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</x:row>
    <x:row r="123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</x:row>
    <x:row r="124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</x:row>
    <x:row r="125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</x:row>
    <x:row r="126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</x:row>
    <x:row r="127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</x:row>
    <x:row r="128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</x:row>
    <x:row r="129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</x:row>
    <x:row r="130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</x:row>
    <x:row r="13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</x:row>
    <x:row r="132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</x:row>
    <x:row r="133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</x:row>
    <x:row r="134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</x:row>
    <x:row r="135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</x:row>
    <x:row r="136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</x:row>
    <x:row r="137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</x:row>
    <x:row r="138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</x:row>
    <x:row r="139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</x:row>
    <x:row r="140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</x:row>
    <x:row r="14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</x:row>
    <x:row r="142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</x:row>
    <x:row r="143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</x:row>
    <x:row r="144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</x:row>
    <x:row r="145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</x:row>
    <x:row r="146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</x:row>
    <x:row r="147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</x:row>
    <x:row r="148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</x:row>
    <x:row r="149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</x:row>
    <x:row r="150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</x:row>
    <x:row r="15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</x:row>
    <x:row r="152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</x:row>
    <x:row r="153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</x:row>
    <x:row r="154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</x:row>
    <x:row r="155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</x:row>
    <x:row r="156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</x:row>
    <x:row r="157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</x:row>
    <x:row r="158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</x:row>
    <x:row r="159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</x:row>
    <x:row r="160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</x:row>
    <x:row r="16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</x:row>
    <x:row r="162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</x:row>
    <x:row r="163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</x:row>
    <x:row r="164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</x:row>
    <x:row r="165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</x:row>
    <x:row r="166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</x:row>
    <x:row r="167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</x:row>
    <x:row r="168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</x:row>
    <x:row r="169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</x:row>
    <x:row r="170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</x:row>
    <x:row r="17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</x:row>
    <x:row r="172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</x:row>
    <x:row r="173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</x:row>
    <x:row r="174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</x:row>
    <x:row r="175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</x:row>
    <x:row r="176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</x:row>
    <x:row r="177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</x:row>
    <x:row r="178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</x:row>
    <x:row r="179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</x:row>
    <x:row r="180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</x:row>
    <x:row r="18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</x:row>
    <x:row r="182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</x:row>
    <x:row r="183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</x:row>
    <x:row r="184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</x:row>
    <x:row r="185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</x:row>
    <x:row r="186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</x:row>
    <x:row r="187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</x:row>
    <x:row r="188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</x:row>
    <x:row r="189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</x:row>
    <x:row r="190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</x:row>
    <x:row r="19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</x:row>
    <x:row r="192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</x:row>
    <x:row r="193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</x:row>
    <x:row r="194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</x:row>
    <x:row r="195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</x:row>
    <x:row r="196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</x:row>
    <x:row r="197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</x:row>
    <x:row r="198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</x:row>
    <x:row r="199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</x:row>
    <x:row r="200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</x:row>
    <x:row r="201">
      <x:c r="A201" s="38"/>
      <x:c r="B201" s="38"/>
      <x:c r="C201" s="38"/>
      <x:c r="D201" s="38"/>
      <x:c r="E201" s="38"/>
      <x:c r="F201" s="38"/>
      <x:c r="G201" s="38"/>
      <x:c r="H201" s="38"/>
      <x:c r="I201" s="38"/>
      <x:c r="J201" s="38"/>
      <x:c r="K201" s="38"/>
      <x:c r="L201" s="38"/>
      <x:c r="M201" s="38"/>
      <x:c r="N201" s="38"/>
      <x:c r="O201" s="38"/>
      <x:c r="P201" s="38"/>
      <x:c r="Q201" s="38"/>
      <x:c r="R201" s="38"/>
      <x:c r="S201" s="38"/>
      <x:c r="T201" s="38"/>
      <x:c r="U201" s="38"/>
      <x:c r="V201" s="38"/>
      <x:c r="W201" s="38"/>
      <x:c r="X201" s="38"/>
      <x:c r="Y201" s="38"/>
      <x:c r="Z201" s="38"/>
    </x:row>
    <x:row r="202">
      <x:c r="A202" s="38"/>
      <x:c r="B202" s="38"/>
      <x:c r="C202" s="38"/>
      <x:c r="D202" s="38"/>
      <x:c r="E202" s="38"/>
      <x:c r="F202" s="38"/>
      <x:c r="G202" s="38"/>
      <x:c r="H202" s="38"/>
      <x:c r="I202" s="38"/>
      <x:c r="J202" s="38"/>
      <x:c r="K202" s="38"/>
      <x:c r="L202" s="38"/>
      <x:c r="M202" s="38"/>
      <x:c r="N202" s="38"/>
      <x:c r="O202" s="38"/>
      <x:c r="P202" s="38"/>
      <x:c r="Q202" s="38"/>
      <x:c r="R202" s="38"/>
      <x:c r="S202" s="38"/>
      <x:c r="T202" s="38"/>
      <x:c r="U202" s="38"/>
      <x:c r="V202" s="38"/>
      <x:c r="W202" s="38"/>
      <x:c r="X202" s="38"/>
      <x:c r="Y202" s="38"/>
      <x:c r="Z202" s="38"/>
    </x:row>
    <x:row r="203">
      <x:c r="A203" s="38"/>
      <x:c r="B203" s="38"/>
      <x:c r="C203" s="38"/>
      <x:c r="D203" s="38"/>
      <x:c r="E203" s="38"/>
      <x:c r="F203" s="38"/>
      <x:c r="G203" s="38"/>
      <x:c r="H203" s="38"/>
      <x:c r="I203" s="38"/>
      <x:c r="J203" s="38"/>
      <x:c r="K203" s="38"/>
      <x:c r="L203" s="38"/>
      <x:c r="M203" s="38"/>
      <x:c r="N203" s="38"/>
      <x:c r="O203" s="38"/>
      <x:c r="P203" s="38"/>
      <x:c r="Q203" s="38"/>
      <x:c r="R203" s="38"/>
      <x:c r="S203" s="38"/>
      <x:c r="T203" s="38"/>
      <x:c r="U203" s="38"/>
      <x:c r="V203" s="38"/>
      <x:c r="W203" s="38"/>
      <x:c r="X203" s="38"/>
      <x:c r="Y203" s="38"/>
      <x:c r="Z203" s="38"/>
    </x:row>
    <x:row r="204">
      <x:c r="A204" s="38"/>
      <x:c r="B204" s="38"/>
      <x:c r="C204" s="38"/>
      <x:c r="D204" s="38"/>
      <x:c r="E204" s="38"/>
      <x:c r="F204" s="38"/>
      <x:c r="G204" s="38"/>
      <x:c r="H204" s="38"/>
      <x:c r="I204" s="38"/>
      <x:c r="J204" s="38"/>
      <x:c r="K204" s="38"/>
      <x:c r="L204" s="38"/>
      <x:c r="M204" s="38"/>
      <x:c r="N204" s="38"/>
      <x:c r="O204" s="38"/>
      <x:c r="P204" s="38"/>
      <x:c r="Q204" s="38"/>
      <x:c r="R204" s="38"/>
      <x:c r="S204" s="38"/>
      <x:c r="T204" s="38"/>
      <x:c r="U204" s="38"/>
      <x:c r="V204" s="38"/>
      <x:c r="W204" s="38"/>
      <x:c r="X204" s="38"/>
      <x:c r="Y204" s="38"/>
      <x:c r="Z204" s="38"/>
    </x:row>
    <x:row r="205">
      <x:c r="A205" s="38"/>
      <x:c r="B205" s="38"/>
      <x:c r="C205" s="38"/>
      <x:c r="D205" s="38"/>
      <x:c r="E205" s="38"/>
      <x:c r="F205" s="38"/>
      <x:c r="G205" s="38"/>
      <x:c r="H205" s="38"/>
      <x:c r="I205" s="38"/>
      <x:c r="J205" s="38"/>
      <x:c r="K205" s="38"/>
      <x:c r="L205" s="38"/>
      <x:c r="M205" s="38"/>
      <x:c r="N205" s="38"/>
      <x:c r="O205" s="38"/>
      <x:c r="P205" s="38"/>
      <x:c r="Q205" s="38"/>
      <x:c r="R205" s="38"/>
      <x:c r="S205" s="38"/>
      <x:c r="T205" s="38"/>
      <x:c r="U205" s="38"/>
      <x:c r="V205" s="38"/>
      <x:c r="W205" s="38"/>
      <x:c r="X205" s="38"/>
      <x:c r="Y205" s="38"/>
      <x:c r="Z205" s="38"/>
    </x:row>
    <x:row r="206">
      <x:c r="A206" s="38"/>
      <x:c r="B206" s="38"/>
      <x:c r="C206" s="38"/>
      <x:c r="D206" s="38"/>
      <x:c r="E206" s="38"/>
      <x:c r="F206" s="38"/>
      <x:c r="G206" s="38"/>
      <x:c r="H206" s="38"/>
      <x:c r="I206" s="38"/>
      <x:c r="J206" s="38"/>
      <x:c r="K206" s="38"/>
      <x:c r="L206" s="38"/>
      <x:c r="M206" s="38"/>
      <x:c r="N206" s="38"/>
      <x:c r="O206" s="38"/>
      <x:c r="P206" s="38"/>
      <x:c r="Q206" s="38"/>
      <x:c r="R206" s="38"/>
      <x:c r="S206" s="38"/>
      <x:c r="T206" s="38"/>
      <x:c r="U206" s="38"/>
      <x:c r="V206" s="38"/>
      <x:c r="W206" s="38"/>
      <x:c r="X206" s="38"/>
      <x:c r="Y206" s="38"/>
      <x:c r="Z206" s="38"/>
    </x:row>
    <x:row r="207">
      <x:c r="A207" s="38"/>
      <x:c r="B207" s="38"/>
      <x:c r="C207" s="38"/>
      <x:c r="D207" s="38"/>
      <x:c r="E207" s="38"/>
      <x:c r="F207" s="38"/>
      <x:c r="G207" s="38"/>
      <x:c r="H207" s="38"/>
      <x:c r="I207" s="38"/>
      <x:c r="J207" s="38"/>
      <x:c r="K207" s="38"/>
      <x:c r="L207" s="38"/>
      <x:c r="M207" s="38"/>
      <x:c r="N207" s="38"/>
      <x:c r="O207" s="38"/>
      <x:c r="P207" s="38"/>
      <x:c r="Q207" s="38"/>
      <x:c r="R207" s="38"/>
      <x:c r="S207" s="38"/>
      <x:c r="T207" s="38"/>
      <x:c r="U207" s="38"/>
      <x:c r="V207" s="38"/>
      <x:c r="W207" s="38"/>
      <x:c r="X207" s="38"/>
      <x:c r="Y207" s="38"/>
      <x:c r="Z207" s="38"/>
    </x:row>
    <x:row r="208">
      <x:c r="A208" s="38"/>
      <x:c r="B208" s="38"/>
      <x:c r="C208" s="38"/>
      <x:c r="D208" s="38"/>
      <x:c r="E208" s="38"/>
      <x:c r="F208" s="38"/>
      <x:c r="G208" s="38"/>
      <x:c r="H208" s="38"/>
      <x:c r="I208" s="38"/>
      <x:c r="J208" s="38"/>
      <x:c r="K208" s="38"/>
      <x:c r="L208" s="38"/>
      <x:c r="M208" s="38"/>
      <x:c r="N208" s="38"/>
      <x:c r="O208" s="38"/>
      <x:c r="P208" s="38"/>
      <x:c r="Q208" s="38"/>
      <x:c r="R208" s="38"/>
      <x:c r="S208" s="38"/>
      <x:c r="T208" s="38"/>
      <x:c r="U208" s="38"/>
      <x:c r="V208" s="38"/>
      <x:c r="W208" s="38"/>
      <x:c r="X208" s="38"/>
      <x:c r="Y208" s="38"/>
      <x:c r="Z208" s="38"/>
    </x:row>
    <x:row r="209">
      <x:c r="A209" s="38"/>
      <x:c r="B209" s="38"/>
      <x:c r="C209" s="38"/>
      <x:c r="D209" s="38"/>
      <x:c r="E209" s="38"/>
      <x:c r="F209" s="38"/>
      <x:c r="G209" s="38"/>
      <x:c r="H209" s="38"/>
      <x:c r="I209" s="38"/>
      <x:c r="J209" s="38"/>
      <x:c r="K209" s="38"/>
      <x:c r="L209" s="38"/>
      <x:c r="M209" s="38"/>
      <x:c r="N209" s="38"/>
      <x:c r="O209" s="38"/>
      <x:c r="P209" s="38"/>
      <x:c r="Q209" s="38"/>
      <x:c r="R209" s="38"/>
      <x:c r="S209" s="38"/>
      <x:c r="T209" s="38"/>
      <x:c r="U209" s="38"/>
      <x:c r="V209" s="38"/>
      <x:c r="W209" s="38"/>
      <x:c r="X209" s="38"/>
      <x:c r="Y209" s="38"/>
      <x:c r="Z209" s="38"/>
    </x:row>
    <x:row r="210">
      <x:c r="A210" s="38"/>
      <x:c r="B210" s="38"/>
      <x:c r="C210" s="38"/>
      <x:c r="D210" s="38"/>
      <x:c r="E210" s="38"/>
      <x:c r="F210" s="38"/>
      <x:c r="G210" s="38"/>
      <x:c r="H210" s="38"/>
      <x:c r="I210" s="38"/>
      <x:c r="J210" s="38"/>
      <x:c r="K210" s="38"/>
      <x:c r="L210" s="38"/>
      <x:c r="M210" s="38"/>
      <x:c r="N210" s="38"/>
      <x:c r="O210" s="38"/>
      <x:c r="P210" s="38"/>
      <x:c r="Q210" s="38"/>
      <x:c r="R210" s="38"/>
      <x:c r="S210" s="38"/>
      <x:c r="T210" s="38"/>
      <x:c r="U210" s="38"/>
      <x:c r="V210" s="38"/>
      <x:c r="W210" s="38"/>
      <x:c r="X210" s="38"/>
      <x:c r="Y210" s="38"/>
      <x:c r="Z210" s="38"/>
    </x:row>
    <x:row r="211">
      <x:c r="A211" s="38"/>
      <x:c r="B211" s="38"/>
      <x:c r="C211" s="38"/>
      <x:c r="D211" s="38"/>
      <x:c r="E211" s="38"/>
      <x:c r="F211" s="38"/>
      <x:c r="G211" s="38"/>
      <x:c r="H211" s="38"/>
      <x:c r="I211" s="38"/>
      <x:c r="J211" s="38"/>
      <x:c r="K211" s="38"/>
      <x:c r="L211" s="38"/>
      <x:c r="M211" s="38"/>
      <x:c r="N211" s="38"/>
      <x:c r="O211" s="38"/>
      <x:c r="P211" s="38"/>
      <x:c r="Q211" s="38"/>
      <x:c r="R211" s="38"/>
      <x:c r="S211" s="38"/>
      <x:c r="T211" s="38"/>
      <x:c r="U211" s="38"/>
      <x:c r="V211" s="38"/>
      <x:c r="W211" s="38"/>
      <x:c r="X211" s="38"/>
      <x:c r="Y211" s="38"/>
      <x:c r="Z211" s="38"/>
    </x:row>
    <x:row r="212">
      <x:c r="A212" s="38"/>
      <x:c r="B212" s="38"/>
      <x:c r="C212" s="38"/>
      <x:c r="D212" s="38"/>
      <x:c r="E212" s="38"/>
      <x:c r="F212" s="38"/>
      <x:c r="G212" s="38"/>
      <x:c r="H212" s="38"/>
      <x:c r="I212" s="38"/>
      <x:c r="J212" s="38"/>
      <x:c r="K212" s="38"/>
      <x:c r="L212" s="38"/>
      <x:c r="M212" s="38"/>
      <x:c r="N212" s="38"/>
      <x:c r="O212" s="38"/>
      <x:c r="P212" s="38"/>
      <x:c r="Q212" s="38"/>
      <x:c r="R212" s="38"/>
      <x:c r="S212" s="38"/>
      <x:c r="T212" s="38"/>
      <x:c r="U212" s="38"/>
      <x:c r="V212" s="38"/>
      <x:c r="W212" s="38"/>
      <x:c r="X212" s="38"/>
      <x:c r="Y212" s="38"/>
      <x:c r="Z212" s="38"/>
    </x:row>
    <x:row r="213">
      <x:c r="A213" s="38"/>
      <x:c r="B213" s="38"/>
      <x:c r="C213" s="38"/>
      <x:c r="D213" s="38"/>
      <x:c r="E213" s="38"/>
      <x:c r="F213" s="38"/>
      <x:c r="G213" s="38"/>
      <x:c r="H213" s="38"/>
      <x:c r="I213" s="38"/>
      <x:c r="J213" s="38"/>
      <x:c r="K213" s="38"/>
      <x:c r="L213" s="38"/>
      <x:c r="M213" s="38"/>
      <x:c r="N213" s="38"/>
      <x:c r="O213" s="38"/>
      <x:c r="P213" s="38"/>
      <x:c r="Q213" s="38"/>
      <x:c r="R213" s="38"/>
      <x:c r="S213" s="38"/>
      <x:c r="T213" s="38"/>
      <x:c r="U213" s="38"/>
      <x:c r="V213" s="38"/>
      <x:c r="W213" s="38"/>
      <x:c r="X213" s="38"/>
      <x:c r="Y213" s="38"/>
      <x:c r="Z213" s="38"/>
    </x:row>
    <x:row r="214">
      <x:c r="A214" s="38"/>
      <x:c r="B214" s="38"/>
      <x:c r="C214" s="38"/>
      <x:c r="D214" s="38"/>
      <x:c r="E214" s="38"/>
      <x:c r="F214" s="38"/>
      <x:c r="G214" s="38"/>
      <x:c r="H214" s="38"/>
      <x:c r="I214" s="38"/>
      <x:c r="J214" s="38"/>
      <x:c r="K214" s="38"/>
      <x:c r="L214" s="38"/>
      <x:c r="M214" s="38"/>
      <x:c r="N214" s="38"/>
      <x:c r="O214" s="38"/>
      <x:c r="P214" s="38"/>
      <x:c r="Q214" s="38"/>
      <x:c r="R214" s="38"/>
      <x:c r="S214" s="38"/>
      <x:c r="T214" s="38"/>
      <x:c r="U214" s="38"/>
      <x:c r="V214" s="38"/>
      <x:c r="W214" s="38"/>
      <x:c r="X214" s="38"/>
      <x:c r="Y214" s="38"/>
      <x:c r="Z214" s="38"/>
    </x:row>
    <x:row r="215">
      <x:c r="A215" s="38"/>
      <x:c r="B215" s="38"/>
      <x:c r="C215" s="38"/>
      <x:c r="D215" s="38"/>
      <x:c r="E215" s="38"/>
      <x:c r="F215" s="38"/>
      <x:c r="G215" s="38"/>
      <x:c r="H215" s="38"/>
      <x:c r="I215" s="38"/>
      <x:c r="J215" s="38"/>
      <x:c r="K215" s="38"/>
      <x:c r="L215" s="38"/>
      <x:c r="M215" s="38"/>
      <x:c r="N215" s="38"/>
      <x:c r="O215" s="38"/>
      <x:c r="P215" s="38"/>
      <x:c r="Q215" s="38"/>
      <x:c r="R215" s="38"/>
      <x:c r="S215" s="38"/>
      <x:c r="T215" s="38"/>
      <x:c r="U215" s="38"/>
      <x:c r="V215" s="38"/>
      <x:c r="W215" s="38"/>
      <x:c r="X215" s="38"/>
      <x:c r="Y215" s="38"/>
      <x:c r="Z215" s="38"/>
    </x:row>
    <x:row r="216">
      <x:c r="A216" s="38"/>
      <x:c r="B216" s="38"/>
      <x:c r="C216" s="38"/>
      <x:c r="D216" s="38"/>
      <x:c r="E216" s="38"/>
      <x:c r="F216" s="38"/>
      <x:c r="G216" s="38"/>
      <x:c r="H216" s="38"/>
      <x:c r="I216" s="38"/>
      <x:c r="J216" s="38"/>
      <x:c r="K216" s="38"/>
      <x:c r="L216" s="38"/>
      <x:c r="M216" s="38"/>
      <x:c r="N216" s="38"/>
      <x:c r="O216" s="38"/>
      <x:c r="P216" s="38"/>
      <x:c r="Q216" s="38"/>
      <x:c r="R216" s="38"/>
      <x:c r="S216" s="38"/>
      <x:c r="T216" s="38"/>
      <x:c r="U216" s="38"/>
      <x:c r="V216" s="38"/>
      <x:c r="W216" s="38"/>
      <x:c r="X216" s="38"/>
      <x:c r="Y216" s="38"/>
      <x:c r="Z216" s="38"/>
    </x:row>
    <x:row r="217">
      <x:c r="A217" s="38"/>
      <x:c r="B217" s="38"/>
      <x:c r="C217" s="38"/>
      <x:c r="D217" s="38"/>
      <x:c r="E217" s="38"/>
      <x:c r="F217" s="38"/>
      <x:c r="G217" s="38"/>
      <x:c r="H217" s="38"/>
      <x:c r="I217" s="38"/>
      <x:c r="J217" s="38"/>
      <x:c r="K217" s="38"/>
      <x:c r="L217" s="38"/>
      <x:c r="M217" s="38"/>
      <x:c r="N217" s="38"/>
      <x:c r="O217" s="38"/>
      <x:c r="P217" s="38"/>
      <x:c r="Q217" s="38"/>
      <x:c r="R217" s="38"/>
      <x:c r="S217" s="38"/>
      <x:c r="T217" s="38"/>
      <x:c r="U217" s="38"/>
      <x:c r="V217" s="38"/>
      <x:c r="W217" s="38"/>
      <x:c r="X217" s="38"/>
      <x:c r="Y217" s="38"/>
      <x:c r="Z217" s="38"/>
    </x:row>
    <x:row r="218">
      <x:c r="A218" s="38"/>
      <x:c r="B218" s="38"/>
      <x:c r="C218" s="38"/>
      <x:c r="D218" s="38"/>
      <x:c r="E218" s="38"/>
      <x:c r="F218" s="38"/>
      <x:c r="G218" s="38"/>
      <x:c r="H218" s="38"/>
      <x:c r="I218" s="38"/>
      <x:c r="J218" s="38"/>
      <x:c r="K218" s="38"/>
      <x:c r="L218" s="38"/>
      <x:c r="M218" s="38"/>
      <x:c r="N218" s="38"/>
      <x:c r="O218" s="38"/>
      <x:c r="P218" s="38"/>
      <x:c r="Q218" s="38"/>
      <x:c r="R218" s="38"/>
      <x:c r="S218" s="38"/>
      <x:c r="T218" s="38"/>
      <x:c r="U218" s="38"/>
      <x:c r="V218" s="38"/>
      <x:c r="W218" s="38"/>
      <x:c r="X218" s="38"/>
      <x:c r="Y218" s="38"/>
      <x:c r="Z218" s="38"/>
    </x:row>
    <x:row r="219">
      <x:c r="A219" s="38"/>
      <x:c r="B219" s="38"/>
      <x:c r="C219" s="38"/>
      <x:c r="D219" s="38"/>
      <x:c r="E219" s="38"/>
      <x:c r="F219" s="38"/>
      <x:c r="G219" s="38"/>
      <x:c r="H219" s="38"/>
      <x:c r="I219" s="38"/>
      <x:c r="J219" s="38"/>
      <x:c r="K219" s="38"/>
      <x:c r="L219" s="38"/>
      <x:c r="M219" s="38"/>
      <x:c r="N219" s="38"/>
      <x:c r="O219" s="38"/>
      <x:c r="P219" s="38"/>
      <x:c r="Q219" s="38"/>
      <x:c r="R219" s="38"/>
      <x:c r="S219" s="38"/>
      <x:c r="T219" s="38"/>
      <x:c r="U219" s="38"/>
      <x:c r="V219" s="38"/>
      <x:c r="W219" s="38"/>
      <x:c r="X219" s="38"/>
      <x:c r="Y219" s="38"/>
      <x:c r="Z219" s="38"/>
    </x:row>
    <x:row r="220">
      <x:c r="A220" s="38"/>
      <x:c r="B220" s="38"/>
      <x:c r="C220" s="38"/>
      <x:c r="D220" s="38"/>
      <x:c r="E220" s="38"/>
      <x:c r="F220" s="38"/>
      <x:c r="G220" s="38"/>
      <x:c r="H220" s="38"/>
      <x:c r="I220" s="38"/>
      <x:c r="J220" s="38"/>
      <x:c r="K220" s="38"/>
      <x:c r="L220" s="38"/>
      <x:c r="M220" s="38"/>
      <x:c r="N220" s="38"/>
      <x:c r="O220" s="38"/>
      <x:c r="P220" s="38"/>
      <x:c r="Q220" s="38"/>
      <x:c r="R220" s="38"/>
      <x:c r="S220" s="38"/>
      <x:c r="T220" s="38"/>
      <x:c r="U220" s="38"/>
      <x:c r="V220" s="38"/>
      <x:c r="W220" s="38"/>
      <x:c r="X220" s="38"/>
      <x:c r="Y220" s="38"/>
      <x:c r="Z220" s="38"/>
    </x:row>
    <x:row r="221">
      <x:c r="A221" s="38"/>
      <x:c r="B221" s="38"/>
      <x:c r="C221" s="38"/>
      <x:c r="D221" s="38"/>
      <x:c r="E221" s="38"/>
      <x:c r="F221" s="38"/>
      <x:c r="G221" s="38"/>
      <x:c r="H221" s="38"/>
      <x:c r="I221" s="38"/>
      <x:c r="J221" s="38"/>
      <x:c r="K221" s="38"/>
      <x:c r="L221" s="38"/>
      <x:c r="M221" s="38"/>
      <x:c r="N221" s="38"/>
      <x:c r="O221" s="38"/>
      <x:c r="P221" s="38"/>
      <x:c r="Q221" s="38"/>
      <x:c r="R221" s="38"/>
      <x:c r="S221" s="38"/>
      <x:c r="T221" s="38"/>
      <x:c r="U221" s="38"/>
      <x:c r="V221" s="38"/>
      <x:c r="W221" s="38"/>
      <x:c r="X221" s="38"/>
      <x:c r="Y221" s="38"/>
      <x:c r="Z221" s="38"/>
    </x:row>
    <x:row r="222">
      <x:c r="A222" s="38"/>
      <x:c r="B222" s="38"/>
      <x:c r="C222" s="38"/>
      <x:c r="D222" s="38"/>
      <x:c r="E222" s="38"/>
      <x:c r="F222" s="38"/>
      <x:c r="G222" s="38"/>
      <x:c r="H222" s="38"/>
      <x:c r="I222" s="38"/>
      <x:c r="J222" s="38"/>
      <x:c r="K222" s="38"/>
      <x:c r="L222" s="38"/>
      <x:c r="M222" s="38"/>
      <x:c r="N222" s="38"/>
      <x:c r="O222" s="38"/>
      <x:c r="P222" s="38"/>
      <x:c r="Q222" s="38"/>
      <x:c r="R222" s="38"/>
      <x:c r="S222" s="38"/>
      <x:c r="T222" s="38"/>
      <x:c r="U222" s="38"/>
      <x:c r="V222" s="38"/>
      <x:c r="W222" s="38"/>
      <x:c r="X222" s="38"/>
      <x:c r="Y222" s="38"/>
      <x:c r="Z222" s="38"/>
    </x:row>
    <x:row r="223">
      <x:c r="A223" s="38"/>
      <x:c r="B223" s="38"/>
      <x:c r="C223" s="38"/>
      <x:c r="D223" s="38"/>
      <x:c r="E223" s="38"/>
      <x:c r="F223" s="38"/>
      <x:c r="G223" s="38"/>
      <x:c r="H223" s="38"/>
      <x:c r="I223" s="38"/>
      <x:c r="J223" s="38"/>
      <x:c r="K223" s="38"/>
      <x:c r="L223" s="38"/>
      <x:c r="M223" s="38"/>
      <x:c r="N223" s="38"/>
      <x:c r="O223" s="38"/>
      <x:c r="P223" s="38"/>
      <x:c r="Q223" s="38"/>
      <x:c r="R223" s="38"/>
      <x:c r="S223" s="38"/>
      <x:c r="T223" s="38"/>
      <x:c r="U223" s="38"/>
      <x:c r="V223" s="38"/>
      <x:c r="W223" s="38"/>
      <x:c r="X223" s="38"/>
      <x:c r="Y223" s="38"/>
      <x:c r="Z223" s="38"/>
    </x:row>
    <x:row r="224">
      <x:c r="A224" s="38"/>
      <x:c r="B224" s="38"/>
      <x:c r="C224" s="38"/>
      <x:c r="D224" s="38"/>
      <x:c r="E224" s="38"/>
      <x:c r="F224" s="38"/>
      <x:c r="G224" s="38"/>
      <x:c r="H224" s="38"/>
      <x:c r="I224" s="38"/>
      <x:c r="J224" s="38"/>
      <x:c r="K224" s="38"/>
      <x:c r="L224" s="38"/>
      <x:c r="M224" s="38"/>
      <x:c r="N224" s="38"/>
      <x:c r="O224" s="38"/>
      <x:c r="P224" s="38"/>
      <x:c r="Q224" s="38"/>
      <x:c r="R224" s="38"/>
      <x:c r="S224" s="38"/>
      <x:c r="T224" s="38"/>
      <x:c r="U224" s="38"/>
      <x:c r="V224" s="38"/>
      <x:c r="W224" s="38"/>
      <x:c r="X224" s="38"/>
      <x:c r="Y224" s="38"/>
      <x:c r="Z224" s="38"/>
    </x:row>
    <x:row r="225">
      <x:c r="A225" s="38"/>
      <x:c r="B225" s="38"/>
      <x:c r="C225" s="38"/>
      <x:c r="D225" s="38"/>
      <x:c r="E225" s="38"/>
      <x:c r="F225" s="38"/>
      <x:c r="G225" s="38"/>
      <x:c r="H225" s="38"/>
      <x:c r="I225" s="38"/>
      <x:c r="J225" s="38"/>
      <x:c r="K225" s="38"/>
      <x:c r="L225" s="38"/>
      <x:c r="M225" s="38"/>
      <x:c r="N225" s="38"/>
      <x:c r="O225" s="38"/>
      <x:c r="P225" s="38"/>
      <x:c r="Q225" s="38"/>
      <x:c r="R225" s="38"/>
      <x:c r="S225" s="38"/>
      <x:c r="T225" s="38"/>
      <x:c r="U225" s="38"/>
      <x:c r="V225" s="38"/>
      <x:c r="W225" s="38"/>
      <x:c r="X225" s="38"/>
      <x:c r="Y225" s="38"/>
      <x:c r="Z225" s="38"/>
    </x:row>
    <x:row r="226">
      <x:c r="A226" s="38"/>
      <x:c r="B226" s="38"/>
      <x:c r="C226" s="38"/>
      <x:c r="D226" s="38"/>
      <x:c r="E226" s="38"/>
      <x:c r="F226" s="38"/>
      <x:c r="G226" s="38"/>
      <x:c r="H226" s="38"/>
      <x:c r="I226" s="38"/>
      <x:c r="J226" s="38"/>
      <x:c r="K226" s="38"/>
      <x:c r="L226" s="38"/>
      <x:c r="M226" s="38"/>
      <x:c r="N226" s="38"/>
      <x:c r="O226" s="38"/>
      <x:c r="P226" s="38"/>
      <x:c r="Q226" s="38"/>
      <x:c r="R226" s="38"/>
      <x:c r="S226" s="38"/>
      <x:c r="T226" s="38"/>
      <x:c r="U226" s="38"/>
      <x:c r="V226" s="38"/>
      <x:c r="W226" s="38"/>
      <x:c r="X226" s="38"/>
      <x:c r="Y226" s="38"/>
      <x:c r="Z226" s="38"/>
    </x:row>
    <x:row r="227">
      <x:c r="A227" s="38"/>
      <x:c r="B227" s="38"/>
      <x:c r="C227" s="38"/>
      <x:c r="D227" s="38"/>
      <x:c r="E227" s="38"/>
      <x:c r="F227" s="38"/>
      <x:c r="G227" s="38"/>
      <x:c r="H227" s="38"/>
      <x:c r="I227" s="38"/>
      <x:c r="J227" s="38"/>
      <x:c r="K227" s="38"/>
      <x:c r="L227" s="38"/>
      <x:c r="M227" s="38"/>
      <x:c r="N227" s="38"/>
      <x:c r="O227" s="38"/>
      <x:c r="P227" s="38"/>
      <x:c r="Q227" s="38"/>
      <x:c r="R227" s="38"/>
      <x:c r="S227" s="38"/>
      <x:c r="T227" s="38"/>
      <x:c r="U227" s="38"/>
      <x:c r="V227" s="38"/>
      <x:c r="W227" s="38"/>
      <x:c r="X227" s="38"/>
      <x:c r="Y227" s="38"/>
      <x:c r="Z227" s="38"/>
    </x:row>
    <x:row r="228">
      <x:c r="A228" s="38"/>
      <x:c r="B228" s="38"/>
      <x:c r="C228" s="38"/>
      <x:c r="D228" s="38"/>
      <x:c r="E228" s="38"/>
      <x:c r="F228" s="38"/>
      <x:c r="G228" s="38"/>
      <x:c r="H228" s="38"/>
      <x:c r="I228" s="38"/>
      <x:c r="J228" s="38"/>
      <x:c r="K228" s="38"/>
      <x:c r="L228" s="38"/>
      <x:c r="M228" s="38"/>
      <x:c r="N228" s="38"/>
      <x:c r="O228" s="38"/>
      <x:c r="P228" s="38"/>
      <x:c r="Q228" s="38"/>
      <x:c r="R228" s="38"/>
      <x:c r="S228" s="38"/>
      <x:c r="T228" s="38"/>
      <x:c r="U228" s="38"/>
      <x:c r="V228" s="38"/>
      <x:c r="W228" s="38"/>
      <x:c r="X228" s="38"/>
      <x:c r="Y228" s="38"/>
      <x:c r="Z228" s="38"/>
    </x:row>
    <x:row r="229">
      <x:c r="A229" s="38"/>
      <x:c r="B229" s="38"/>
      <x:c r="C229" s="38"/>
      <x:c r="D229" s="38"/>
      <x:c r="E229" s="38"/>
      <x:c r="F229" s="38"/>
      <x:c r="G229" s="38"/>
      <x:c r="H229" s="38"/>
      <x:c r="I229" s="38"/>
      <x:c r="J229" s="38"/>
      <x:c r="K229" s="38"/>
      <x:c r="L229" s="38"/>
      <x:c r="M229" s="38"/>
      <x:c r="N229" s="38"/>
      <x:c r="O229" s="38"/>
      <x:c r="P229" s="38"/>
      <x:c r="Q229" s="38"/>
      <x:c r="R229" s="38"/>
      <x:c r="S229" s="38"/>
      <x:c r="T229" s="38"/>
      <x:c r="U229" s="38"/>
      <x:c r="V229" s="38"/>
      <x:c r="W229" s="38"/>
      <x:c r="X229" s="38"/>
      <x:c r="Y229" s="38"/>
      <x:c r="Z229" s="38"/>
    </x:row>
    <x:row r="230">
      <x:c r="A230" s="38"/>
      <x:c r="B230" s="38"/>
      <x:c r="C230" s="38"/>
      <x:c r="D230" s="38"/>
      <x:c r="E230" s="38"/>
      <x:c r="F230" s="38"/>
      <x:c r="G230" s="38"/>
      <x:c r="H230" s="38"/>
      <x:c r="I230" s="38"/>
      <x:c r="J230" s="38"/>
      <x:c r="K230" s="38"/>
      <x:c r="L230" s="38"/>
      <x:c r="M230" s="38"/>
      <x:c r="N230" s="38"/>
      <x:c r="O230" s="38"/>
      <x:c r="P230" s="38"/>
      <x:c r="Q230" s="38"/>
      <x:c r="R230" s="38"/>
      <x:c r="S230" s="38"/>
      <x:c r="T230" s="38"/>
      <x:c r="U230" s="38"/>
      <x:c r="V230" s="38"/>
      <x:c r="W230" s="38"/>
      <x:c r="X230" s="38"/>
      <x:c r="Y230" s="38"/>
      <x:c r="Z230" s="38"/>
    </x:row>
    <x:row r="231">
      <x:c r="A231" s="38"/>
      <x:c r="B231" s="38"/>
      <x:c r="C231" s="38"/>
      <x:c r="D231" s="38"/>
      <x:c r="E231" s="38"/>
      <x:c r="F231" s="38"/>
      <x:c r="G231" s="38"/>
      <x:c r="H231" s="38"/>
      <x:c r="I231" s="38"/>
      <x:c r="J231" s="38"/>
      <x:c r="K231" s="38"/>
      <x:c r="L231" s="38"/>
      <x:c r="M231" s="38"/>
      <x:c r="N231" s="38"/>
      <x:c r="O231" s="38"/>
      <x:c r="P231" s="38"/>
      <x:c r="Q231" s="38"/>
      <x:c r="R231" s="38"/>
      <x:c r="S231" s="38"/>
      <x:c r="T231" s="38"/>
      <x:c r="U231" s="38"/>
      <x:c r="V231" s="38"/>
      <x:c r="W231" s="38"/>
      <x:c r="X231" s="38"/>
      <x:c r="Y231" s="38"/>
      <x:c r="Z231" s="38"/>
    </x:row>
    <x:row r="232">
      <x:c r="A232" s="38"/>
      <x:c r="B232" s="38"/>
      <x:c r="C232" s="38"/>
      <x:c r="D232" s="38"/>
      <x:c r="E232" s="38"/>
      <x:c r="F232" s="38"/>
      <x:c r="G232" s="38"/>
      <x:c r="H232" s="38"/>
      <x:c r="I232" s="38"/>
      <x:c r="J232" s="38"/>
      <x:c r="K232" s="38"/>
      <x:c r="L232" s="38"/>
      <x:c r="M232" s="38"/>
      <x:c r="N232" s="38"/>
      <x:c r="O232" s="38"/>
      <x:c r="P232" s="38"/>
      <x:c r="Q232" s="38"/>
      <x:c r="R232" s="38"/>
      <x:c r="S232" s="38"/>
      <x:c r="T232" s="38"/>
      <x:c r="U232" s="38"/>
      <x:c r="V232" s="38"/>
      <x:c r="W232" s="38"/>
      <x:c r="X232" s="38"/>
      <x:c r="Y232" s="38"/>
      <x:c r="Z232" s="38"/>
    </x:row>
    <x:row r="233">
      <x:c r="A233" s="38"/>
      <x:c r="B233" s="38"/>
      <x:c r="C233" s="38"/>
      <x:c r="D233" s="38"/>
      <x:c r="E233" s="38"/>
      <x:c r="F233" s="38"/>
      <x:c r="G233" s="38"/>
      <x:c r="H233" s="38"/>
      <x:c r="I233" s="38"/>
      <x:c r="J233" s="38"/>
      <x:c r="K233" s="38"/>
      <x:c r="L233" s="38"/>
      <x:c r="M233" s="38"/>
      <x:c r="N233" s="38"/>
      <x:c r="O233" s="38"/>
      <x:c r="P233" s="38"/>
      <x:c r="Q233" s="38"/>
      <x:c r="R233" s="38"/>
      <x:c r="S233" s="38"/>
      <x:c r="T233" s="38"/>
      <x:c r="U233" s="38"/>
      <x:c r="V233" s="38"/>
      <x:c r="W233" s="38"/>
      <x:c r="X233" s="38"/>
      <x:c r="Y233" s="38"/>
      <x:c r="Z233" s="38"/>
    </x:row>
    <x:row r="234">
      <x:c r="A234" s="38"/>
      <x:c r="B234" s="38"/>
      <x:c r="C234" s="38"/>
      <x:c r="D234" s="38"/>
      <x:c r="E234" s="38"/>
      <x:c r="F234" s="38"/>
      <x:c r="G234" s="38"/>
      <x:c r="H234" s="38"/>
      <x:c r="I234" s="38"/>
      <x:c r="J234" s="38"/>
      <x:c r="K234" s="38"/>
      <x:c r="L234" s="38"/>
      <x:c r="M234" s="38"/>
      <x:c r="N234" s="38"/>
      <x:c r="O234" s="38"/>
      <x:c r="P234" s="38"/>
      <x:c r="Q234" s="38"/>
      <x:c r="R234" s="38"/>
      <x:c r="S234" s="38"/>
      <x:c r="T234" s="38"/>
      <x:c r="U234" s="38"/>
      <x:c r="V234" s="38"/>
      <x:c r="W234" s="38"/>
      <x:c r="X234" s="38"/>
      <x:c r="Y234" s="38"/>
      <x:c r="Z234" s="38"/>
    </x:row>
    <x:row r="235">
      <x:c r="A235" s="38"/>
      <x:c r="B235" s="38"/>
      <x:c r="C235" s="38"/>
      <x:c r="D235" s="38"/>
      <x:c r="E235" s="38"/>
      <x:c r="F235" s="38"/>
      <x:c r="G235" s="38"/>
      <x:c r="H235" s="38"/>
      <x:c r="I235" s="38"/>
      <x:c r="J235" s="38"/>
      <x:c r="K235" s="38"/>
      <x:c r="L235" s="38"/>
      <x:c r="M235" s="38"/>
      <x:c r="N235" s="38"/>
      <x:c r="O235" s="38"/>
      <x:c r="P235" s="38"/>
      <x:c r="Q235" s="38"/>
      <x:c r="R235" s="38"/>
      <x:c r="S235" s="38"/>
      <x:c r="T235" s="38"/>
      <x:c r="U235" s="38"/>
      <x:c r="V235" s="38"/>
      <x:c r="W235" s="38"/>
      <x:c r="X235" s="38"/>
      <x:c r="Y235" s="38"/>
      <x:c r="Z235" s="38"/>
    </x:row>
    <x:row r="236">
      <x:c r="A236" s="38"/>
      <x:c r="B236" s="38"/>
      <x:c r="C236" s="38"/>
      <x:c r="D236" s="38"/>
      <x:c r="E236" s="38"/>
      <x:c r="F236" s="38"/>
      <x:c r="G236" s="38"/>
      <x:c r="H236" s="38"/>
      <x:c r="I236" s="38"/>
      <x:c r="J236" s="38"/>
      <x:c r="K236" s="38"/>
      <x:c r="L236" s="38"/>
      <x:c r="M236" s="38"/>
      <x:c r="N236" s="38"/>
      <x:c r="O236" s="38"/>
      <x:c r="P236" s="38"/>
      <x:c r="Q236" s="38"/>
      <x:c r="R236" s="38"/>
      <x:c r="S236" s="38"/>
      <x:c r="T236" s="38"/>
      <x:c r="U236" s="38"/>
      <x:c r="V236" s="38"/>
      <x:c r="W236" s="38"/>
      <x:c r="X236" s="38"/>
      <x:c r="Y236" s="38"/>
      <x:c r="Z236" s="38"/>
    </x:row>
    <x:row r="237">
      <x:c r="A237" s="38"/>
      <x:c r="B237" s="38"/>
      <x:c r="C237" s="38"/>
      <x:c r="D237" s="38"/>
      <x:c r="E237" s="38"/>
      <x:c r="F237" s="38"/>
      <x:c r="G237" s="38"/>
      <x:c r="H237" s="38"/>
      <x:c r="I237" s="38"/>
      <x:c r="J237" s="38"/>
      <x:c r="K237" s="38"/>
      <x:c r="L237" s="38"/>
      <x:c r="M237" s="38"/>
      <x:c r="N237" s="38"/>
      <x:c r="O237" s="38"/>
      <x:c r="P237" s="38"/>
      <x:c r="Q237" s="38"/>
      <x:c r="R237" s="38"/>
      <x:c r="S237" s="38"/>
      <x:c r="T237" s="38"/>
      <x:c r="U237" s="38"/>
      <x:c r="V237" s="38"/>
      <x:c r="W237" s="38"/>
      <x:c r="X237" s="38"/>
      <x:c r="Y237" s="38"/>
      <x:c r="Z237" s="38"/>
    </x:row>
    <x:row r="238">
      <x:c r="A238" s="38"/>
      <x:c r="B238" s="38"/>
      <x:c r="C238" s="38"/>
      <x:c r="D238" s="38"/>
      <x:c r="E238" s="38"/>
      <x:c r="F238" s="38"/>
      <x:c r="G238" s="38"/>
      <x:c r="H238" s="38"/>
      <x:c r="I238" s="38"/>
      <x:c r="J238" s="38"/>
      <x:c r="K238" s="38"/>
      <x:c r="L238" s="38"/>
      <x:c r="M238" s="38"/>
      <x:c r="N238" s="38"/>
      <x:c r="O238" s="38"/>
      <x:c r="P238" s="38"/>
      <x:c r="Q238" s="38"/>
      <x:c r="R238" s="38"/>
      <x:c r="S238" s="38"/>
      <x:c r="T238" s="38"/>
      <x:c r="U238" s="38"/>
      <x:c r="V238" s="38"/>
      <x:c r="W238" s="38"/>
      <x:c r="X238" s="38"/>
      <x:c r="Y238" s="38"/>
      <x:c r="Z238" s="38"/>
    </x:row>
    <x:row r="239">
      <x:c r="A239" s="38"/>
      <x:c r="B239" s="38"/>
      <x:c r="C239" s="38"/>
      <x:c r="D239" s="38"/>
      <x:c r="E239" s="38"/>
      <x:c r="F239" s="38"/>
      <x:c r="G239" s="38"/>
      <x:c r="H239" s="38"/>
      <x:c r="I239" s="38"/>
      <x:c r="J239" s="38"/>
      <x:c r="K239" s="38"/>
      <x:c r="L239" s="38"/>
      <x:c r="M239" s="38"/>
      <x:c r="N239" s="38"/>
      <x:c r="O239" s="38"/>
      <x:c r="P239" s="38"/>
      <x:c r="Q239" s="38"/>
      <x:c r="R239" s="38"/>
      <x:c r="S239" s="38"/>
      <x:c r="T239" s="38"/>
      <x:c r="U239" s="38"/>
      <x:c r="V239" s="38"/>
      <x:c r="W239" s="38"/>
      <x:c r="X239" s="38"/>
      <x:c r="Y239" s="38"/>
      <x:c r="Z239" s="38"/>
    </x:row>
    <x:row r="240">
      <x:c r="A240" s="38"/>
      <x:c r="B240" s="38"/>
      <x:c r="C240" s="38"/>
      <x:c r="D240" s="38"/>
      <x:c r="E240" s="38"/>
      <x:c r="F240" s="38"/>
      <x:c r="G240" s="38"/>
      <x:c r="H240" s="38"/>
      <x:c r="I240" s="38"/>
      <x:c r="J240" s="38"/>
      <x:c r="K240" s="38"/>
      <x:c r="L240" s="38"/>
      <x:c r="M240" s="38"/>
      <x:c r="N240" s="38"/>
      <x:c r="O240" s="38"/>
      <x:c r="P240" s="38"/>
      <x:c r="Q240" s="38"/>
      <x:c r="R240" s="38"/>
      <x:c r="S240" s="38"/>
      <x:c r="T240" s="38"/>
      <x:c r="U240" s="38"/>
      <x:c r="V240" s="38"/>
      <x:c r="W240" s="38"/>
      <x:c r="X240" s="38"/>
      <x:c r="Y240" s="38"/>
      <x:c r="Z240" s="38"/>
    </x:row>
    <x:row r="241">
      <x:c r="A241" s="38"/>
      <x:c r="B241" s="38"/>
      <x:c r="C241" s="38"/>
      <x:c r="D241" s="38"/>
      <x:c r="E241" s="38"/>
      <x:c r="F241" s="38"/>
      <x:c r="G241" s="38"/>
      <x:c r="H241" s="38"/>
      <x:c r="I241" s="38"/>
      <x:c r="J241" s="38"/>
      <x:c r="K241" s="38"/>
      <x:c r="L241" s="38"/>
      <x:c r="M241" s="38"/>
      <x:c r="N241" s="38"/>
      <x:c r="O241" s="38"/>
      <x:c r="P241" s="38"/>
      <x:c r="Q241" s="38"/>
      <x:c r="R241" s="38"/>
      <x:c r="S241" s="38"/>
      <x:c r="T241" s="38"/>
      <x:c r="U241" s="38"/>
      <x:c r="V241" s="38"/>
      <x:c r="W241" s="38"/>
      <x:c r="X241" s="38"/>
      <x:c r="Y241" s="38"/>
      <x:c r="Z241" s="38"/>
    </x:row>
    <x:row r="242">
      <x:c r="A242" s="38"/>
      <x:c r="B242" s="38"/>
      <x:c r="C242" s="38"/>
      <x:c r="D242" s="38"/>
      <x:c r="E242" s="38"/>
      <x:c r="F242" s="38"/>
      <x:c r="G242" s="38"/>
      <x:c r="H242" s="38"/>
      <x:c r="I242" s="38"/>
      <x:c r="J242" s="38"/>
      <x:c r="K242" s="38"/>
      <x:c r="L242" s="38"/>
      <x:c r="M242" s="38"/>
      <x:c r="N242" s="38"/>
      <x:c r="O242" s="38"/>
      <x:c r="P242" s="38"/>
      <x:c r="Q242" s="38"/>
      <x:c r="R242" s="38"/>
      <x:c r="S242" s="38"/>
      <x:c r="T242" s="38"/>
      <x:c r="U242" s="38"/>
      <x:c r="V242" s="38"/>
      <x:c r="W242" s="38"/>
      <x:c r="X242" s="38"/>
      <x:c r="Y242" s="38"/>
      <x:c r="Z242" s="38"/>
    </x:row>
    <x:row r="243">
      <x:c r="A243" s="38"/>
      <x:c r="B243" s="38"/>
      <x:c r="C243" s="38"/>
      <x:c r="D243" s="38"/>
      <x:c r="E243" s="38"/>
      <x:c r="F243" s="38"/>
      <x:c r="G243" s="38"/>
      <x:c r="H243" s="38"/>
      <x:c r="I243" s="38"/>
      <x:c r="J243" s="38"/>
      <x:c r="K243" s="38"/>
      <x:c r="L243" s="38"/>
      <x:c r="M243" s="38"/>
      <x:c r="N243" s="38"/>
      <x:c r="O243" s="38"/>
      <x:c r="P243" s="38"/>
      <x:c r="Q243" s="38"/>
      <x:c r="R243" s="38"/>
      <x:c r="S243" s="38"/>
      <x:c r="T243" s="38"/>
      <x:c r="U243" s="38"/>
      <x:c r="V243" s="38"/>
      <x:c r="W243" s="38"/>
      <x:c r="X243" s="38"/>
      <x:c r="Y243" s="38"/>
      <x:c r="Z243" s="38"/>
    </x:row>
    <x:row r="244">
      <x:c r="A244" s="38"/>
      <x:c r="B244" s="38"/>
      <x:c r="C244" s="38"/>
      <x:c r="D244" s="38"/>
      <x:c r="E244" s="38"/>
      <x:c r="F244" s="38"/>
      <x:c r="G244" s="38"/>
      <x:c r="H244" s="38"/>
      <x:c r="I244" s="38"/>
      <x:c r="J244" s="38"/>
      <x:c r="K244" s="38"/>
      <x:c r="L244" s="38"/>
      <x:c r="M244" s="38"/>
      <x:c r="N244" s="38"/>
      <x:c r="O244" s="38"/>
      <x:c r="P244" s="38"/>
      <x:c r="Q244" s="38"/>
      <x:c r="R244" s="38"/>
      <x:c r="S244" s="38"/>
      <x:c r="T244" s="38"/>
      <x:c r="U244" s="38"/>
      <x:c r="V244" s="38"/>
      <x:c r="W244" s="38"/>
      <x:c r="X244" s="38"/>
      <x:c r="Y244" s="38"/>
      <x:c r="Z244" s="38"/>
    </x:row>
    <x:row r="245">
      <x:c r="A245" s="38"/>
      <x:c r="B245" s="38"/>
      <x:c r="C245" s="38"/>
      <x:c r="D245" s="38"/>
      <x:c r="E245" s="38"/>
      <x:c r="F245" s="38"/>
      <x:c r="G245" s="38"/>
      <x:c r="H245" s="38"/>
      <x:c r="I245" s="38"/>
      <x:c r="J245" s="38"/>
      <x:c r="K245" s="38"/>
      <x:c r="L245" s="38"/>
      <x:c r="M245" s="38"/>
      <x:c r="N245" s="38"/>
      <x:c r="O245" s="38"/>
      <x:c r="P245" s="38"/>
      <x:c r="Q245" s="38"/>
      <x:c r="R245" s="38"/>
      <x:c r="S245" s="38"/>
      <x:c r="T245" s="38"/>
      <x:c r="U245" s="38"/>
      <x:c r="V245" s="38"/>
      <x:c r="W245" s="38"/>
      <x:c r="X245" s="38"/>
      <x:c r="Y245" s="38"/>
      <x:c r="Z245" s="38"/>
    </x:row>
    <x:row r="246">
      <x:c r="A246" s="38"/>
      <x:c r="B246" s="38"/>
      <x:c r="C246" s="38"/>
      <x:c r="D246" s="38"/>
      <x:c r="E246" s="38"/>
      <x:c r="F246" s="38"/>
      <x:c r="G246" s="38"/>
      <x:c r="H246" s="38"/>
      <x:c r="I246" s="38"/>
      <x:c r="J246" s="38"/>
      <x:c r="K246" s="38"/>
      <x:c r="L246" s="38"/>
      <x:c r="M246" s="38"/>
      <x:c r="N246" s="38"/>
      <x:c r="O246" s="38"/>
      <x:c r="P246" s="38"/>
      <x:c r="Q246" s="38"/>
      <x:c r="R246" s="38"/>
      <x:c r="S246" s="38"/>
      <x:c r="T246" s="38"/>
      <x:c r="U246" s="38"/>
      <x:c r="V246" s="38"/>
      <x:c r="W246" s="38"/>
      <x:c r="X246" s="38"/>
      <x:c r="Y246" s="38"/>
      <x:c r="Z246" s="38"/>
    </x:row>
    <x:row r="247">
      <x:c r="A247" s="38"/>
      <x:c r="B247" s="38"/>
      <x:c r="C247" s="38"/>
      <x:c r="D247" s="38"/>
      <x:c r="E247" s="38"/>
      <x:c r="F247" s="38"/>
      <x:c r="G247" s="38"/>
      <x:c r="H247" s="38"/>
      <x:c r="I247" s="38"/>
      <x:c r="J247" s="38"/>
      <x:c r="K247" s="38"/>
      <x:c r="L247" s="38"/>
      <x:c r="M247" s="38"/>
      <x:c r="N247" s="38"/>
      <x:c r="O247" s="38"/>
      <x:c r="P247" s="38"/>
      <x:c r="Q247" s="38"/>
      <x:c r="R247" s="38"/>
      <x:c r="S247" s="38"/>
      <x:c r="T247" s="38"/>
      <x:c r="U247" s="38"/>
      <x:c r="V247" s="38"/>
      <x:c r="W247" s="38"/>
      <x:c r="X247" s="38"/>
      <x:c r="Y247" s="38"/>
      <x:c r="Z247" s="38"/>
    </x:row>
    <x:row r="248">
      <x:c r="A248" s="38"/>
      <x:c r="B248" s="38"/>
      <x:c r="C248" s="38"/>
      <x:c r="D248" s="38"/>
      <x:c r="E248" s="38"/>
      <x:c r="F248" s="38"/>
      <x:c r="G248" s="38"/>
      <x:c r="H248" s="38"/>
      <x:c r="I248" s="38"/>
      <x:c r="J248" s="38"/>
      <x:c r="K248" s="38"/>
      <x:c r="L248" s="38"/>
      <x:c r="M248" s="38"/>
      <x:c r="N248" s="38"/>
      <x:c r="O248" s="38"/>
      <x:c r="P248" s="38"/>
      <x:c r="Q248" s="38"/>
      <x:c r="R248" s="38"/>
      <x:c r="S248" s="38"/>
      <x:c r="T248" s="38"/>
      <x:c r="U248" s="38"/>
      <x:c r="V248" s="38"/>
      <x:c r="W248" s="38"/>
      <x:c r="X248" s="38"/>
      <x:c r="Y248" s="38"/>
      <x:c r="Z248" s="38"/>
    </x:row>
    <x:row r="249">
      <x:c r="A249" s="38"/>
      <x:c r="B249" s="38"/>
      <x:c r="C249" s="38"/>
      <x:c r="D249" s="38"/>
      <x:c r="E249" s="38"/>
      <x:c r="F249" s="38"/>
      <x:c r="G249" s="38"/>
      <x:c r="H249" s="38"/>
      <x:c r="I249" s="38"/>
      <x:c r="J249" s="38"/>
      <x:c r="K249" s="38"/>
      <x:c r="L249" s="38"/>
      <x:c r="M249" s="38"/>
      <x:c r="N249" s="38"/>
      <x:c r="O249" s="38"/>
      <x:c r="P249" s="38"/>
      <x:c r="Q249" s="38"/>
      <x:c r="R249" s="38"/>
      <x:c r="S249" s="38"/>
      <x:c r="T249" s="38"/>
      <x:c r="U249" s="38"/>
      <x:c r="V249" s="38"/>
      <x:c r="W249" s="38"/>
      <x:c r="X249" s="38"/>
      <x:c r="Y249" s="38"/>
      <x:c r="Z249" s="38"/>
    </x:row>
    <x:row r="250">
      <x:c r="A250" s="38"/>
      <x:c r="B250" s="38"/>
      <x:c r="C250" s="38"/>
      <x:c r="D250" s="38"/>
      <x:c r="E250" s="38"/>
      <x:c r="F250" s="38"/>
      <x:c r="G250" s="38"/>
      <x:c r="H250" s="38"/>
      <x:c r="I250" s="38"/>
      <x:c r="J250" s="38"/>
      <x:c r="K250" s="38"/>
      <x:c r="L250" s="38"/>
      <x:c r="M250" s="38"/>
      <x:c r="N250" s="38"/>
      <x:c r="O250" s="38"/>
      <x:c r="P250" s="38"/>
      <x:c r="Q250" s="38"/>
      <x:c r="R250" s="38"/>
      <x:c r="S250" s="38"/>
      <x:c r="T250" s="38"/>
      <x:c r="U250" s="38"/>
      <x:c r="V250" s="38"/>
      <x:c r="W250" s="38"/>
      <x:c r="X250" s="38"/>
      <x:c r="Y250" s="38"/>
      <x:c r="Z250" s="38"/>
    </x:row>
    <x:row r="251">
      <x:c r="A251" s="38"/>
      <x:c r="B251" s="38"/>
      <x:c r="C251" s="38"/>
      <x:c r="D251" s="38"/>
      <x:c r="E251" s="38"/>
      <x:c r="F251" s="38"/>
      <x:c r="G251" s="38"/>
      <x:c r="H251" s="38"/>
      <x:c r="I251" s="38"/>
      <x:c r="J251" s="38"/>
      <x:c r="K251" s="38"/>
      <x:c r="L251" s="38"/>
      <x:c r="M251" s="38"/>
      <x:c r="N251" s="38"/>
      <x:c r="O251" s="38"/>
      <x:c r="P251" s="38"/>
      <x:c r="Q251" s="38"/>
      <x:c r="R251" s="38"/>
      <x:c r="S251" s="38"/>
      <x:c r="T251" s="38"/>
      <x:c r="U251" s="38"/>
      <x:c r="V251" s="38"/>
      <x:c r="W251" s="38"/>
      <x:c r="X251" s="38"/>
      <x:c r="Y251" s="38"/>
      <x:c r="Z251" s="38"/>
    </x:row>
    <x:row r="252">
      <x:c r="A252" s="38"/>
      <x:c r="B252" s="38"/>
      <x:c r="C252" s="38"/>
      <x:c r="D252" s="38"/>
      <x:c r="E252" s="38"/>
      <x:c r="F252" s="38"/>
      <x:c r="G252" s="38"/>
      <x:c r="H252" s="38"/>
      <x:c r="I252" s="38"/>
      <x:c r="J252" s="38"/>
      <x:c r="K252" s="38"/>
      <x:c r="L252" s="38"/>
      <x:c r="M252" s="38"/>
      <x:c r="N252" s="38"/>
      <x:c r="O252" s="38"/>
      <x:c r="P252" s="38"/>
      <x:c r="Q252" s="38"/>
      <x:c r="R252" s="38"/>
      <x:c r="S252" s="38"/>
      <x:c r="T252" s="38"/>
      <x:c r="U252" s="38"/>
      <x:c r="V252" s="38"/>
      <x:c r="W252" s="38"/>
      <x:c r="X252" s="38"/>
      <x:c r="Y252" s="38"/>
      <x:c r="Z252" s="38"/>
    </x:row>
    <x:row r="253">
      <x:c r="A253" s="38"/>
      <x:c r="B253" s="38"/>
      <x:c r="C253" s="38"/>
      <x:c r="D253" s="38"/>
      <x:c r="E253" s="38"/>
      <x:c r="F253" s="38"/>
      <x:c r="G253" s="38"/>
      <x:c r="H253" s="38"/>
      <x:c r="I253" s="38"/>
      <x:c r="J253" s="38"/>
      <x:c r="K253" s="38"/>
      <x:c r="L253" s="38"/>
      <x:c r="M253" s="38"/>
      <x:c r="N253" s="38"/>
      <x:c r="O253" s="38"/>
      <x:c r="P253" s="38"/>
      <x:c r="Q253" s="38"/>
      <x:c r="R253" s="38"/>
      <x:c r="S253" s="38"/>
      <x:c r="T253" s="38"/>
      <x:c r="U253" s="38"/>
      <x:c r="V253" s="38"/>
      <x:c r="W253" s="38"/>
      <x:c r="X253" s="38"/>
      <x:c r="Y253" s="38"/>
      <x:c r="Z253" s="38"/>
    </x:row>
    <x:row r="254">
      <x:c r="A254" s="38"/>
      <x:c r="B254" s="38"/>
      <x:c r="C254" s="38"/>
      <x:c r="D254" s="38"/>
      <x:c r="E254" s="38"/>
      <x:c r="F254" s="38"/>
      <x:c r="G254" s="38"/>
      <x:c r="H254" s="38"/>
      <x:c r="I254" s="38"/>
      <x:c r="J254" s="38"/>
      <x:c r="K254" s="38"/>
      <x:c r="L254" s="38"/>
      <x:c r="M254" s="38"/>
      <x:c r="N254" s="38"/>
      <x:c r="O254" s="38"/>
      <x:c r="P254" s="38"/>
      <x:c r="Q254" s="38"/>
      <x:c r="R254" s="38"/>
      <x:c r="S254" s="38"/>
      <x:c r="T254" s="38"/>
      <x:c r="U254" s="38"/>
      <x:c r="V254" s="38"/>
      <x:c r="W254" s="38"/>
      <x:c r="X254" s="38"/>
      <x:c r="Y254" s="38"/>
      <x:c r="Z254" s="38"/>
    </x:row>
    <x:row r="255">
      <x:c r="A255" s="38"/>
      <x:c r="B255" s="38"/>
      <x:c r="C255" s="38"/>
      <x:c r="D255" s="38"/>
      <x:c r="E255" s="38"/>
      <x:c r="F255" s="38"/>
      <x:c r="G255" s="38"/>
      <x:c r="H255" s="38"/>
      <x:c r="I255" s="38"/>
      <x:c r="J255" s="38"/>
      <x:c r="K255" s="38"/>
      <x:c r="L255" s="38"/>
      <x:c r="M255" s="38"/>
      <x:c r="N255" s="38"/>
      <x:c r="O255" s="38"/>
      <x:c r="P255" s="38"/>
      <x:c r="Q255" s="38"/>
      <x:c r="R255" s="38"/>
      <x:c r="S255" s="38"/>
      <x:c r="T255" s="38"/>
      <x:c r="U255" s="38"/>
      <x:c r="V255" s="38"/>
      <x:c r="W255" s="38"/>
      <x:c r="X255" s="38"/>
      <x:c r="Y255" s="38"/>
      <x:c r="Z255" s="38"/>
    </x:row>
    <x:row r="256">
      <x:c r="A256" s="38"/>
      <x:c r="B256" s="38"/>
      <x:c r="C256" s="38"/>
      <x:c r="D256" s="38"/>
      <x:c r="E256" s="38"/>
      <x:c r="F256" s="38"/>
      <x:c r="G256" s="38"/>
      <x:c r="H256" s="38"/>
      <x:c r="I256" s="38"/>
      <x:c r="J256" s="38"/>
      <x:c r="K256" s="38"/>
      <x:c r="L256" s="38"/>
      <x:c r="M256" s="38"/>
      <x:c r="N256" s="38"/>
      <x:c r="O256" s="38"/>
      <x:c r="P256" s="38"/>
      <x:c r="Q256" s="38"/>
      <x:c r="R256" s="38"/>
      <x:c r="S256" s="38"/>
      <x:c r="T256" s="38"/>
      <x:c r="U256" s="38"/>
      <x:c r="V256" s="38"/>
      <x:c r="W256" s="38"/>
      <x:c r="X256" s="38"/>
      <x:c r="Y256" s="38"/>
      <x:c r="Z256" s="38"/>
    </x:row>
    <x:row r="257">
      <x:c r="A257" s="38"/>
      <x:c r="B257" s="38"/>
      <x:c r="C257" s="38"/>
      <x:c r="D257" s="38"/>
      <x:c r="E257" s="38"/>
      <x:c r="F257" s="38"/>
      <x:c r="G257" s="38"/>
      <x:c r="H257" s="38"/>
      <x:c r="I257" s="38"/>
      <x:c r="J257" s="38"/>
      <x:c r="K257" s="38"/>
      <x:c r="L257" s="38"/>
      <x:c r="M257" s="38"/>
      <x:c r="N257" s="38"/>
      <x:c r="O257" s="38"/>
      <x:c r="P257" s="38"/>
      <x:c r="Q257" s="38"/>
      <x:c r="R257" s="38"/>
      <x:c r="S257" s="38"/>
      <x:c r="T257" s="38"/>
      <x:c r="U257" s="38"/>
      <x:c r="V257" s="38"/>
      <x:c r="W257" s="38"/>
      <x:c r="X257" s="38"/>
      <x:c r="Y257" s="38"/>
      <x:c r="Z257" s="38"/>
    </x:row>
    <x:row r="258">
      <x:c r="A258" s="38"/>
      <x:c r="B258" s="38"/>
      <x:c r="C258" s="38"/>
      <x:c r="D258" s="38"/>
      <x:c r="E258" s="38"/>
      <x:c r="F258" s="38"/>
      <x:c r="G258" s="38"/>
      <x:c r="H258" s="38"/>
      <x:c r="I258" s="38"/>
      <x:c r="J258" s="38"/>
      <x:c r="K258" s="38"/>
      <x:c r="L258" s="38"/>
      <x:c r="M258" s="38"/>
      <x:c r="N258" s="38"/>
      <x:c r="O258" s="38"/>
      <x:c r="P258" s="38"/>
      <x:c r="Q258" s="38"/>
      <x:c r="R258" s="38"/>
      <x:c r="S258" s="38"/>
      <x:c r="T258" s="38"/>
      <x:c r="U258" s="38"/>
      <x:c r="V258" s="38"/>
      <x:c r="W258" s="38"/>
      <x:c r="X258" s="38"/>
      <x:c r="Y258" s="38"/>
      <x:c r="Z258" s="38"/>
    </x:row>
    <x:row r="259">
      <x:c r="A259" s="38"/>
      <x:c r="B259" s="38"/>
      <x:c r="C259" s="38"/>
      <x:c r="D259" s="38"/>
      <x:c r="E259" s="38"/>
      <x:c r="F259" s="38"/>
      <x:c r="G259" s="38"/>
      <x:c r="H259" s="38"/>
      <x:c r="I259" s="38"/>
      <x:c r="J259" s="38"/>
      <x:c r="K259" s="38"/>
      <x:c r="L259" s="38"/>
      <x:c r="M259" s="38"/>
      <x:c r="N259" s="38"/>
      <x:c r="O259" s="38"/>
      <x:c r="P259" s="38"/>
      <x:c r="Q259" s="38"/>
      <x:c r="R259" s="38"/>
      <x:c r="S259" s="38"/>
      <x:c r="T259" s="38"/>
      <x:c r="U259" s="38"/>
      <x:c r="V259" s="38"/>
      <x:c r="W259" s="38"/>
      <x:c r="X259" s="38"/>
      <x:c r="Y259" s="38"/>
      <x:c r="Z259" s="38"/>
    </x:row>
    <x:row r="260">
      <x:c r="A260" s="38"/>
      <x:c r="B260" s="38"/>
      <x:c r="C260" s="38"/>
      <x:c r="D260" s="38"/>
      <x:c r="E260" s="38"/>
      <x:c r="F260" s="38"/>
      <x:c r="G260" s="38"/>
      <x:c r="H260" s="38"/>
      <x:c r="I260" s="38"/>
      <x:c r="J260" s="38"/>
      <x:c r="K260" s="38"/>
      <x:c r="L260" s="38"/>
      <x:c r="M260" s="38"/>
      <x:c r="N260" s="38"/>
      <x:c r="O260" s="38"/>
      <x:c r="P260" s="38"/>
      <x:c r="Q260" s="38"/>
      <x:c r="R260" s="38"/>
      <x:c r="S260" s="38"/>
      <x:c r="T260" s="38"/>
      <x:c r="U260" s="38"/>
      <x:c r="V260" s="38"/>
      <x:c r="W260" s="38"/>
      <x:c r="X260" s="38"/>
      <x:c r="Y260" s="38"/>
      <x:c r="Z260" s="38"/>
    </x:row>
    <x:row r="261">
      <x:c r="A261" s="38"/>
      <x:c r="B261" s="38"/>
      <x:c r="C261" s="38"/>
      <x:c r="D261" s="38"/>
      <x:c r="E261" s="38"/>
      <x:c r="F261" s="38"/>
      <x:c r="G261" s="38"/>
      <x:c r="H261" s="38"/>
      <x:c r="I261" s="38"/>
      <x:c r="J261" s="38"/>
      <x:c r="K261" s="38"/>
      <x:c r="L261" s="38"/>
      <x:c r="M261" s="38"/>
      <x:c r="N261" s="38"/>
      <x:c r="O261" s="38"/>
      <x:c r="P261" s="38"/>
      <x:c r="Q261" s="38"/>
      <x:c r="R261" s="38"/>
      <x:c r="S261" s="38"/>
      <x:c r="T261" s="38"/>
      <x:c r="U261" s="38"/>
      <x:c r="V261" s="38"/>
      <x:c r="W261" s="38"/>
      <x:c r="X261" s="38"/>
      <x:c r="Y261" s="38"/>
      <x:c r="Z261" s="38"/>
    </x:row>
    <x:row r="262">
      <x:c r="A262" s="38"/>
      <x:c r="B262" s="38"/>
      <x:c r="C262" s="38"/>
      <x:c r="D262" s="38"/>
      <x:c r="E262" s="38"/>
      <x:c r="F262" s="38"/>
      <x:c r="G262" s="38"/>
      <x:c r="H262" s="38"/>
      <x:c r="I262" s="38"/>
      <x:c r="J262" s="38"/>
      <x:c r="K262" s="38"/>
      <x:c r="L262" s="38"/>
      <x:c r="M262" s="38"/>
      <x:c r="N262" s="38"/>
      <x:c r="O262" s="38"/>
      <x:c r="P262" s="38"/>
      <x:c r="Q262" s="38"/>
      <x:c r="R262" s="38"/>
      <x:c r="S262" s="38"/>
      <x:c r="T262" s="38"/>
      <x:c r="U262" s="38"/>
      <x:c r="V262" s="38"/>
      <x:c r="W262" s="38"/>
      <x:c r="X262" s="38"/>
      <x:c r="Y262" s="38"/>
      <x:c r="Z262" s="38"/>
    </x:row>
    <x:row r="263">
      <x:c r="A263" s="38"/>
      <x:c r="B263" s="38"/>
      <x:c r="C263" s="38"/>
      <x:c r="D263" s="38"/>
      <x:c r="E263" s="38"/>
      <x:c r="F263" s="38"/>
      <x:c r="G263" s="38"/>
      <x:c r="H263" s="38"/>
      <x:c r="I263" s="38"/>
      <x:c r="J263" s="38"/>
      <x:c r="K263" s="38"/>
      <x:c r="L263" s="38"/>
      <x:c r="M263" s="38"/>
      <x:c r="N263" s="38"/>
      <x:c r="O263" s="38"/>
      <x:c r="P263" s="38"/>
      <x:c r="Q263" s="38"/>
      <x:c r="R263" s="38"/>
      <x:c r="S263" s="38"/>
      <x:c r="T263" s="38"/>
      <x:c r="U263" s="38"/>
      <x:c r="V263" s="38"/>
      <x:c r="W263" s="38"/>
      <x:c r="X263" s="38"/>
      <x:c r="Y263" s="38"/>
      <x:c r="Z263" s="38"/>
    </x:row>
    <x:row r="264">
      <x:c r="A264" s="38"/>
      <x:c r="B264" s="38"/>
      <x:c r="C264" s="38"/>
      <x:c r="D264" s="38"/>
      <x:c r="E264" s="38"/>
      <x:c r="F264" s="38"/>
      <x:c r="G264" s="38"/>
      <x:c r="H264" s="38"/>
      <x:c r="I264" s="38"/>
      <x:c r="J264" s="38"/>
      <x:c r="K264" s="38"/>
      <x:c r="L264" s="38"/>
      <x:c r="M264" s="38"/>
      <x:c r="N264" s="38"/>
      <x:c r="O264" s="38"/>
      <x:c r="P264" s="38"/>
      <x:c r="Q264" s="38"/>
      <x:c r="R264" s="38"/>
      <x:c r="S264" s="38"/>
      <x:c r="T264" s="38"/>
      <x:c r="U264" s="38"/>
      <x:c r="V264" s="38"/>
      <x:c r="W264" s="38"/>
      <x:c r="X264" s="38"/>
      <x:c r="Y264" s="38"/>
      <x:c r="Z264" s="38"/>
    </x:row>
    <x:row r="265">
      <x:c r="A265" s="38"/>
      <x:c r="B265" s="38"/>
      <x:c r="C265" s="38"/>
      <x:c r="D265" s="38"/>
      <x:c r="E265" s="38"/>
      <x:c r="F265" s="38"/>
      <x:c r="G265" s="38"/>
      <x:c r="H265" s="38"/>
      <x:c r="I265" s="38"/>
      <x:c r="J265" s="38"/>
      <x:c r="K265" s="38"/>
      <x:c r="L265" s="38"/>
      <x:c r="M265" s="38"/>
      <x:c r="N265" s="38"/>
      <x:c r="O265" s="38"/>
      <x:c r="P265" s="38"/>
      <x:c r="Q265" s="38"/>
      <x:c r="R265" s="38"/>
      <x:c r="S265" s="38"/>
      <x:c r="T265" s="38"/>
      <x:c r="U265" s="38"/>
      <x:c r="V265" s="38"/>
      <x:c r="W265" s="38"/>
      <x:c r="X265" s="38"/>
      <x:c r="Y265" s="38"/>
      <x:c r="Z265" s="38"/>
    </x:row>
    <x:row r="266">
      <x:c r="A266" s="38"/>
      <x:c r="B266" s="38"/>
      <x:c r="C266" s="38"/>
      <x:c r="D266" s="38"/>
      <x:c r="E266" s="38"/>
      <x:c r="F266" s="38"/>
      <x:c r="G266" s="38"/>
      <x:c r="H266" s="38"/>
      <x:c r="I266" s="38"/>
      <x:c r="J266" s="38"/>
      <x:c r="K266" s="38"/>
      <x:c r="L266" s="38"/>
      <x:c r="M266" s="38"/>
      <x:c r="N266" s="38"/>
      <x:c r="O266" s="38"/>
      <x:c r="P266" s="38"/>
      <x:c r="Q266" s="38"/>
      <x:c r="R266" s="38"/>
      <x:c r="S266" s="38"/>
      <x:c r="T266" s="38"/>
      <x:c r="U266" s="38"/>
      <x:c r="V266" s="38"/>
      <x:c r="W266" s="38"/>
      <x:c r="X266" s="38"/>
      <x:c r="Y266" s="38"/>
      <x:c r="Z266" s="38"/>
    </x:row>
    <x:row r="267">
      <x:c r="A267" s="38"/>
      <x:c r="B267" s="38"/>
      <x:c r="C267" s="38"/>
      <x:c r="D267" s="38"/>
      <x:c r="E267" s="38"/>
      <x:c r="F267" s="38"/>
      <x:c r="G267" s="38"/>
      <x:c r="H267" s="38"/>
      <x:c r="I267" s="38"/>
      <x:c r="J267" s="38"/>
      <x:c r="K267" s="38"/>
      <x:c r="L267" s="38"/>
      <x:c r="M267" s="38"/>
      <x:c r="N267" s="38"/>
      <x:c r="O267" s="38"/>
      <x:c r="P267" s="38"/>
      <x:c r="Q267" s="38"/>
      <x:c r="R267" s="38"/>
      <x:c r="S267" s="38"/>
      <x:c r="T267" s="38"/>
      <x:c r="U267" s="38"/>
      <x:c r="V267" s="38"/>
      <x:c r="W267" s="38"/>
      <x:c r="X267" s="38"/>
      <x:c r="Y267" s="38"/>
      <x:c r="Z267" s="38"/>
    </x:row>
    <x:row r="268">
      <x:c r="A268" s="38"/>
      <x:c r="B268" s="38"/>
      <x:c r="C268" s="38"/>
      <x:c r="D268" s="38"/>
      <x:c r="E268" s="38"/>
      <x:c r="F268" s="38"/>
      <x:c r="G268" s="38"/>
      <x:c r="H268" s="38"/>
      <x:c r="I268" s="38"/>
      <x:c r="J268" s="38"/>
      <x:c r="K268" s="38"/>
      <x:c r="L268" s="38"/>
      <x:c r="M268" s="38"/>
      <x:c r="N268" s="38"/>
      <x:c r="O268" s="38"/>
      <x:c r="P268" s="38"/>
      <x:c r="Q268" s="38"/>
      <x:c r="R268" s="38"/>
      <x:c r="S268" s="38"/>
      <x:c r="T268" s="38"/>
      <x:c r="U268" s="38"/>
      <x:c r="V268" s="38"/>
      <x:c r="W268" s="38"/>
      <x:c r="X268" s="38"/>
      <x:c r="Y268" s="38"/>
      <x:c r="Z268" s="38"/>
    </x:row>
    <x:row r="269">
      <x:c r="A269" s="38"/>
      <x:c r="B269" s="38"/>
      <x:c r="C269" s="38"/>
      <x:c r="D269" s="38"/>
      <x:c r="E269" s="38"/>
      <x:c r="F269" s="38"/>
      <x:c r="G269" s="38"/>
      <x:c r="H269" s="38"/>
      <x:c r="I269" s="38"/>
      <x:c r="J269" s="38"/>
      <x:c r="K269" s="38"/>
      <x:c r="L269" s="38"/>
      <x:c r="M269" s="38"/>
      <x:c r="N269" s="38"/>
      <x:c r="O269" s="38"/>
      <x:c r="P269" s="38"/>
      <x:c r="Q269" s="38"/>
      <x:c r="R269" s="38"/>
      <x:c r="S269" s="38"/>
      <x:c r="T269" s="38"/>
      <x:c r="U269" s="38"/>
      <x:c r="V269" s="38"/>
      <x:c r="W269" s="38"/>
      <x:c r="X269" s="38"/>
      <x:c r="Y269" s="38"/>
      <x:c r="Z269" s="38"/>
    </x:row>
    <x:row r="270">
      <x:c r="A270" s="38"/>
      <x:c r="B270" s="38"/>
      <x:c r="C270" s="38"/>
      <x:c r="D270" s="38"/>
      <x:c r="E270" s="38"/>
      <x:c r="F270" s="38"/>
      <x:c r="G270" s="38"/>
      <x:c r="H270" s="38"/>
      <x:c r="I270" s="38"/>
      <x:c r="J270" s="38"/>
      <x:c r="K270" s="38"/>
      <x:c r="L270" s="38"/>
      <x:c r="M270" s="38"/>
      <x:c r="N270" s="38"/>
      <x:c r="O270" s="38"/>
      <x:c r="P270" s="38"/>
      <x:c r="Q270" s="38"/>
      <x:c r="R270" s="38"/>
      <x:c r="S270" s="38"/>
      <x:c r="T270" s="38"/>
      <x:c r="U270" s="38"/>
      <x:c r="V270" s="38"/>
      <x:c r="W270" s="38"/>
      <x:c r="X270" s="38"/>
      <x:c r="Y270" s="38"/>
      <x:c r="Z270" s="38"/>
    </x:row>
    <x:row r="271">
      <x:c r="A271" s="38"/>
      <x:c r="B271" s="38"/>
      <x:c r="C271" s="38"/>
      <x:c r="D271" s="38"/>
      <x:c r="E271" s="38"/>
      <x:c r="F271" s="38"/>
      <x:c r="G271" s="38"/>
      <x:c r="H271" s="38"/>
      <x:c r="I271" s="38"/>
      <x:c r="J271" s="38"/>
      <x:c r="K271" s="38"/>
      <x:c r="L271" s="38"/>
      <x:c r="M271" s="38"/>
      <x:c r="N271" s="38"/>
      <x:c r="O271" s="38"/>
      <x:c r="P271" s="38"/>
      <x:c r="Q271" s="38"/>
      <x:c r="R271" s="38"/>
      <x:c r="S271" s="38"/>
      <x:c r="T271" s="38"/>
      <x:c r="U271" s="38"/>
      <x:c r="V271" s="38"/>
      <x:c r="W271" s="38"/>
      <x:c r="X271" s="38"/>
      <x:c r="Y271" s="38"/>
      <x:c r="Z271" s="38"/>
    </x:row>
    <x:row r="272">
      <x:c r="A272" s="38"/>
      <x:c r="B272" s="38"/>
      <x:c r="C272" s="38"/>
      <x:c r="D272" s="38"/>
      <x:c r="E272" s="38"/>
      <x:c r="F272" s="38"/>
      <x:c r="G272" s="38"/>
      <x:c r="H272" s="38"/>
      <x:c r="I272" s="38"/>
      <x:c r="J272" s="38"/>
      <x:c r="K272" s="38"/>
      <x:c r="L272" s="38"/>
      <x:c r="M272" s="38"/>
      <x:c r="N272" s="38"/>
      <x:c r="O272" s="38"/>
      <x:c r="P272" s="38"/>
      <x:c r="Q272" s="38"/>
      <x:c r="R272" s="38"/>
      <x:c r="S272" s="38"/>
      <x:c r="T272" s="38"/>
      <x:c r="U272" s="38"/>
      <x:c r="V272" s="38"/>
      <x:c r="W272" s="38"/>
      <x:c r="X272" s="38"/>
      <x:c r="Y272" s="38"/>
      <x:c r="Z272" s="38"/>
    </x:row>
    <x:row r="273">
      <x:c r="A273" s="38"/>
      <x:c r="B273" s="38"/>
      <x:c r="C273" s="38"/>
      <x:c r="D273" s="38"/>
      <x:c r="E273" s="38"/>
      <x:c r="F273" s="38"/>
      <x:c r="G273" s="38"/>
      <x:c r="H273" s="38"/>
      <x:c r="I273" s="38"/>
      <x:c r="J273" s="38"/>
      <x:c r="K273" s="38"/>
      <x:c r="L273" s="38"/>
      <x:c r="M273" s="38"/>
      <x:c r="N273" s="38"/>
      <x:c r="O273" s="38"/>
      <x:c r="P273" s="38"/>
      <x:c r="Q273" s="38"/>
      <x:c r="R273" s="38"/>
      <x:c r="S273" s="38"/>
      <x:c r="T273" s="38"/>
      <x:c r="U273" s="38"/>
      <x:c r="V273" s="38"/>
      <x:c r="W273" s="38"/>
      <x:c r="X273" s="38"/>
      <x:c r="Y273" s="38"/>
      <x:c r="Z273" s="38"/>
    </x:row>
    <x:row r="274">
      <x:c r="A274" s="38"/>
      <x:c r="B274" s="38"/>
      <x:c r="C274" s="38"/>
      <x:c r="D274" s="38"/>
      <x:c r="E274" s="38"/>
      <x:c r="F274" s="38"/>
      <x:c r="G274" s="38"/>
      <x:c r="H274" s="38"/>
      <x:c r="I274" s="38"/>
      <x:c r="J274" s="38"/>
      <x:c r="K274" s="38"/>
      <x:c r="L274" s="38"/>
      <x:c r="M274" s="38"/>
      <x:c r="N274" s="38"/>
      <x:c r="O274" s="38"/>
      <x:c r="P274" s="38"/>
      <x:c r="Q274" s="38"/>
      <x:c r="R274" s="38"/>
      <x:c r="S274" s="38"/>
      <x:c r="T274" s="38"/>
      <x:c r="U274" s="38"/>
      <x:c r="V274" s="38"/>
      <x:c r="W274" s="38"/>
      <x:c r="X274" s="38"/>
      <x:c r="Y274" s="38"/>
      <x:c r="Z274" s="38"/>
    </x:row>
    <x:row r="275">
      <x:c r="A275" s="38"/>
      <x:c r="B275" s="38"/>
      <x:c r="C275" s="38"/>
      <x:c r="D275" s="38"/>
      <x:c r="E275" s="38"/>
      <x:c r="F275" s="38"/>
      <x:c r="G275" s="38"/>
      <x:c r="H275" s="38"/>
      <x:c r="I275" s="38"/>
      <x:c r="J275" s="38"/>
      <x:c r="K275" s="38"/>
      <x:c r="L275" s="38"/>
      <x:c r="M275" s="38"/>
      <x:c r="N275" s="38"/>
      <x:c r="O275" s="38"/>
      <x:c r="P275" s="38"/>
      <x:c r="Q275" s="38"/>
      <x:c r="R275" s="38"/>
      <x:c r="S275" s="38"/>
      <x:c r="T275" s="38"/>
      <x:c r="U275" s="38"/>
      <x:c r="V275" s="38"/>
      <x:c r="W275" s="38"/>
      <x:c r="X275" s="38"/>
      <x:c r="Y275" s="38"/>
      <x:c r="Z275" s="38"/>
    </x:row>
    <x:row r="276">
      <x:c r="A276" s="38"/>
      <x:c r="B276" s="38"/>
      <x:c r="C276" s="38"/>
      <x:c r="D276" s="38"/>
      <x:c r="E276" s="38"/>
      <x:c r="F276" s="38"/>
      <x:c r="G276" s="38"/>
      <x:c r="H276" s="38"/>
      <x:c r="I276" s="38"/>
      <x:c r="J276" s="38"/>
      <x:c r="K276" s="38"/>
      <x:c r="L276" s="38"/>
      <x:c r="M276" s="38"/>
      <x:c r="N276" s="38"/>
      <x:c r="O276" s="38"/>
      <x:c r="P276" s="38"/>
      <x:c r="Q276" s="38"/>
      <x:c r="R276" s="38"/>
      <x:c r="S276" s="38"/>
      <x:c r="T276" s="38"/>
      <x:c r="U276" s="38"/>
      <x:c r="V276" s="38"/>
      <x:c r="W276" s="38"/>
      <x:c r="X276" s="38"/>
      <x:c r="Y276" s="38"/>
      <x:c r="Z276" s="38"/>
    </x:row>
    <x:row r="277">
      <x:c r="A277" s="38"/>
      <x:c r="B277" s="38"/>
      <x:c r="C277" s="38"/>
      <x:c r="D277" s="38"/>
      <x:c r="E277" s="38"/>
      <x:c r="F277" s="38"/>
      <x:c r="G277" s="38"/>
      <x:c r="H277" s="38"/>
      <x:c r="I277" s="38"/>
      <x:c r="J277" s="38"/>
      <x:c r="K277" s="38"/>
      <x:c r="L277" s="38"/>
      <x:c r="M277" s="38"/>
      <x:c r="N277" s="38"/>
      <x:c r="O277" s="38"/>
      <x:c r="P277" s="38"/>
      <x:c r="Q277" s="38"/>
      <x:c r="R277" s="38"/>
      <x:c r="S277" s="38"/>
      <x:c r="T277" s="38"/>
      <x:c r="U277" s="38"/>
      <x:c r="V277" s="38"/>
      <x:c r="W277" s="38"/>
      <x:c r="X277" s="38"/>
      <x:c r="Y277" s="38"/>
      <x:c r="Z277" s="38"/>
    </x:row>
    <x:row r="278">
      <x:c r="A278" s="38"/>
      <x:c r="B278" s="38"/>
      <x:c r="C278" s="38"/>
      <x:c r="D278" s="38"/>
      <x:c r="E278" s="38"/>
      <x:c r="F278" s="38"/>
      <x:c r="G278" s="38"/>
      <x:c r="H278" s="38"/>
      <x:c r="I278" s="38"/>
      <x:c r="J278" s="38"/>
      <x:c r="K278" s="38"/>
      <x:c r="L278" s="38"/>
      <x:c r="M278" s="38"/>
      <x:c r="N278" s="38"/>
      <x:c r="O278" s="38"/>
      <x:c r="P278" s="38"/>
      <x:c r="Q278" s="38"/>
      <x:c r="R278" s="38"/>
      <x:c r="S278" s="38"/>
      <x:c r="T278" s="38"/>
      <x:c r="U278" s="38"/>
      <x:c r="V278" s="38"/>
      <x:c r="W278" s="38"/>
      <x:c r="X278" s="38"/>
      <x:c r="Y278" s="38"/>
      <x:c r="Z278" s="38"/>
    </x:row>
    <x:row r="279">
      <x:c r="A279" s="38"/>
      <x:c r="B279" s="38"/>
      <x:c r="C279" s="38"/>
      <x:c r="D279" s="38"/>
      <x:c r="E279" s="38"/>
      <x:c r="F279" s="38"/>
      <x:c r="G279" s="38"/>
      <x:c r="H279" s="38"/>
      <x:c r="I279" s="38"/>
      <x:c r="J279" s="38"/>
      <x:c r="K279" s="38"/>
      <x:c r="L279" s="38"/>
      <x:c r="M279" s="38"/>
      <x:c r="N279" s="38"/>
      <x:c r="O279" s="38"/>
      <x:c r="P279" s="38"/>
      <x:c r="Q279" s="38"/>
      <x:c r="R279" s="38"/>
      <x:c r="S279" s="38"/>
      <x:c r="T279" s="38"/>
      <x:c r="U279" s="38"/>
      <x:c r="V279" s="38"/>
      <x:c r="W279" s="38"/>
      <x:c r="X279" s="38"/>
      <x:c r="Y279" s="38"/>
      <x:c r="Z279" s="38"/>
    </x:row>
    <x:row r="280">
      <x:c r="A280" s="38"/>
      <x:c r="B280" s="38"/>
      <x:c r="C280" s="38"/>
      <x:c r="D280" s="38"/>
      <x:c r="E280" s="38"/>
      <x:c r="F280" s="38"/>
      <x:c r="G280" s="38"/>
      <x:c r="H280" s="38"/>
      <x:c r="I280" s="38"/>
      <x:c r="J280" s="38"/>
      <x:c r="K280" s="38"/>
      <x:c r="L280" s="38"/>
      <x:c r="M280" s="38"/>
      <x:c r="N280" s="38"/>
      <x:c r="O280" s="38"/>
      <x:c r="P280" s="38"/>
      <x:c r="Q280" s="38"/>
      <x:c r="R280" s="38"/>
      <x:c r="S280" s="38"/>
      <x:c r="T280" s="38"/>
      <x:c r="U280" s="38"/>
      <x:c r="V280" s="38"/>
      <x:c r="W280" s="38"/>
      <x:c r="X280" s="38"/>
      <x:c r="Y280" s="38"/>
      <x:c r="Z280" s="38"/>
    </x:row>
    <x:row r="281">
      <x:c r="A281" s="38"/>
      <x:c r="B281" s="38"/>
      <x:c r="C281" s="38"/>
      <x:c r="D281" s="38"/>
      <x:c r="E281" s="38"/>
      <x:c r="F281" s="38"/>
      <x:c r="G281" s="38"/>
      <x:c r="H281" s="38"/>
      <x:c r="I281" s="38"/>
      <x:c r="J281" s="38"/>
      <x:c r="K281" s="38"/>
      <x:c r="L281" s="38"/>
      <x:c r="M281" s="38"/>
      <x:c r="N281" s="38"/>
      <x:c r="O281" s="38"/>
      <x:c r="P281" s="38"/>
      <x:c r="Q281" s="38"/>
      <x:c r="R281" s="38"/>
      <x:c r="S281" s="38"/>
      <x:c r="T281" s="38"/>
      <x:c r="U281" s="38"/>
      <x:c r="V281" s="38"/>
      <x:c r="W281" s="38"/>
      <x:c r="X281" s="38"/>
      <x:c r="Y281" s="38"/>
      <x:c r="Z281" s="38"/>
    </x:row>
    <x:row r="282">
      <x:c r="A282" s="38"/>
      <x:c r="B282" s="38"/>
      <x:c r="C282" s="38"/>
      <x:c r="D282" s="38"/>
      <x:c r="E282" s="38"/>
      <x:c r="F282" s="38"/>
      <x:c r="G282" s="38"/>
      <x:c r="H282" s="38"/>
      <x:c r="I282" s="38"/>
      <x:c r="J282" s="38"/>
      <x:c r="K282" s="38"/>
      <x:c r="L282" s="38"/>
      <x:c r="M282" s="38"/>
      <x:c r="N282" s="38"/>
      <x:c r="O282" s="38"/>
      <x:c r="P282" s="38"/>
      <x:c r="Q282" s="38"/>
      <x:c r="R282" s="38"/>
      <x:c r="S282" s="38"/>
      <x:c r="T282" s="38"/>
      <x:c r="U282" s="38"/>
      <x:c r="V282" s="38"/>
      <x:c r="W282" s="38"/>
      <x:c r="X282" s="38"/>
      <x:c r="Y282" s="38"/>
      <x:c r="Z282" s="38"/>
    </x:row>
    <x:row r="283">
      <x:c r="A283" s="38"/>
      <x:c r="B283" s="38"/>
      <x:c r="C283" s="38"/>
      <x:c r="D283" s="38"/>
      <x:c r="E283" s="38"/>
      <x:c r="F283" s="38"/>
      <x:c r="G283" s="38"/>
      <x:c r="H283" s="38"/>
      <x:c r="I283" s="38"/>
      <x:c r="J283" s="38"/>
      <x:c r="K283" s="38"/>
      <x:c r="L283" s="38"/>
      <x:c r="M283" s="38"/>
      <x:c r="N283" s="38"/>
      <x:c r="O283" s="38"/>
      <x:c r="P283" s="38"/>
      <x:c r="Q283" s="38"/>
      <x:c r="R283" s="38"/>
      <x:c r="S283" s="38"/>
      <x:c r="T283" s="38"/>
      <x:c r="U283" s="38"/>
      <x:c r="V283" s="38"/>
      <x:c r="W283" s="38"/>
      <x:c r="X283" s="38"/>
      <x:c r="Y283" s="38"/>
      <x:c r="Z283" s="38"/>
    </x:row>
    <x:row r="284">
      <x:c r="A284" s="38"/>
      <x:c r="B284" s="38"/>
      <x:c r="C284" s="38"/>
      <x:c r="D284" s="38"/>
      <x:c r="E284" s="38"/>
      <x:c r="F284" s="38"/>
      <x:c r="G284" s="38"/>
      <x:c r="H284" s="38"/>
      <x:c r="I284" s="38"/>
      <x:c r="J284" s="38"/>
      <x:c r="K284" s="38"/>
      <x:c r="L284" s="38"/>
      <x:c r="M284" s="38"/>
      <x:c r="N284" s="38"/>
      <x:c r="O284" s="38"/>
      <x:c r="P284" s="38"/>
      <x:c r="Q284" s="38"/>
      <x:c r="R284" s="38"/>
      <x:c r="S284" s="38"/>
      <x:c r="T284" s="38"/>
      <x:c r="U284" s="38"/>
      <x:c r="V284" s="38"/>
      <x:c r="W284" s="38"/>
      <x:c r="X284" s="38"/>
      <x:c r="Y284" s="38"/>
      <x:c r="Z284" s="38"/>
    </x:row>
    <x:row r="285">
      <x:c r="A285" s="38"/>
      <x:c r="B285" s="38"/>
      <x:c r="C285" s="38"/>
      <x:c r="D285" s="38"/>
      <x:c r="E285" s="38"/>
      <x:c r="F285" s="38"/>
      <x:c r="G285" s="38"/>
      <x:c r="H285" s="38"/>
      <x:c r="I285" s="38"/>
      <x:c r="J285" s="38"/>
      <x:c r="K285" s="38"/>
      <x:c r="L285" s="38"/>
      <x:c r="M285" s="38"/>
      <x:c r="N285" s="38"/>
      <x:c r="O285" s="38"/>
      <x:c r="P285" s="38"/>
      <x:c r="Q285" s="38"/>
      <x:c r="R285" s="38"/>
      <x:c r="S285" s="38"/>
      <x:c r="T285" s="38"/>
      <x:c r="U285" s="38"/>
      <x:c r="V285" s="38"/>
      <x:c r="W285" s="38"/>
      <x:c r="X285" s="38"/>
      <x:c r="Y285" s="38"/>
      <x:c r="Z285" s="38"/>
    </x:row>
    <x:row r="286">
      <x:c r="A286" s="38"/>
      <x:c r="B286" s="38"/>
      <x:c r="C286" s="38"/>
      <x:c r="D286" s="38"/>
      <x:c r="E286" s="38"/>
      <x:c r="F286" s="38"/>
      <x:c r="G286" s="38"/>
      <x:c r="H286" s="38"/>
      <x:c r="I286" s="38"/>
      <x:c r="J286" s="38"/>
      <x:c r="K286" s="38"/>
      <x:c r="L286" s="38"/>
      <x:c r="M286" s="38"/>
      <x:c r="N286" s="38"/>
      <x:c r="O286" s="38"/>
      <x:c r="P286" s="38"/>
      <x:c r="Q286" s="38"/>
      <x:c r="R286" s="38"/>
      <x:c r="S286" s="38"/>
      <x:c r="T286" s="38"/>
      <x:c r="U286" s="38"/>
      <x:c r="V286" s="38"/>
      <x:c r="W286" s="38"/>
      <x:c r="X286" s="38"/>
      <x:c r="Y286" s="38"/>
      <x:c r="Z286" s="38"/>
    </x:row>
    <x:row r="287">
      <x:c r="A287" s="38"/>
      <x:c r="B287" s="38"/>
      <x:c r="C287" s="38"/>
      <x:c r="D287" s="38"/>
      <x:c r="E287" s="38"/>
      <x:c r="F287" s="38"/>
      <x:c r="G287" s="38"/>
      <x:c r="H287" s="38"/>
      <x:c r="I287" s="38"/>
      <x:c r="J287" s="38"/>
      <x:c r="K287" s="38"/>
      <x:c r="L287" s="38"/>
      <x:c r="M287" s="38"/>
      <x:c r="N287" s="38"/>
      <x:c r="O287" s="38"/>
      <x:c r="P287" s="38"/>
      <x:c r="Q287" s="38"/>
      <x:c r="R287" s="38"/>
      <x:c r="S287" s="38"/>
      <x:c r="T287" s="38"/>
      <x:c r="U287" s="38"/>
      <x:c r="V287" s="38"/>
      <x:c r="W287" s="38"/>
      <x:c r="X287" s="38"/>
      <x:c r="Y287" s="38"/>
      <x:c r="Z287" s="38"/>
    </x:row>
    <x:row r="288">
      <x:c r="A288" s="38"/>
      <x:c r="B288" s="38"/>
      <x:c r="C288" s="38"/>
      <x:c r="D288" s="38"/>
      <x:c r="E288" s="38"/>
      <x:c r="F288" s="38"/>
      <x:c r="G288" s="38"/>
      <x:c r="H288" s="38"/>
      <x:c r="I288" s="38"/>
      <x:c r="J288" s="38"/>
      <x:c r="K288" s="38"/>
      <x:c r="L288" s="38"/>
      <x:c r="M288" s="38"/>
      <x:c r="N288" s="38"/>
      <x:c r="O288" s="38"/>
      <x:c r="P288" s="38"/>
      <x:c r="Q288" s="38"/>
      <x:c r="R288" s="38"/>
      <x:c r="S288" s="38"/>
      <x:c r="T288" s="38"/>
      <x:c r="U288" s="38"/>
      <x:c r="V288" s="38"/>
      <x:c r="W288" s="38"/>
      <x:c r="X288" s="38"/>
      <x:c r="Y288" s="38"/>
      <x:c r="Z288" s="38"/>
    </x:row>
    <x:row r="289">
      <x:c r="A289" s="38"/>
      <x:c r="B289" s="38"/>
      <x:c r="C289" s="38"/>
      <x:c r="D289" s="38"/>
      <x:c r="E289" s="38"/>
      <x:c r="F289" s="38"/>
      <x:c r="G289" s="38"/>
      <x:c r="H289" s="38"/>
      <x:c r="I289" s="38"/>
      <x:c r="J289" s="38"/>
      <x:c r="K289" s="38"/>
      <x:c r="L289" s="38"/>
      <x:c r="M289" s="38"/>
      <x:c r="N289" s="38"/>
      <x:c r="O289" s="38"/>
      <x:c r="P289" s="38"/>
      <x:c r="Q289" s="38"/>
      <x:c r="R289" s="38"/>
      <x:c r="S289" s="38"/>
      <x:c r="T289" s="38"/>
      <x:c r="U289" s="38"/>
      <x:c r="V289" s="38"/>
      <x:c r="W289" s="38"/>
      <x:c r="X289" s="38"/>
      <x:c r="Y289" s="38"/>
      <x:c r="Z289" s="38"/>
    </x:row>
    <x:row r="290">
      <x:c r="A290" s="38"/>
      <x:c r="B290" s="38"/>
      <x:c r="C290" s="38"/>
      <x:c r="D290" s="38"/>
      <x:c r="E290" s="38"/>
      <x:c r="F290" s="38"/>
      <x:c r="G290" s="38"/>
      <x:c r="H290" s="38"/>
      <x:c r="I290" s="38"/>
      <x:c r="J290" s="38"/>
      <x:c r="K290" s="38"/>
      <x:c r="L290" s="38"/>
      <x:c r="M290" s="38"/>
      <x:c r="N290" s="38"/>
      <x:c r="O290" s="38"/>
      <x:c r="P290" s="38"/>
      <x:c r="Q290" s="38"/>
      <x:c r="R290" s="38"/>
      <x:c r="S290" s="38"/>
      <x:c r="T290" s="38"/>
      <x:c r="U290" s="38"/>
      <x:c r="V290" s="38"/>
      <x:c r="W290" s="38"/>
      <x:c r="X290" s="38"/>
      <x:c r="Y290" s="38"/>
      <x:c r="Z290" s="38"/>
    </x:row>
    <x:row r="291">
      <x:c r="A291" s="38"/>
      <x:c r="B291" s="38"/>
      <x:c r="C291" s="38"/>
      <x:c r="D291" s="38"/>
      <x:c r="E291" s="38"/>
      <x:c r="F291" s="38"/>
      <x:c r="G291" s="38"/>
      <x:c r="H291" s="38"/>
      <x:c r="I291" s="38"/>
      <x:c r="J291" s="38"/>
      <x:c r="K291" s="38"/>
      <x:c r="L291" s="38"/>
      <x:c r="M291" s="38"/>
      <x:c r="N291" s="38"/>
      <x:c r="O291" s="38"/>
      <x:c r="P291" s="38"/>
      <x:c r="Q291" s="38"/>
      <x:c r="R291" s="38"/>
      <x:c r="S291" s="38"/>
      <x:c r="T291" s="38"/>
      <x:c r="U291" s="38"/>
      <x:c r="V291" s="38"/>
      <x:c r="W291" s="38"/>
      <x:c r="X291" s="38"/>
      <x:c r="Y291" s="38"/>
      <x:c r="Z291" s="38"/>
    </x:row>
    <x:row r="292">
      <x:c r="A292" s="38"/>
      <x:c r="B292" s="38"/>
      <x:c r="C292" s="38"/>
      <x:c r="D292" s="38"/>
      <x:c r="E292" s="38"/>
      <x:c r="F292" s="38"/>
      <x:c r="G292" s="38"/>
      <x:c r="H292" s="38"/>
      <x:c r="I292" s="38"/>
      <x:c r="J292" s="38"/>
      <x:c r="K292" s="38"/>
      <x:c r="L292" s="38"/>
      <x:c r="M292" s="38"/>
      <x:c r="N292" s="38"/>
      <x:c r="O292" s="38"/>
      <x:c r="P292" s="38"/>
      <x:c r="Q292" s="38"/>
      <x:c r="R292" s="38"/>
      <x:c r="S292" s="38"/>
      <x:c r="T292" s="38"/>
      <x:c r="U292" s="38"/>
      <x:c r="V292" s="38"/>
      <x:c r="W292" s="38"/>
      <x:c r="X292" s="38"/>
      <x:c r="Y292" s="38"/>
      <x:c r="Z292" s="38"/>
    </x:row>
    <x:row r="293">
      <x:c r="A293" s="38"/>
      <x:c r="B293" s="38"/>
      <x:c r="C293" s="38"/>
      <x:c r="D293" s="38"/>
      <x:c r="E293" s="38"/>
      <x:c r="F293" s="38"/>
      <x:c r="G293" s="38"/>
      <x:c r="H293" s="38"/>
      <x:c r="I293" s="38"/>
      <x:c r="J293" s="38"/>
      <x:c r="K293" s="38"/>
      <x:c r="L293" s="38"/>
      <x:c r="M293" s="38"/>
      <x:c r="N293" s="38"/>
      <x:c r="O293" s="38"/>
      <x:c r="P293" s="38"/>
      <x:c r="Q293" s="38"/>
      <x:c r="R293" s="38"/>
      <x:c r="S293" s="38"/>
      <x:c r="T293" s="38"/>
      <x:c r="U293" s="38"/>
      <x:c r="V293" s="38"/>
      <x:c r="W293" s="38"/>
      <x:c r="X293" s="38"/>
      <x:c r="Y293" s="38"/>
      <x:c r="Z293" s="38"/>
    </x:row>
    <x:row r="294">
      <x:c r="A294" s="38"/>
      <x:c r="B294" s="38"/>
      <x:c r="C294" s="38"/>
      <x:c r="D294" s="38"/>
      <x:c r="E294" s="38"/>
      <x:c r="F294" s="38"/>
      <x:c r="G294" s="38"/>
      <x:c r="H294" s="38"/>
      <x:c r="I294" s="38"/>
      <x:c r="J294" s="38"/>
      <x:c r="K294" s="38"/>
      <x:c r="L294" s="38"/>
      <x:c r="M294" s="38"/>
      <x:c r="N294" s="38"/>
      <x:c r="O294" s="38"/>
      <x:c r="P294" s="38"/>
      <x:c r="Q294" s="38"/>
      <x:c r="R294" s="38"/>
      <x:c r="S294" s="38"/>
      <x:c r="T294" s="38"/>
      <x:c r="U294" s="38"/>
      <x:c r="V294" s="38"/>
      <x:c r="W294" s="38"/>
      <x:c r="X294" s="38"/>
      <x:c r="Y294" s="38"/>
      <x:c r="Z294" s="38"/>
    </x:row>
    <x:row r="295">
      <x:c r="A295" s="38"/>
      <x:c r="B295" s="38"/>
      <x:c r="C295" s="38"/>
      <x:c r="D295" s="38"/>
      <x:c r="E295" s="38"/>
      <x:c r="F295" s="38"/>
      <x:c r="G295" s="38"/>
      <x:c r="H295" s="38"/>
      <x:c r="I295" s="38"/>
      <x:c r="J295" s="38"/>
      <x:c r="K295" s="38"/>
      <x:c r="L295" s="38"/>
      <x:c r="M295" s="38"/>
      <x:c r="N295" s="38"/>
      <x:c r="O295" s="38"/>
      <x:c r="P295" s="38"/>
      <x:c r="Q295" s="38"/>
      <x:c r="R295" s="38"/>
      <x:c r="S295" s="38"/>
      <x:c r="T295" s="38"/>
      <x:c r="U295" s="38"/>
      <x:c r="V295" s="38"/>
      <x:c r="W295" s="38"/>
      <x:c r="X295" s="38"/>
      <x:c r="Y295" s="38"/>
      <x:c r="Z295" s="38"/>
    </x:row>
    <x:row r="296">
      <x:c r="A296" s="38"/>
      <x:c r="B296" s="38"/>
      <x:c r="C296" s="38"/>
      <x:c r="D296" s="38"/>
      <x:c r="E296" s="38"/>
      <x:c r="F296" s="38"/>
      <x:c r="G296" s="38"/>
      <x:c r="H296" s="38"/>
      <x:c r="I296" s="38"/>
      <x:c r="J296" s="38"/>
      <x:c r="K296" s="38"/>
      <x:c r="L296" s="38"/>
      <x:c r="M296" s="38"/>
      <x:c r="N296" s="38"/>
      <x:c r="O296" s="38"/>
      <x:c r="P296" s="38"/>
      <x:c r="Q296" s="38"/>
      <x:c r="R296" s="38"/>
      <x:c r="S296" s="38"/>
      <x:c r="T296" s="38"/>
      <x:c r="U296" s="38"/>
      <x:c r="V296" s="38"/>
      <x:c r="W296" s="38"/>
      <x:c r="X296" s="38"/>
      <x:c r="Y296" s="38"/>
      <x:c r="Z296" s="38"/>
    </x:row>
    <x:row r="297">
      <x:c r="A297" s="38"/>
      <x:c r="B297" s="38"/>
      <x:c r="C297" s="38"/>
      <x:c r="D297" s="38"/>
      <x:c r="E297" s="38"/>
      <x:c r="F297" s="38"/>
      <x:c r="G297" s="38"/>
      <x:c r="H297" s="38"/>
      <x:c r="I297" s="38"/>
      <x:c r="J297" s="38"/>
      <x:c r="K297" s="38"/>
      <x:c r="L297" s="38"/>
      <x:c r="M297" s="38"/>
      <x:c r="N297" s="38"/>
      <x:c r="O297" s="38"/>
      <x:c r="P297" s="38"/>
      <x:c r="Q297" s="38"/>
      <x:c r="R297" s="38"/>
      <x:c r="S297" s="38"/>
      <x:c r="T297" s="38"/>
      <x:c r="U297" s="38"/>
      <x:c r="V297" s="38"/>
      <x:c r="W297" s="38"/>
      <x:c r="X297" s="38"/>
      <x:c r="Y297" s="38"/>
      <x:c r="Z297" s="38"/>
    </x:row>
    <x:row r="298">
      <x:c r="A298" s="38"/>
      <x:c r="B298" s="38"/>
      <x:c r="C298" s="38"/>
      <x:c r="D298" s="38"/>
      <x:c r="E298" s="38"/>
      <x:c r="F298" s="38"/>
      <x:c r="G298" s="38"/>
      <x:c r="H298" s="38"/>
      <x:c r="I298" s="38"/>
      <x:c r="J298" s="38"/>
      <x:c r="K298" s="38"/>
      <x:c r="L298" s="38"/>
      <x:c r="M298" s="38"/>
      <x:c r="N298" s="38"/>
      <x:c r="O298" s="38"/>
      <x:c r="P298" s="38"/>
      <x:c r="Q298" s="38"/>
      <x:c r="R298" s="38"/>
      <x:c r="S298" s="38"/>
      <x:c r="T298" s="38"/>
      <x:c r="U298" s="38"/>
      <x:c r="V298" s="38"/>
      <x:c r="W298" s="38"/>
      <x:c r="X298" s="38"/>
      <x:c r="Y298" s="38"/>
      <x:c r="Z298" s="38"/>
    </x:row>
    <x:row r="299">
      <x:c r="A299" s="38"/>
      <x:c r="B299" s="38"/>
      <x:c r="C299" s="38"/>
      <x:c r="D299" s="38"/>
      <x:c r="E299" s="38"/>
      <x:c r="F299" s="38"/>
      <x:c r="G299" s="38"/>
      <x:c r="H299" s="38"/>
      <x:c r="I299" s="38"/>
      <x:c r="J299" s="38"/>
      <x:c r="K299" s="38"/>
      <x:c r="L299" s="38"/>
      <x:c r="M299" s="38"/>
      <x:c r="N299" s="38"/>
      <x:c r="O299" s="38"/>
      <x:c r="P299" s="38"/>
      <x:c r="Q299" s="38"/>
      <x:c r="R299" s="38"/>
      <x:c r="S299" s="38"/>
      <x:c r="T299" s="38"/>
      <x:c r="U299" s="38"/>
      <x:c r="V299" s="38"/>
      <x:c r="W299" s="38"/>
      <x:c r="X299" s="38"/>
      <x:c r="Y299" s="38"/>
      <x:c r="Z299" s="38"/>
    </x:row>
    <x:row r="300">
      <x:c r="A300" s="38"/>
      <x:c r="B300" s="38"/>
      <x:c r="C300" s="38"/>
      <x:c r="D300" s="38"/>
      <x:c r="E300" s="38"/>
      <x:c r="F300" s="38"/>
      <x:c r="G300" s="38"/>
      <x:c r="H300" s="38"/>
      <x:c r="I300" s="38"/>
      <x:c r="J300" s="38"/>
      <x:c r="K300" s="38"/>
      <x:c r="L300" s="38"/>
      <x:c r="M300" s="38"/>
      <x:c r="N300" s="38"/>
      <x:c r="O300" s="38"/>
      <x:c r="P300" s="38"/>
      <x:c r="Q300" s="38"/>
      <x:c r="R300" s="38"/>
      <x:c r="S300" s="38"/>
      <x:c r="T300" s="38"/>
      <x:c r="U300" s="38"/>
      <x:c r="V300" s="38"/>
      <x:c r="W300" s="38"/>
      <x:c r="X300" s="38"/>
      <x:c r="Y300" s="38"/>
      <x:c r="Z300" s="38"/>
    </x:row>
    <x:row r="301">
      <x:c r="A301" s="38"/>
      <x:c r="B301" s="38"/>
      <x:c r="C301" s="38"/>
      <x:c r="D301" s="38"/>
      <x:c r="E301" s="38"/>
      <x:c r="F301" s="38"/>
      <x:c r="G301" s="38"/>
      <x:c r="H301" s="38"/>
      <x:c r="I301" s="38"/>
      <x:c r="J301" s="38"/>
      <x:c r="K301" s="38"/>
      <x:c r="L301" s="38"/>
      <x:c r="M301" s="38"/>
      <x:c r="N301" s="38"/>
      <x:c r="O301" s="38"/>
      <x:c r="P301" s="38"/>
      <x:c r="Q301" s="38"/>
      <x:c r="R301" s="38"/>
      <x:c r="S301" s="38"/>
      <x:c r="T301" s="38"/>
      <x:c r="U301" s="38"/>
      <x:c r="V301" s="38"/>
      <x:c r="W301" s="38"/>
      <x:c r="X301" s="38"/>
      <x:c r="Y301" s="38"/>
      <x:c r="Z301" s="38"/>
    </x:row>
    <x:row r="302">
      <x:c r="A302" s="38"/>
      <x:c r="B302" s="38"/>
      <x:c r="C302" s="38"/>
      <x:c r="D302" s="38"/>
      <x:c r="E302" s="38"/>
      <x:c r="F302" s="38"/>
      <x:c r="G302" s="38"/>
      <x:c r="H302" s="38"/>
      <x:c r="I302" s="38"/>
      <x:c r="J302" s="38"/>
      <x:c r="K302" s="38"/>
      <x:c r="L302" s="38"/>
      <x:c r="M302" s="38"/>
      <x:c r="N302" s="38"/>
      <x:c r="O302" s="38"/>
      <x:c r="P302" s="38"/>
      <x:c r="Q302" s="38"/>
      <x:c r="R302" s="38"/>
      <x:c r="S302" s="38"/>
      <x:c r="T302" s="38"/>
      <x:c r="U302" s="38"/>
      <x:c r="V302" s="38"/>
      <x:c r="W302" s="38"/>
      <x:c r="X302" s="38"/>
      <x:c r="Y302" s="38"/>
      <x:c r="Z302" s="38"/>
    </x:row>
    <x:row r="303">
      <x:c r="A303" s="38"/>
      <x:c r="B303" s="38"/>
      <x:c r="C303" s="38"/>
      <x:c r="D303" s="38"/>
      <x:c r="E303" s="38"/>
      <x:c r="F303" s="38"/>
      <x:c r="G303" s="38"/>
      <x:c r="H303" s="38"/>
      <x:c r="I303" s="38"/>
      <x:c r="J303" s="38"/>
      <x:c r="K303" s="38"/>
      <x:c r="L303" s="38"/>
      <x:c r="M303" s="38"/>
      <x:c r="N303" s="38"/>
      <x:c r="O303" s="38"/>
      <x:c r="P303" s="38"/>
      <x:c r="Q303" s="38"/>
      <x:c r="R303" s="38"/>
      <x:c r="S303" s="38"/>
      <x:c r="T303" s="38"/>
      <x:c r="U303" s="38"/>
      <x:c r="V303" s="38"/>
      <x:c r="W303" s="38"/>
      <x:c r="X303" s="38"/>
      <x:c r="Y303" s="38"/>
      <x:c r="Z303" s="38"/>
    </x:row>
    <x:row r="304">
      <x:c r="A304" s="38"/>
      <x:c r="B304" s="38"/>
      <x:c r="C304" s="38"/>
      <x:c r="D304" s="38"/>
      <x:c r="E304" s="38"/>
      <x:c r="F304" s="38"/>
      <x:c r="G304" s="38"/>
      <x:c r="H304" s="38"/>
      <x:c r="I304" s="38"/>
      <x:c r="J304" s="38"/>
      <x:c r="K304" s="38"/>
      <x:c r="L304" s="38"/>
      <x:c r="M304" s="38"/>
      <x:c r="N304" s="38"/>
      <x:c r="O304" s="38"/>
      <x:c r="P304" s="38"/>
      <x:c r="Q304" s="38"/>
      <x:c r="R304" s="38"/>
      <x:c r="S304" s="38"/>
      <x:c r="T304" s="38"/>
      <x:c r="U304" s="38"/>
      <x:c r="V304" s="38"/>
      <x:c r="W304" s="38"/>
      <x:c r="X304" s="38"/>
      <x:c r="Y304" s="38"/>
      <x:c r="Z304" s="38"/>
    </x:row>
    <x:row r="305">
      <x:c r="A305" s="38"/>
      <x:c r="B305" s="38"/>
      <x:c r="C305" s="38"/>
      <x:c r="D305" s="38"/>
      <x:c r="E305" s="38"/>
      <x:c r="F305" s="38"/>
      <x:c r="G305" s="38"/>
      <x:c r="H305" s="38"/>
      <x:c r="I305" s="38"/>
      <x:c r="J305" s="38"/>
      <x:c r="K305" s="38"/>
      <x:c r="L305" s="38"/>
      <x:c r="M305" s="38"/>
      <x:c r="N305" s="38"/>
      <x:c r="O305" s="38"/>
      <x:c r="P305" s="38"/>
      <x:c r="Q305" s="38"/>
      <x:c r="R305" s="38"/>
      <x:c r="S305" s="38"/>
      <x:c r="T305" s="38"/>
      <x:c r="U305" s="38"/>
      <x:c r="V305" s="38"/>
      <x:c r="W305" s="38"/>
      <x:c r="X305" s="38"/>
      <x:c r="Y305" s="38"/>
      <x:c r="Z305" s="38"/>
    </x:row>
    <x:row r="306">
      <x:c r="A306" s="38"/>
      <x:c r="B306" s="38"/>
      <x:c r="C306" s="38"/>
      <x:c r="D306" s="38"/>
      <x:c r="E306" s="38"/>
      <x:c r="F306" s="38"/>
      <x:c r="G306" s="38"/>
      <x:c r="H306" s="38"/>
      <x:c r="I306" s="38"/>
      <x:c r="J306" s="38"/>
      <x:c r="K306" s="38"/>
      <x:c r="L306" s="38"/>
      <x:c r="M306" s="38"/>
      <x:c r="N306" s="38"/>
      <x:c r="O306" s="38"/>
      <x:c r="P306" s="38"/>
      <x:c r="Q306" s="38"/>
      <x:c r="R306" s="38"/>
      <x:c r="S306" s="38"/>
      <x:c r="T306" s="38"/>
      <x:c r="U306" s="38"/>
      <x:c r="V306" s="38"/>
      <x:c r="W306" s="38"/>
      <x:c r="X306" s="38"/>
      <x:c r="Y306" s="38"/>
      <x:c r="Z306" s="38"/>
    </x:row>
    <x:row r="307">
      <x:c r="A307" s="38"/>
      <x:c r="B307" s="38"/>
      <x:c r="C307" s="38"/>
      <x:c r="D307" s="38"/>
      <x:c r="E307" s="38"/>
      <x:c r="F307" s="38"/>
      <x:c r="G307" s="38"/>
      <x:c r="H307" s="38"/>
      <x:c r="I307" s="38"/>
      <x:c r="J307" s="38"/>
      <x:c r="K307" s="38"/>
      <x:c r="L307" s="38"/>
      <x:c r="M307" s="38"/>
      <x:c r="N307" s="38"/>
      <x:c r="O307" s="38"/>
      <x:c r="P307" s="38"/>
      <x:c r="Q307" s="38"/>
      <x:c r="R307" s="38"/>
      <x:c r="S307" s="38"/>
      <x:c r="T307" s="38"/>
      <x:c r="U307" s="38"/>
      <x:c r="V307" s="38"/>
      <x:c r="W307" s="38"/>
      <x:c r="X307" s="38"/>
      <x:c r="Y307" s="38"/>
      <x:c r="Z307" s="38"/>
    </x:row>
    <x:row r="308">
      <x:c r="A308" s="38"/>
      <x:c r="B308" s="38"/>
      <x:c r="C308" s="38"/>
      <x:c r="D308" s="38"/>
      <x:c r="E308" s="38"/>
      <x:c r="F308" s="38"/>
      <x:c r="G308" s="38"/>
      <x:c r="H308" s="38"/>
      <x:c r="I308" s="38"/>
      <x:c r="J308" s="38"/>
      <x:c r="K308" s="38"/>
      <x:c r="L308" s="38"/>
      <x:c r="M308" s="38"/>
      <x:c r="N308" s="38"/>
      <x:c r="O308" s="38"/>
      <x:c r="P308" s="38"/>
      <x:c r="Q308" s="38"/>
      <x:c r="R308" s="38"/>
      <x:c r="S308" s="38"/>
      <x:c r="T308" s="38"/>
      <x:c r="U308" s="38"/>
      <x:c r="V308" s="38"/>
      <x:c r="W308" s="38"/>
      <x:c r="X308" s="38"/>
      <x:c r="Y308" s="38"/>
      <x:c r="Z308" s="38"/>
    </x:row>
    <x:row r="309">
      <x:c r="A309" s="38"/>
      <x:c r="B309" s="38"/>
      <x:c r="C309" s="38"/>
      <x:c r="D309" s="38"/>
      <x:c r="E309" s="38"/>
      <x:c r="F309" s="38"/>
      <x:c r="G309" s="38"/>
      <x:c r="H309" s="38"/>
      <x:c r="I309" s="38"/>
      <x:c r="J309" s="38"/>
      <x:c r="K309" s="38"/>
      <x:c r="L309" s="38"/>
      <x:c r="M309" s="38"/>
      <x:c r="N309" s="38"/>
      <x:c r="O309" s="38"/>
      <x:c r="P309" s="38"/>
      <x:c r="Q309" s="38"/>
      <x:c r="R309" s="38"/>
      <x:c r="S309" s="38"/>
      <x:c r="T309" s="38"/>
      <x:c r="U309" s="38"/>
      <x:c r="V309" s="38"/>
      <x:c r="W309" s="38"/>
      <x:c r="X309" s="38"/>
      <x:c r="Y309" s="38"/>
      <x:c r="Z309" s="38"/>
    </x:row>
    <x:row r="310">
      <x:c r="A310" s="38"/>
      <x:c r="B310" s="38"/>
      <x:c r="C310" s="38"/>
      <x:c r="D310" s="38"/>
      <x:c r="E310" s="38"/>
      <x:c r="F310" s="38"/>
      <x:c r="G310" s="38"/>
      <x:c r="H310" s="38"/>
      <x:c r="I310" s="38"/>
      <x:c r="J310" s="38"/>
      <x:c r="K310" s="38"/>
      <x:c r="L310" s="38"/>
      <x:c r="M310" s="38"/>
      <x:c r="N310" s="38"/>
      <x:c r="O310" s="38"/>
      <x:c r="P310" s="38"/>
      <x:c r="Q310" s="38"/>
      <x:c r="R310" s="38"/>
      <x:c r="S310" s="38"/>
      <x:c r="T310" s="38"/>
      <x:c r="U310" s="38"/>
      <x:c r="V310" s="38"/>
      <x:c r="W310" s="38"/>
      <x:c r="X310" s="38"/>
      <x:c r="Y310" s="38"/>
      <x:c r="Z310" s="38"/>
    </x:row>
    <x:row r="311">
      <x:c r="A311" s="38"/>
      <x:c r="B311" s="38"/>
      <x:c r="C311" s="38"/>
      <x:c r="D311" s="38"/>
      <x:c r="E311" s="38"/>
      <x:c r="F311" s="38"/>
      <x:c r="G311" s="38"/>
      <x:c r="H311" s="38"/>
      <x:c r="I311" s="38"/>
      <x:c r="J311" s="38"/>
      <x:c r="K311" s="38"/>
      <x:c r="L311" s="38"/>
      <x:c r="M311" s="38"/>
      <x:c r="N311" s="38"/>
      <x:c r="O311" s="38"/>
      <x:c r="P311" s="38"/>
      <x:c r="Q311" s="38"/>
      <x:c r="R311" s="38"/>
      <x:c r="S311" s="38"/>
      <x:c r="T311" s="38"/>
      <x:c r="U311" s="38"/>
      <x:c r="V311" s="38"/>
      <x:c r="W311" s="38"/>
      <x:c r="X311" s="38"/>
      <x:c r="Y311" s="38"/>
      <x:c r="Z311" s="38"/>
    </x:row>
    <x:row r="312">
      <x:c r="A312" s="38"/>
      <x:c r="B312" s="38"/>
      <x:c r="C312" s="38"/>
      <x:c r="D312" s="38"/>
      <x:c r="E312" s="38"/>
      <x:c r="F312" s="38"/>
      <x:c r="G312" s="38"/>
      <x:c r="H312" s="38"/>
      <x:c r="I312" s="38"/>
      <x:c r="J312" s="38"/>
      <x:c r="K312" s="38"/>
      <x:c r="L312" s="38"/>
      <x:c r="M312" s="38"/>
      <x:c r="N312" s="38"/>
      <x:c r="O312" s="38"/>
      <x:c r="P312" s="38"/>
      <x:c r="Q312" s="38"/>
      <x:c r="R312" s="38"/>
      <x:c r="S312" s="38"/>
      <x:c r="T312" s="38"/>
      <x:c r="U312" s="38"/>
      <x:c r="V312" s="38"/>
      <x:c r="W312" s="38"/>
      <x:c r="X312" s="38"/>
      <x:c r="Y312" s="38"/>
      <x:c r="Z312" s="38"/>
    </x:row>
    <x:row r="313">
      <x:c r="A313" s="38"/>
      <x:c r="B313" s="38"/>
      <x:c r="C313" s="38"/>
      <x:c r="D313" s="38"/>
      <x:c r="E313" s="38"/>
      <x:c r="F313" s="38"/>
      <x:c r="G313" s="38"/>
      <x:c r="H313" s="38"/>
      <x:c r="I313" s="38"/>
      <x:c r="J313" s="38"/>
      <x:c r="K313" s="38"/>
      <x:c r="L313" s="38"/>
      <x:c r="M313" s="38"/>
      <x:c r="N313" s="38"/>
      <x:c r="O313" s="38"/>
      <x:c r="P313" s="38"/>
      <x:c r="Q313" s="38"/>
      <x:c r="R313" s="38"/>
      <x:c r="S313" s="38"/>
      <x:c r="T313" s="38"/>
      <x:c r="U313" s="38"/>
      <x:c r="V313" s="38"/>
      <x:c r="W313" s="38"/>
      <x:c r="X313" s="38"/>
      <x:c r="Y313" s="38"/>
      <x:c r="Z313" s="38"/>
    </x:row>
    <x:row r="314">
      <x:c r="A314" s="38"/>
      <x:c r="B314" s="38"/>
      <x:c r="C314" s="38"/>
      <x:c r="D314" s="38"/>
      <x:c r="E314" s="38"/>
      <x:c r="F314" s="38"/>
      <x:c r="G314" s="38"/>
      <x:c r="H314" s="38"/>
      <x:c r="I314" s="38"/>
      <x:c r="J314" s="38"/>
      <x:c r="K314" s="38"/>
      <x:c r="L314" s="38"/>
      <x:c r="M314" s="38"/>
      <x:c r="N314" s="38"/>
      <x:c r="O314" s="38"/>
      <x:c r="P314" s="38"/>
      <x:c r="Q314" s="38"/>
      <x:c r="R314" s="38"/>
      <x:c r="S314" s="38"/>
      <x:c r="T314" s="38"/>
      <x:c r="U314" s="38"/>
      <x:c r="V314" s="38"/>
      <x:c r="W314" s="38"/>
      <x:c r="X314" s="38"/>
      <x:c r="Y314" s="38"/>
      <x:c r="Z314" s="38"/>
    </x:row>
    <x:row r="315">
      <x:c r="A315" s="38"/>
      <x:c r="B315" s="38"/>
      <x:c r="C315" s="38"/>
      <x:c r="D315" s="38"/>
      <x:c r="E315" s="38"/>
      <x:c r="F315" s="38"/>
      <x:c r="G315" s="38"/>
      <x:c r="H315" s="38"/>
      <x:c r="I315" s="38"/>
      <x:c r="J315" s="38"/>
      <x:c r="K315" s="38"/>
      <x:c r="L315" s="38"/>
      <x:c r="M315" s="38"/>
      <x:c r="N315" s="38"/>
      <x:c r="O315" s="38"/>
      <x:c r="P315" s="38"/>
      <x:c r="Q315" s="38"/>
      <x:c r="R315" s="38"/>
      <x:c r="S315" s="38"/>
      <x:c r="T315" s="38"/>
      <x:c r="U315" s="38"/>
      <x:c r="V315" s="38"/>
      <x:c r="W315" s="38"/>
      <x:c r="X315" s="38"/>
      <x:c r="Y315" s="38"/>
      <x:c r="Z315" s="38"/>
    </x:row>
    <x:row r="316">
      <x:c r="A316" s="38"/>
      <x:c r="B316" s="38"/>
      <x:c r="C316" s="38"/>
      <x:c r="D316" s="38"/>
      <x:c r="E316" s="38"/>
      <x:c r="F316" s="38"/>
      <x:c r="G316" s="38"/>
      <x:c r="H316" s="38"/>
      <x:c r="I316" s="38"/>
      <x:c r="J316" s="38"/>
      <x:c r="K316" s="38"/>
      <x:c r="L316" s="38"/>
      <x:c r="M316" s="38"/>
      <x:c r="N316" s="38"/>
      <x:c r="O316" s="38"/>
      <x:c r="P316" s="38"/>
      <x:c r="Q316" s="38"/>
      <x:c r="R316" s="38"/>
      <x:c r="S316" s="38"/>
      <x:c r="T316" s="38"/>
      <x:c r="U316" s="38"/>
      <x:c r="V316" s="38"/>
      <x:c r="W316" s="38"/>
      <x:c r="X316" s="38"/>
      <x:c r="Y316" s="38"/>
      <x:c r="Z316" s="38"/>
    </x:row>
    <x:row r="317">
      <x:c r="A317" s="38"/>
      <x:c r="B317" s="38"/>
      <x:c r="C317" s="38"/>
      <x:c r="D317" s="38"/>
      <x:c r="E317" s="38"/>
      <x:c r="F317" s="38"/>
      <x:c r="G317" s="38"/>
      <x:c r="H317" s="38"/>
      <x:c r="I317" s="38"/>
      <x:c r="J317" s="38"/>
      <x:c r="K317" s="38"/>
      <x:c r="L317" s="38"/>
      <x:c r="M317" s="38"/>
      <x:c r="N317" s="38"/>
      <x:c r="O317" s="38"/>
      <x:c r="P317" s="38"/>
      <x:c r="Q317" s="38"/>
      <x:c r="R317" s="38"/>
      <x:c r="S317" s="38"/>
      <x:c r="T317" s="38"/>
      <x:c r="U317" s="38"/>
      <x:c r="V317" s="38"/>
      <x:c r="W317" s="38"/>
      <x:c r="X317" s="38"/>
      <x:c r="Y317" s="38"/>
      <x:c r="Z317" s="38"/>
    </x:row>
    <x:row r="318">
      <x:c r="A318" s="38"/>
      <x:c r="B318" s="38"/>
      <x:c r="C318" s="38"/>
      <x:c r="D318" s="38"/>
      <x:c r="E318" s="38"/>
      <x:c r="F318" s="38"/>
      <x:c r="G318" s="38"/>
      <x:c r="H318" s="38"/>
      <x:c r="I318" s="38"/>
      <x:c r="J318" s="38"/>
      <x:c r="K318" s="38"/>
      <x:c r="L318" s="38"/>
      <x:c r="M318" s="38"/>
      <x:c r="N318" s="38"/>
      <x:c r="O318" s="38"/>
      <x:c r="P318" s="38"/>
      <x:c r="Q318" s="38"/>
      <x:c r="R318" s="38"/>
      <x:c r="S318" s="38"/>
      <x:c r="T318" s="38"/>
      <x:c r="U318" s="38"/>
      <x:c r="V318" s="38"/>
      <x:c r="W318" s="38"/>
      <x:c r="X318" s="38"/>
      <x:c r="Y318" s="38"/>
      <x:c r="Z318" s="38"/>
    </x:row>
    <x:row r="319">
      <x:c r="A319" s="38"/>
      <x:c r="B319" s="38"/>
      <x:c r="C319" s="38"/>
      <x:c r="D319" s="38"/>
      <x:c r="E319" s="38"/>
      <x:c r="F319" s="38"/>
      <x:c r="G319" s="38"/>
      <x:c r="H319" s="38"/>
      <x:c r="I319" s="38"/>
      <x:c r="J319" s="38"/>
      <x:c r="K319" s="38"/>
      <x:c r="L319" s="38"/>
      <x:c r="M319" s="38"/>
      <x:c r="N319" s="38"/>
      <x:c r="O319" s="38"/>
      <x:c r="P319" s="38"/>
      <x:c r="Q319" s="38"/>
      <x:c r="R319" s="38"/>
      <x:c r="S319" s="38"/>
      <x:c r="T319" s="38"/>
      <x:c r="U319" s="38"/>
      <x:c r="V319" s="38"/>
      <x:c r="W319" s="38"/>
      <x:c r="X319" s="38"/>
      <x:c r="Y319" s="38"/>
      <x:c r="Z319" s="38"/>
    </x:row>
    <x:row r="320">
      <x:c r="A320" s="38"/>
      <x:c r="B320" s="38"/>
      <x:c r="C320" s="38"/>
      <x:c r="D320" s="38"/>
      <x:c r="E320" s="38"/>
      <x:c r="F320" s="38"/>
      <x:c r="G320" s="38"/>
      <x:c r="H320" s="38"/>
      <x:c r="I320" s="38"/>
      <x:c r="J320" s="38"/>
      <x:c r="K320" s="38"/>
      <x:c r="L320" s="38"/>
      <x:c r="M320" s="38"/>
      <x:c r="N320" s="38"/>
      <x:c r="O320" s="38"/>
      <x:c r="P320" s="38"/>
      <x:c r="Q320" s="38"/>
      <x:c r="R320" s="38"/>
      <x:c r="S320" s="38"/>
      <x:c r="T320" s="38"/>
      <x:c r="U320" s="38"/>
      <x:c r="V320" s="38"/>
      <x:c r="W320" s="38"/>
      <x:c r="X320" s="38"/>
      <x:c r="Y320" s="38"/>
      <x:c r="Z320" s="38"/>
    </x:row>
    <x:row r="321">
      <x:c r="A321" s="38"/>
      <x:c r="B321" s="38"/>
      <x:c r="C321" s="38"/>
      <x:c r="D321" s="38"/>
      <x:c r="E321" s="38"/>
      <x:c r="F321" s="38"/>
      <x:c r="G321" s="38"/>
      <x:c r="H321" s="38"/>
      <x:c r="I321" s="38"/>
      <x:c r="J321" s="38"/>
      <x:c r="K321" s="38"/>
      <x:c r="L321" s="38"/>
      <x:c r="M321" s="38"/>
      <x:c r="N321" s="38"/>
      <x:c r="O321" s="38"/>
      <x:c r="P321" s="38"/>
      <x:c r="Q321" s="38"/>
      <x:c r="R321" s="38"/>
      <x:c r="S321" s="38"/>
      <x:c r="T321" s="38"/>
      <x:c r="U321" s="38"/>
      <x:c r="V321" s="38"/>
      <x:c r="W321" s="38"/>
      <x:c r="X321" s="38"/>
      <x:c r="Y321" s="38"/>
      <x:c r="Z321" s="38"/>
    </x:row>
    <x:row r="322">
      <x:c r="A322" s="38"/>
      <x:c r="B322" s="38"/>
      <x:c r="C322" s="38"/>
      <x:c r="D322" s="38"/>
      <x:c r="E322" s="38"/>
      <x:c r="F322" s="38"/>
      <x:c r="G322" s="38"/>
      <x:c r="H322" s="38"/>
      <x:c r="I322" s="38"/>
      <x:c r="J322" s="38"/>
      <x:c r="K322" s="38"/>
      <x:c r="L322" s="38"/>
      <x:c r="M322" s="38"/>
      <x:c r="N322" s="38"/>
      <x:c r="O322" s="38"/>
      <x:c r="P322" s="38"/>
      <x:c r="Q322" s="38"/>
      <x:c r="R322" s="38"/>
      <x:c r="S322" s="38"/>
      <x:c r="T322" s="38"/>
      <x:c r="U322" s="38"/>
      <x:c r="V322" s="38"/>
      <x:c r="W322" s="38"/>
      <x:c r="X322" s="38"/>
      <x:c r="Y322" s="38"/>
      <x:c r="Z322" s="38"/>
    </x:row>
    <x:row r="323">
      <x:c r="A323" s="38"/>
      <x:c r="B323" s="38"/>
      <x:c r="C323" s="38"/>
      <x:c r="D323" s="38"/>
      <x:c r="E323" s="38"/>
      <x:c r="F323" s="38"/>
      <x:c r="G323" s="38"/>
      <x:c r="H323" s="38"/>
      <x:c r="I323" s="38"/>
      <x:c r="J323" s="38"/>
      <x:c r="K323" s="38"/>
      <x:c r="L323" s="38"/>
      <x:c r="M323" s="38"/>
      <x:c r="N323" s="38"/>
      <x:c r="O323" s="38"/>
      <x:c r="P323" s="38"/>
      <x:c r="Q323" s="38"/>
      <x:c r="R323" s="38"/>
      <x:c r="S323" s="38"/>
      <x:c r="T323" s="38"/>
      <x:c r="U323" s="38"/>
      <x:c r="V323" s="38"/>
      <x:c r="W323" s="38"/>
      <x:c r="X323" s="38"/>
      <x:c r="Y323" s="38"/>
      <x:c r="Z323" s="38"/>
    </x:row>
    <x:row r="324">
      <x:c r="A324" s="38"/>
      <x:c r="B324" s="38"/>
      <x:c r="C324" s="38"/>
      <x:c r="D324" s="38"/>
      <x:c r="E324" s="38"/>
      <x:c r="F324" s="38"/>
      <x:c r="G324" s="38"/>
      <x:c r="H324" s="38"/>
      <x:c r="I324" s="38"/>
      <x:c r="J324" s="38"/>
      <x:c r="K324" s="38"/>
      <x:c r="L324" s="38"/>
      <x:c r="M324" s="38"/>
      <x:c r="N324" s="38"/>
      <x:c r="O324" s="38"/>
      <x:c r="P324" s="38"/>
      <x:c r="Q324" s="38"/>
      <x:c r="R324" s="38"/>
      <x:c r="S324" s="38"/>
      <x:c r="T324" s="38"/>
      <x:c r="U324" s="38"/>
      <x:c r="V324" s="38"/>
      <x:c r="W324" s="38"/>
      <x:c r="X324" s="38"/>
      <x:c r="Y324" s="38"/>
      <x:c r="Z324" s="38"/>
    </x:row>
    <x:row r="325">
      <x:c r="A325" s="38"/>
      <x:c r="B325" s="38"/>
      <x:c r="C325" s="38"/>
      <x:c r="D325" s="38"/>
      <x:c r="E325" s="38"/>
      <x:c r="F325" s="38"/>
      <x:c r="G325" s="38"/>
      <x:c r="H325" s="38"/>
      <x:c r="I325" s="38"/>
      <x:c r="J325" s="38"/>
      <x:c r="K325" s="38"/>
      <x:c r="L325" s="38"/>
      <x:c r="M325" s="38"/>
      <x:c r="N325" s="38"/>
      <x:c r="O325" s="38"/>
      <x:c r="P325" s="38"/>
      <x:c r="Q325" s="38"/>
      <x:c r="R325" s="38"/>
      <x:c r="S325" s="38"/>
      <x:c r="T325" s="38"/>
      <x:c r="U325" s="38"/>
      <x:c r="V325" s="38"/>
      <x:c r="W325" s="38"/>
      <x:c r="X325" s="38"/>
      <x:c r="Y325" s="38"/>
      <x:c r="Z325" s="38"/>
    </x:row>
    <x:row r="326">
      <x:c r="A326" s="38"/>
      <x:c r="B326" s="38"/>
      <x:c r="C326" s="38"/>
      <x:c r="D326" s="38"/>
      <x:c r="E326" s="38"/>
      <x:c r="F326" s="38"/>
      <x:c r="G326" s="38"/>
      <x:c r="H326" s="38"/>
      <x:c r="I326" s="38"/>
      <x:c r="J326" s="38"/>
      <x:c r="K326" s="38"/>
      <x:c r="L326" s="38"/>
      <x:c r="M326" s="38"/>
      <x:c r="N326" s="38"/>
      <x:c r="O326" s="38"/>
      <x:c r="P326" s="38"/>
      <x:c r="Q326" s="38"/>
      <x:c r="R326" s="38"/>
      <x:c r="S326" s="38"/>
      <x:c r="T326" s="38"/>
      <x:c r="U326" s="38"/>
      <x:c r="V326" s="38"/>
      <x:c r="W326" s="38"/>
      <x:c r="X326" s="38"/>
      <x:c r="Y326" s="38"/>
      <x:c r="Z326" s="38"/>
    </x:row>
    <x:row r="327">
      <x:c r="A327" s="38"/>
      <x:c r="B327" s="38"/>
      <x:c r="C327" s="38"/>
      <x:c r="D327" s="38"/>
      <x:c r="E327" s="38"/>
      <x:c r="F327" s="38"/>
      <x:c r="G327" s="38"/>
      <x:c r="H327" s="38"/>
      <x:c r="I327" s="38"/>
      <x:c r="J327" s="38"/>
      <x:c r="K327" s="38"/>
      <x:c r="L327" s="38"/>
      <x:c r="M327" s="38"/>
      <x:c r="N327" s="38"/>
      <x:c r="O327" s="38"/>
      <x:c r="P327" s="38"/>
      <x:c r="Q327" s="38"/>
      <x:c r="R327" s="38"/>
      <x:c r="S327" s="38"/>
      <x:c r="T327" s="38"/>
      <x:c r="U327" s="38"/>
      <x:c r="V327" s="38"/>
      <x:c r="W327" s="38"/>
      <x:c r="X327" s="38"/>
      <x:c r="Y327" s="38"/>
      <x:c r="Z327" s="38"/>
    </x:row>
    <x:row r="328">
      <x:c r="A328" s="38"/>
      <x:c r="B328" s="38"/>
      <x:c r="C328" s="38"/>
      <x:c r="D328" s="38"/>
      <x:c r="E328" s="38"/>
      <x:c r="F328" s="38"/>
      <x:c r="G328" s="38"/>
      <x:c r="H328" s="38"/>
      <x:c r="I328" s="38"/>
      <x:c r="J328" s="38"/>
      <x:c r="K328" s="38"/>
      <x:c r="L328" s="38"/>
      <x:c r="M328" s="38"/>
      <x:c r="N328" s="38"/>
      <x:c r="O328" s="38"/>
      <x:c r="P328" s="38"/>
      <x:c r="Q328" s="38"/>
      <x:c r="R328" s="38"/>
      <x:c r="S328" s="38"/>
      <x:c r="T328" s="38"/>
      <x:c r="U328" s="38"/>
      <x:c r="V328" s="38"/>
      <x:c r="W328" s="38"/>
      <x:c r="X328" s="38"/>
      <x:c r="Y328" s="38"/>
      <x:c r="Z328" s="38"/>
    </x:row>
    <x:row r="329">
      <x:c r="A329" s="38"/>
      <x:c r="B329" s="38"/>
      <x:c r="C329" s="38"/>
      <x:c r="D329" s="38"/>
      <x:c r="E329" s="38"/>
      <x:c r="F329" s="38"/>
      <x:c r="G329" s="38"/>
      <x:c r="H329" s="38"/>
      <x:c r="I329" s="38"/>
      <x:c r="J329" s="38"/>
      <x:c r="K329" s="38"/>
      <x:c r="L329" s="38"/>
      <x:c r="M329" s="38"/>
      <x:c r="N329" s="38"/>
      <x:c r="O329" s="38"/>
      <x:c r="P329" s="38"/>
      <x:c r="Q329" s="38"/>
      <x:c r="R329" s="38"/>
      <x:c r="S329" s="38"/>
      <x:c r="T329" s="38"/>
      <x:c r="U329" s="38"/>
      <x:c r="V329" s="38"/>
      <x:c r="W329" s="38"/>
      <x:c r="X329" s="38"/>
      <x:c r="Y329" s="38"/>
      <x:c r="Z329" s="38"/>
    </x:row>
    <x:row r="330">
      <x:c r="A330" s="38"/>
      <x:c r="B330" s="38"/>
      <x:c r="C330" s="38"/>
      <x:c r="D330" s="38"/>
      <x:c r="E330" s="38"/>
      <x:c r="F330" s="38"/>
      <x:c r="G330" s="38"/>
      <x:c r="H330" s="38"/>
      <x:c r="I330" s="38"/>
      <x:c r="J330" s="38"/>
      <x:c r="K330" s="38"/>
      <x:c r="L330" s="38"/>
      <x:c r="M330" s="38"/>
      <x:c r="N330" s="38"/>
      <x:c r="O330" s="38"/>
      <x:c r="P330" s="38"/>
      <x:c r="Q330" s="38"/>
      <x:c r="R330" s="38"/>
      <x:c r="S330" s="38"/>
      <x:c r="T330" s="38"/>
      <x:c r="U330" s="38"/>
      <x:c r="V330" s="38"/>
      <x:c r="W330" s="38"/>
      <x:c r="X330" s="38"/>
      <x:c r="Y330" s="38"/>
      <x:c r="Z330" s="38"/>
    </x:row>
    <x:row r="331">
      <x:c r="A331" s="38"/>
      <x:c r="B331" s="38"/>
      <x:c r="C331" s="38"/>
      <x:c r="D331" s="38"/>
      <x:c r="E331" s="38"/>
      <x:c r="F331" s="38"/>
      <x:c r="G331" s="38"/>
      <x:c r="H331" s="38"/>
      <x:c r="I331" s="38"/>
      <x:c r="J331" s="38"/>
      <x:c r="K331" s="38"/>
      <x:c r="L331" s="38"/>
      <x:c r="M331" s="38"/>
      <x:c r="N331" s="38"/>
      <x:c r="O331" s="38"/>
      <x:c r="P331" s="38"/>
      <x:c r="Q331" s="38"/>
      <x:c r="R331" s="38"/>
      <x:c r="S331" s="38"/>
      <x:c r="T331" s="38"/>
      <x:c r="U331" s="38"/>
      <x:c r="V331" s="38"/>
      <x:c r="W331" s="38"/>
      <x:c r="X331" s="38"/>
      <x:c r="Y331" s="38"/>
      <x:c r="Z331" s="38"/>
    </x:row>
    <x:row r="332">
      <x:c r="A332" s="38"/>
      <x:c r="B332" s="38"/>
      <x:c r="C332" s="38"/>
      <x:c r="D332" s="38"/>
      <x:c r="E332" s="38"/>
      <x:c r="F332" s="38"/>
      <x:c r="G332" s="38"/>
      <x:c r="H332" s="38"/>
      <x:c r="I332" s="38"/>
      <x:c r="J332" s="38"/>
      <x:c r="K332" s="38"/>
      <x:c r="L332" s="38"/>
      <x:c r="M332" s="38"/>
      <x:c r="N332" s="38"/>
      <x:c r="O332" s="38"/>
      <x:c r="P332" s="38"/>
      <x:c r="Q332" s="38"/>
      <x:c r="R332" s="38"/>
      <x:c r="S332" s="38"/>
      <x:c r="T332" s="38"/>
      <x:c r="U332" s="38"/>
      <x:c r="V332" s="38"/>
      <x:c r="W332" s="38"/>
      <x:c r="X332" s="38"/>
      <x:c r="Y332" s="38"/>
      <x:c r="Z332" s="38"/>
    </x:row>
    <x:row r="333">
      <x:c r="A333" s="38"/>
      <x:c r="B333" s="38"/>
      <x:c r="C333" s="38"/>
      <x:c r="D333" s="38"/>
      <x:c r="E333" s="38"/>
      <x:c r="F333" s="38"/>
      <x:c r="G333" s="38"/>
      <x:c r="H333" s="38"/>
      <x:c r="I333" s="38"/>
      <x:c r="J333" s="38"/>
      <x:c r="K333" s="38"/>
      <x:c r="L333" s="38"/>
      <x:c r="M333" s="38"/>
      <x:c r="N333" s="38"/>
      <x:c r="O333" s="38"/>
      <x:c r="P333" s="38"/>
      <x:c r="Q333" s="38"/>
      <x:c r="R333" s="38"/>
      <x:c r="S333" s="38"/>
      <x:c r="T333" s="38"/>
      <x:c r="U333" s="38"/>
      <x:c r="V333" s="38"/>
      <x:c r="W333" s="38"/>
      <x:c r="X333" s="38"/>
      <x:c r="Y333" s="38"/>
      <x:c r="Z333" s="38"/>
    </x:row>
    <x:row r="334">
      <x:c r="A334" s="38"/>
      <x:c r="B334" s="38"/>
      <x:c r="C334" s="38"/>
      <x:c r="D334" s="38"/>
      <x:c r="E334" s="38"/>
      <x:c r="F334" s="38"/>
      <x:c r="G334" s="38"/>
      <x:c r="H334" s="38"/>
      <x:c r="I334" s="38"/>
      <x:c r="J334" s="38"/>
      <x:c r="K334" s="38"/>
      <x:c r="L334" s="38"/>
      <x:c r="M334" s="38"/>
      <x:c r="N334" s="38"/>
      <x:c r="O334" s="38"/>
      <x:c r="P334" s="38"/>
      <x:c r="Q334" s="38"/>
      <x:c r="R334" s="38"/>
      <x:c r="S334" s="38"/>
      <x:c r="T334" s="38"/>
      <x:c r="U334" s="38"/>
      <x:c r="V334" s="38"/>
      <x:c r="W334" s="38"/>
      <x:c r="X334" s="38"/>
      <x:c r="Y334" s="38"/>
      <x:c r="Z334" s="38"/>
    </x:row>
    <x:row r="335">
      <x:c r="A335" s="38"/>
      <x:c r="B335" s="38"/>
      <x:c r="C335" s="38"/>
      <x:c r="D335" s="38"/>
      <x:c r="E335" s="38"/>
      <x:c r="F335" s="38"/>
      <x:c r="G335" s="38"/>
      <x:c r="H335" s="38"/>
      <x:c r="I335" s="38"/>
      <x:c r="J335" s="38"/>
      <x:c r="K335" s="38"/>
      <x:c r="L335" s="38"/>
      <x:c r="M335" s="38"/>
      <x:c r="N335" s="38"/>
      <x:c r="O335" s="38"/>
      <x:c r="P335" s="38"/>
      <x:c r="Q335" s="38"/>
      <x:c r="R335" s="38"/>
      <x:c r="S335" s="38"/>
      <x:c r="T335" s="38"/>
      <x:c r="U335" s="38"/>
      <x:c r="V335" s="38"/>
      <x:c r="W335" s="38"/>
      <x:c r="X335" s="38"/>
      <x:c r="Y335" s="38"/>
      <x:c r="Z335" s="38"/>
    </x:row>
    <x:row r="336">
      <x:c r="A336" s="38"/>
      <x:c r="B336" s="38"/>
      <x:c r="C336" s="38"/>
      <x:c r="D336" s="38"/>
      <x:c r="E336" s="38"/>
      <x:c r="F336" s="38"/>
      <x:c r="G336" s="38"/>
      <x:c r="H336" s="38"/>
      <x:c r="I336" s="38"/>
      <x:c r="J336" s="38"/>
      <x:c r="K336" s="38"/>
      <x:c r="L336" s="38"/>
      <x:c r="M336" s="38"/>
      <x:c r="N336" s="38"/>
      <x:c r="O336" s="38"/>
      <x:c r="P336" s="38"/>
      <x:c r="Q336" s="38"/>
      <x:c r="R336" s="38"/>
      <x:c r="S336" s="38"/>
      <x:c r="T336" s="38"/>
      <x:c r="U336" s="38"/>
      <x:c r="V336" s="38"/>
      <x:c r="W336" s="38"/>
      <x:c r="X336" s="38"/>
      <x:c r="Y336" s="38"/>
      <x:c r="Z336" s="38"/>
    </x:row>
    <x:row r="337">
      <x:c r="A337" s="38"/>
      <x:c r="B337" s="38"/>
      <x:c r="C337" s="38"/>
      <x:c r="D337" s="38"/>
      <x:c r="E337" s="38"/>
      <x:c r="F337" s="38"/>
      <x:c r="G337" s="38"/>
      <x:c r="H337" s="38"/>
      <x:c r="I337" s="38"/>
      <x:c r="J337" s="38"/>
      <x:c r="K337" s="38"/>
      <x:c r="L337" s="38"/>
      <x:c r="M337" s="38"/>
      <x:c r="N337" s="38"/>
      <x:c r="O337" s="38"/>
      <x:c r="P337" s="38"/>
      <x:c r="Q337" s="38"/>
      <x:c r="R337" s="38"/>
      <x:c r="S337" s="38"/>
      <x:c r="T337" s="38"/>
      <x:c r="U337" s="38"/>
      <x:c r="V337" s="38"/>
      <x:c r="W337" s="38"/>
      <x:c r="X337" s="38"/>
      <x:c r="Y337" s="38"/>
      <x:c r="Z337" s="38"/>
    </x:row>
    <x:row r="338">
      <x:c r="A338" s="38"/>
      <x:c r="B338" s="38"/>
      <x:c r="C338" s="38"/>
      <x:c r="D338" s="38"/>
      <x:c r="E338" s="38"/>
      <x:c r="F338" s="38"/>
      <x:c r="G338" s="38"/>
      <x:c r="H338" s="38"/>
      <x:c r="I338" s="38"/>
      <x:c r="J338" s="38"/>
      <x:c r="K338" s="38"/>
      <x:c r="L338" s="38"/>
      <x:c r="M338" s="38"/>
      <x:c r="N338" s="38"/>
      <x:c r="O338" s="38"/>
      <x:c r="P338" s="38"/>
      <x:c r="Q338" s="38"/>
      <x:c r="R338" s="38"/>
      <x:c r="S338" s="38"/>
      <x:c r="T338" s="38"/>
      <x:c r="U338" s="38"/>
      <x:c r="V338" s="38"/>
      <x:c r="W338" s="38"/>
      <x:c r="X338" s="38"/>
      <x:c r="Y338" s="38"/>
      <x:c r="Z338" s="38"/>
    </x:row>
    <x:row r="339">
      <x:c r="A339" s="38"/>
      <x:c r="B339" s="38"/>
      <x:c r="C339" s="38"/>
      <x:c r="D339" s="38"/>
      <x:c r="E339" s="38"/>
      <x:c r="F339" s="38"/>
      <x:c r="G339" s="38"/>
      <x:c r="H339" s="38"/>
      <x:c r="I339" s="38"/>
      <x:c r="J339" s="38"/>
      <x:c r="K339" s="38"/>
      <x:c r="L339" s="38"/>
      <x:c r="M339" s="38"/>
      <x:c r="N339" s="38"/>
      <x:c r="O339" s="38"/>
      <x:c r="P339" s="38"/>
      <x:c r="Q339" s="38"/>
      <x:c r="R339" s="38"/>
      <x:c r="S339" s="38"/>
      <x:c r="T339" s="38"/>
      <x:c r="U339" s="38"/>
      <x:c r="V339" s="38"/>
      <x:c r="W339" s="38"/>
      <x:c r="X339" s="38"/>
      <x:c r="Y339" s="38"/>
      <x:c r="Z339" s="38"/>
    </x:row>
    <x:row r="340">
      <x:c r="A340" s="38"/>
      <x:c r="B340" s="38"/>
      <x:c r="C340" s="38"/>
      <x:c r="D340" s="38"/>
      <x:c r="E340" s="38"/>
      <x:c r="F340" s="38"/>
      <x:c r="G340" s="38"/>
      <x:c r="H340" s="38"/>
      <x:c r="I340" s="38"/>
      <x:c r="J340" s="38"/>
      <x:c r="K340" s="38"/>
      <x:c r="L340" s="38"/>
      <x:c r="M340" s="38"/>
      <x:c r="N340" s="38"/>
      <x:c r="O340" s="38"/>
      <x:c r="P340" s="38"/>
      <x:c r="Q340" s="38"/>
      <x:c r="R340" s="38"/>
      <x:c r="S340" s="38"/>
      <x:c r="T340" s="38"/>
      <x:c r="U340" s="38"/>
      <x:c r="V340" s="38"/>
      <x:c r="W340" s="38"/>
      <x:c r="X340" s="38"/>
      <x:c r="Y340" s="38"/>
      <x:c r="Z340" s="38"/>
    </x:row>
    <x:row r="341">
      <x:c r="A341" s="38"/>
      <x:c r="B341" s="38"/>
      <x:c r="C341" s="38"/>
      <x:c r="D341" s="38"/>
      <x:c r="E341" s="38"/>
      <x:c r="F341" s="38"/>
      <x:c r="G341" s="38"/>
      <x:c r="H341" s="38"/>
      <x:c r="I341" s="38"/>
      <x:c r="J341" s="38"/>
      <x:c r="K341" s="38"/>
      <x:c r="L341" s="38"/>
      <x:c r="M341" s="38"/>
      <x:c r="N341" s="38"/>
      <x:c r="O341" s="38"/>
      <x:c r="P341" s="38"/>
      <x:c r="Q341" s="38"/>
      <x:c r="R341" s="38"/>
      <x:c r="S341" s="38"/>
      <x:c r="T341" s="38"/>
      <x:c r="U341" s="38"/>
      <x:c r="V341" s="38"/>
      <x:c r="W341" s="38"/>
      <x:c r="X341" s="38"/>
      <x:c r="Y341" s="38"/>
      <x:c r="Z341" s="38"/>
    </x:row>
    <x:row r="342">
      <x:c r="A342" s="38"/>
      <x:c r="B342" s="38"/>
      <x:c r="C342" s="38"/>
      <x:c r="D342" s="38"/>
      <x:c r="E342" s="38"/>
      <x:c r="F342" s="38"/>
      <x:c r="G342" s="38"/>
      <x:c r="H342" s="38"/>
      <x:c r="I342" s="38"/>
      <x:c r="J342" s="38"/>
      <x:c r="K342" s="38"/>
      <x:c r="L342" s="38"/>
      <x:c r="M342" s="38"/>
      <x:c r="N342" s="38"/>
      <x:c r="O342" s="38"/>
      <x:c r="P342" s="38"/>
      <x:c r="Q342" s="38"/>
      <x:c r="R342" s="38"/>
      <x:c r="S342" s="38"/>
      <x:c r="T342" s="38"/>
      <x:c r="U342" s="38"/>
      <x:c r="V342" s="38"/>
      <x:c r="W342" s="38"/>
      <x:c r="X342" s="38"/>
      <x:c r="Y342" s="38"/>
      <x:c r="Z342" s="38"/>
    </x:row>
    <x:row r="343">
      <x:c r="A343" s="38"/>
      <x:c r="B343" s="38"/>
      <x:c r="C343" s="38"/>
      <x:c r="D343" s="38"/>
      <x:c r="E343" s="38"/>
      <x:c r="F343" s="38"/>
      <x:c r="G343" s="38"/>
      <x:c r="H343" s="38"/>
      <x:c r="I343" s="38"/>
      <x:c r="J343" s="38"/>
      <x:c r="K343" s="38"/>
      <x:c r="L343" s="38"/>
      <x:c r="M343" s="38"/>
      <x:c r="N343" s="38"/>
      <x:c r="O343" s="38"/>
      <x:c r="P343" s="38"/>
      <x:c r="Q343" s="38"/>
      <x:c r="R343" s="38"/>
      <x:c r="S343" s="38"/>
      <x:c r="T343" s="38"/>
      <x:c r="U343" s="38"/>
      <x:c r="V343" s="38"/>
      <x:c r="W343" s="38"/>
      <x:c r="X343" s="38"/>
      <x:c r="Y343" s="38"/>
      <x:c r="Z343" s="38"/>
    </x:row>
    <x:row r="344">
      <x:c r="A344" s="38"/>
      <x:c r="B344" s="38"/>
      <x:c r="C344" s="38"/>
      <x:c r="D344" s="38"/>
      <x:c r="E344" s="38"/>
      <x:c r="F344" s="38"/>
      <x:c r="G344" s="38"/>
      <x:c r="H344" s="38"/>
      <x:c r="I344" s="38"/>
      <x:c r="J344" s="38"/>
      <x:c r="K344" s="38"/>
      <x:c r="L344" s="38"/>
      <x:c r="M344" s="38"/>
      <x:c r="N344" s="38"/>
      <x:c r="O344" s="38"/>
      <x:c r="P344" s="38"/>
      <x:c r="Q344" s="38"/>
      <x:c r="R344" s="38"/>
      <x:c r="S344" s="38"/>
      <x:c r="T344" s="38"/>
      <x:c r="U344" s="38"/>
      <x:c r="V344" s="38"/>
      <x:c r="W344" s="38"/>
      <x:c r="X344" s="38"/>
      <x:c r="Y344" s="38"/>
      <x:c r="Z344" s="38"/>
    </x:row>
    <x:row r="345">
      <x:c r="A345" s="38"/>
      <x:c r="B345" s="38"/>
      <x:c r="C345" s="38"/>
      <x:c r="D345" s="38"/>
      <x:c r="E345" s="38"/>
      <x:c r="F345" s="38"/>
      <x:c r="G345" s="38"/>
      <x:c r="H345" s="38"/>
      <x:c r="I345" s="38"/>
      <x:c r="J345" s="38"/>
      <x:c r="K345" s="38"/>
      <x:c r="L345" s="38"/>
      <x:c r="M345" s="38"/>
      <x:c r="N345" s="38"/>
      <x:c r="O345" s="38"/>
      <x:c r="P345" s="38"/>
      <x:c r="Q345" s="38"/>
      <x:c r="R345" s="38"/>
      <x:c r="S345" s="38"/>
      <x:c r="T345" s="38"/>
      <x:c r="U345" s="38"/>
      <x:c r="V345" s="38"/>
      <x:c r="W345" s="38"/>
      <x:c r="X345" s="38"/>
      <x:c r="Y345" s="38"/>
      <x:c r="Z345" s="38"/>
    </x:row>
    <x:row r="346">
      <x:c r="A346" s="38"/>
      <x:c r="B346" s="38"/>
      <x:c r="C346" s="38"/>
      <x:c r="D346" s="38"/>
      <x:c r="E346" s="38"/>
      <x:c r="F346" s="38"/>
      <x:c r="G346" s="38"/>
      <x:c r="H346" s="38"/>
      <x:c r="I346" s="38"/>
      <x:c r="J346" s="38"/>
      <x:c r="K346" s="38"/>
      <x:c r="L346" s="38"/>
      <x:c r="M346" s="38"/>
      <x:c r="N346" s="38"/>
      <x:c r="O346" s="38"/>
      <x:c r="P346" s="38"/>
      <x:c r="Q346" s="38"/>
      <x:c r="R346" s="38"/>
      <x:c r="S346" s="38"/>
      <x:c r="T346" s="38"/>
      <x:c r="U346" s="38"/>
      <x:c r="V346" s="38"/>
      <x:c r="W346" s="38"/>
      <x:c r="X346" s="38"/>
      <x:c r="Y346" s="38"/>
      <x:c r="Z346" s="38"/>
    </x:row>
    <x:row r="347">
      <x:c r="A347" s="38"/>
      <x:c r="B347" s="38"/>
      <x:c r="C347" s="38"/>
      <x:c r="D347" s="38"/>
      <x:c r="E347" s="38"/>
      <x:c r="F347" s="38"/>
      <x:c r="G347" s="38"/>
      <x:c r="H347" s="38"/>
      <x:c r="I347" s="38"/>
      <x:c r="J347" s="38"/>
      <x:c r="K347" s="38"/>
      <x:c r="L347" s="38"/>
      <x:c r="M347" s="38"/>
      <x:c r="N347" s="38"/>
      <x:c r="O347" s="38"/>
      <x:c r="P347" s="38"/>
      <x:c r="Q347" s="38"/>
      <x:c r="R347" s="38"/>
      <x:c r="S347" s="38"/>
      <x:c r="T347" s="38"/>
      <x:c r="U347" s="38"/>
      <x:c r="V347" s="38"/>
      <x:c r="W347" s="38"/>
      <x:c r="X347" s="38"/>
      <x:c r="Y347" s="38"/>
      <x:c r="Z347" s="38"/>
    </x:row>
    <x:row r="348">
      <x:c r="A348" s="38"/>
      <x:c r="B348" s="38"/>
      <x:c r="C348" s="38"/>
      <x:c r="D348" s="38"/>
      <x:c r="E348" s="38"/>
      <x:c r="F348" s="38"/>
      <x:c r="G348" s="38"/>
      <x:c r="H348" s="38"/>
      <x:c r="I348" s="38"/>
      <x:c r="J348" s="38"/>
      <x:c r="K348" s="38"/>
      <x:c r="L348" s="38"/>
      <x:c r="M348" s="38"/>
      <x:c r="N348" s="38"/>
      <x:c r="O348" s="38"/>
      <x:c r="P348" s="38"/>
      <x:c r="Q348" s="38"/>
      <x:c r="R348" s="38"/>
      <x:c r="S348" s="38"/>
      <x:c r="T348" s="38"/>
      <x:c r="U348" s="38"/>
      <x:c r="V348" s="38"/>
      <x:c r="W348" s="38"/>
      <x:c r="X348" s="38"/>
      <x:c r="Y348" s="38"/>
      <x:c r="Z348" s="38"/>
    </x:row>
    <x:row r="349">
      <x:c r="A349" s="38"/>
      <x:c r="B349" s="38"/>
      <x:c r="C349" s="38"/>
      <x:c r="D349" s="38"/>
      <x:c r="E349" s="38"/>
      <x:c r="F349" s="38"/>
      <x:c r="G349" s="38"/>
      <x:c r="H349" s="38"/>
      <x:c r="I349" s="38"/>
      <x:c r="J349" s="38"/>
      <x:c r="K349" s="38"/>
      <x:c r="L349" s="38"/>
      <x:c r="M349" s="38"/>
      <x:c r="N349" s="38"/>
      <x:c r="O349" s="38"/>
      <x:c r="P349" s="38"/>
      <x:c r="Q349" s="38"/>
      <x:c r="R349" s="38"/>
      <x:c r="S349" s="38"/>
      <x:c r="T349" s="38"/>
      <x:c r="U349" s="38"/>
      <x:c r="V349" s="38"/>
      <x:c r="W349" s="38"/>
      <x:c r="X349" s="38"/>
      <x:c r="Y349" s="38"/>
      <x:c r="Z349" s="38"/>
    </x:row>
    <x:row r="350">
      <x:c r="A350" s="38"/>
      <x:c r="B350" s="38"/>
      <x:c r="C350" s="38"/>
      <x:c r="D350" s="38"/>
      <x:c r="E350" s="38"/>
      <x:c r="F350" s="38"/>
      <x:c r="G350" s="38"/>
      <x:c r="H350" s="38"/>
      <x:c r="I350" s="38"/>
      <x:c r="J350" s="38"/>
      <x:c r="K350" s="38"/>
      <x:c r="L350" s="38"/>
      <x:c r="M350" s="38"/>
      <x:c r="N350" s="38"/>
      <x:c r="O350" s="38"/>
      <x:c r="P350" s="38"/>
      <x:c r="Q350" s="38"/>
      <x:c r="R350" s="38"/>
      <x:c r="S350" s="38"/>
      <x:c r="T350" s="38"/>
      <x:c r="U350" s="38"/>
      <x:c r="V350" s="38"/>
      <x:c r="W350" s="38"/>
      <x:c r="X350" s="38"/>
      <x:c r="Y350" s="38"/>
      <x:c r="Z350" s="38"/>
    </x:row>
  </x:sheetData>
  <x:mergeCells>
    <x:mergeCell ref="A1:D1"/>
    <x:mergeCell ref="A2:D2"/>
    <x:mergeCell ref="A21:D22"/>
  </x:mergeCells>
  <x:pageMargins left="0.7" right="0.7" top="0.75" bottom="0.75" header="0.3" footer="0.3"/>
  <x:tableParts count="1">
    <x:tablePart xmlns:r="http://schemas.openxmlformats.org/officeDocument/2006/relationships" r:id="R009d5ddf18f6474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20" hidden="0" customWidth="1"/>
    <x:col min="4" max="4" width="52" hidden="0" customWidth="1"/>
    <x:col min="5" max="5" width="24" hidden="0" customWidth="1"/>
    <x:col min="6" max="6" width="18" hidden="0" customWidth="1"/>
    <x:col min="7" max="7" width="12" hidden="0" customWidth="1"/>
    <x:col min="8" max="8" width="14" hidden="0" customWidth="1"/>
    <x:col min="9" max="9" width="46" hidden="0" customWidth="1"/>
  </x:cols>
  <x:sheetData>
    <x:row r="1" ht="28" customHeight="1">
      <x:c r="A1" s="5" t="str">
        <x:v>01 — VCF Products / Components</x:v>
      </x:c>
    </x:row>
    <x:row r="2" ht="32" customHeight="1">
      <x:c r="A2" s="14" t="str">
        <x:v>Customer-facing product/component layer. Target volume: about 12 rows. Product_ID is stable and must not be recycled after approval.</x:v>
      </x:c>
    </x:row>
    <x:row r="4" ht="36" customHeight="1">
      <x:c r="A4" s="24" t="str">
        <x:v>Product_ID</x:v>
      </x:c>
      <x:c r="B4" s="24" t="str">
        <x:v>Product_Name</x:v>
      </x:c>
      <x:c r="C4" s="24" t="str">
        <x:v>Product_Type</x:v>
      </x:c>
      <x:c r="D4" s="24" t="str">
        <x:v>Product_Description</x:v>
      </x:c>
      <x:c r="E4" s="24" t="str">
        <x:v>Customer_Facing_Label</x:v>
      </x:c>
      <x:c r="F4" s="24" t="str">
        <x:v>Assessment_Included</x:v>
      </x:c>
      <x:c r="G4" s="24" t="str">
        <x:v>Sort_Order</x:v>
      </x:c>
      <x:c r="H4" s="24" t="str">
        <x:v>Status</x:v>
      </x:c>
      <x:c r="I4" s="24" t="str">
        <x:v>Notes</x:v>
      </x:c>
      <x:c r="J4" s="38"/>
      <x:c r="K4" s="38"/>
      <x:c r="L4" s="38"/>
      <x:c r="M4" s="38"/>
      <x:c r="N4" s="38"/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</x:row>
    <x:row r="5">
      <x:c r="A5" s="32" t="str">
        <x:v>PC-VCENTER</x:v>
      </x:c>
      <x:c r="B5" s="32" t="str">
        <x:v>vCenter Server</x:v>
      </x:c>
      <x:c r="C5" s="32" t="str">
        <x:v>Management</x:v>
      </x:c>
      <x:c r="D5" s="32" t="str">
        <x:v>Centralized virtualization management, inventory, permissions, clustering, and VM lifecycle control.</x:v>
      </x:c>
      <x:c r="E5" s="32" t="str">
        <x:v>vCenter</x:v>
      </x:c>
      <x:c r="F5" s="32" t="str">
        <x:v>Yes</x:v>
      </x:c>
      <x:c r="G5" s="32" t="n">
        <x:v>10</x:v>
      </x:c>
      <x:c r="H5" s="32" t="str">
        <x:v>Draft</x:v>
      </x:c>
      <x:c r="I5" s="32" t="str">
        <x:v>Starter row; validate naming and scope.</x:v>
      </x:c>
      <x:c r="J5" s="38"/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</x:row>
    <x:row r="6">
      <x:c r="A6" s="32" t="str">
        <x:v>PC-ESXI</x:v>
      </x:c>
      <x:c r="B6" s="32" t="str">
        <x:v>ESXi / vSphere Hypervisor</x:v>
      </x:c>
      <x:c r="C6" s="32" t="str">
        <x:v>Compute</x:v>
      </x:c>
      <x:c r="D6" s="32" t="str">
        <x:v>Compute virtualization foundation for hosts, clusters, VM execution, and resource scheduling.</x:v>
      </x:c>
      <x:c r="E6" s="32" t="str">
        <x:v>ESXi / vSphere</x:v>
      </x:c>
      <x:c r="F6" s="32" t="str">
        <x:v>Yes</x:v>
      </x:c>
      <x:c r="G6" s="32" t="n">
        <x:v>20</x:v>
      </x:c>
      <x:c r="H6" s="32" t="str">
        <x:v>Draft</x:v>
      </x:c>
      <x:c r="I6" s="32" t="str">
        <x:v>Starter row; validate product/component boundary.</x:v>
      </x:c>
      <x:c r="J6" s="38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</x:row>
    <x:row r="7">
      <x:c r="A7" s="32" t="str">
        <x:v>PC-VSAN</x:v>
      </x:c>
      <x:c r="B7" s="32" t="str">
        <x:v>vSAN</x:v>
      </x:c>
      <x:c r="C7" s="32" t="str">
        <x:v>Storage</x:v>
      </x:c>
      <x:c r="D7" s="32" t="str">
        <x:v>Hyperconverged storage services, policy-based storage, resiliency, and cluster storage operations.</x:v>
      </x:c>
      <x:c r="E7" s="32" t="str">
        <x:v>vSAN</x:v>
      </x:c>
      <x:c r="F7" s="32" t="str">
        <x:v>Yes</x:v>
      </x:c>
      <x:c r="G7" s="32" t="n">
        <x:v>30</x:v>
      </x:c>
      <x:c r="H7" s="32" t="str">
        <x:v>Draft</x:v>
      </x:c>
      <x:c r="I7" s="32" t="str">
        <x:v>Starter row.</x:v>
      </x:c>
      <x:c r="J7" s="38"/>
      <x:c r="K7" s="38"/>
      <x:c r="L7" s="38"/>
      <x:c r="M7" s="38"/>
      <x:c r="N7" s="38"/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</x:row>
    <x:row r="8">
      <x:c r="A8" s="32" t="str">
        <x:v>PC-NSX</x:v>
      </x:c>
      <x:c r="B8" s="32" t="str">
        <x:v>NSX</x:v>
      </x:c>
      <x:c r="C8" s="32" t="str">
        <x:v>Network / Security</x:v>
      </x:c>
      <x:c r="D8" s="32" t="str">
        <x:v>Network virtualization, overlay networking, routing, firewalling, and segmentation capabilities.</x:v>
      </x:c>
      <x:c r="E8" s="32" t="str">
        <x:v>NSX</x:v>
      </x:c>
      <x:c r="F8" s="32" t="str">
        <x:v>Yes</x:v>
      </x:c>
      <x:c r="G8" s="32" t="n">
        <x:v>40</x:v>
      </x:c>
      <x:c r="H8" s="32" t="str">
        <x:v>Draft</x:v>
      </x:c>
      <x:c r="I8" s="32" t="str">
        <x:v>Starter row.</x:v>
      </x:c>
      <x:c r="J8" s="38"/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</x:row>
    <x:row r="9">
      <x:c r="A9" s="32" t="str">
        <x:v>PC-SDDC-MGR</x:v>
      </x:c>
      <x:c r="B9" s="32" t="str">
        <x:v>SDDC Manager</x:v>
      </x:c>
      <x:c r="C9" s="32" t="str">
        <x:v>Lifecycle</x:v>
      </x:c>
      <x:c r="D9" s="32" t="str">
        <x:v>VCF domain management, lifecycle orchestration, bill-of-materials alignment, and workload domain operations.</x:v>
      </x:c>
      <x:c r="E9" s="32" t="str">
        <x:v>SDDC Manager</x:v>
      </x:c>
      <x:c r="F9" s="32" t="str">
        <x:v>Yes</x:v>
      </x:c>
      <x:c r="G9" s="32" t="n">
        <x:v>50</x:v>
      </x:c>
      <x:c r="H9" s="32" t="str">
        <x:v>Draft</x:v>
      </x:c>
      <x:c r="I9" s="32" t="str">
        <x:v>Starter row.</x:v>
      </x:c>
      <x:c r="J9" s="38"/>
      <x:c r="K9" s="38"/>
      <x:c r="L9" s="38"/>
      <x:c r="M9" s="38"/>
      <x:c r="N9" s="38"/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</x:row>
    <x:row r="10">
      <x:c r="A10" s="32" t="str">
        <x:v>PC-ARIA-OPS</x:v>
      </x:c>
      <x:c r="B10" s="32" t="str">
        <x:v>Aria Operations</x:v>
      </x:c>
      <x:c r="C10" s="32" t="str">
        <x:v>Operations</x:v>
      </x:c>
      <x:c r="D10" s="32" t="str">
        <x:v>Operations monitoring, capacity, performance, alerting, and operational analytics.</x:v>
      </x:c>
      <x:c r="E10" s="32" t="str">
        <x:v>Aria Operations</x:v>
      </x:c>
      <x:c r="F10" s="32" t="str">
        <x:v>Yes</x:v>
      </x:c>
      <x:c r="G10" s="32" t="n">
        <x:v>60</x:v>
      </x:c>
      <x:c r="H10" s="32" t="str">
        <x:v>Draft</x:v>
      </x:c>
      <x:c r="I10" s="32" t="str">
        <x:v>Starter row.</x:v>
      </x:c>
      <x:c r="J10" s="38"/>
      <x:c r="K10" s="38"/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</x:row>
    <x:row r="11">
      <x:c r="A11" s="32" t="str">
        <x:v>PC-ARIA-LOGS</x:v>
      </x:c>
      <x:c r="B11" s="32" t="str">
        <x:v>Aria Operations for Logs</x:v>
      </x:c>
      <x:c r="C11" s="32" t="str">
        <x:v>Operations</x:v>
      </x:c>
      <x:c r="D11" s="32" t="str">
        <x:v>Log collection, search, analytics, troubleshooting, and operational log correlation.</x:v>
      </x:c>
      <x:c r="E11" s="32" t="str">
        <x:v>Aria Logs</x:v>
      </x:c>
      <x:c r="F11" s="32" t="str">
        <x:v>Yes</x:v>
      </x:c>
      <x:c r="G11" s="32" t="n">
        <x:v>70</x:v>
      </x:c>
      <x:c r="H11" s="32" t="str">
        <x:v>Draft</x:v>
      </x:c>
      <x:c r="I11" s="32" t="str">
        <x:v>Starter row.</x:v>
      </x:c>
      <x:c r="J11" s="38"/>
      <x:c r="K11" s="38"/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</x:row>
    <x:row r="12">
      <x:c r="A12" s="32" t="str">
        <x:v>PC-ARIA-AUTO</x:v>
      </x:c>
      <x:c r="B12" s="32" t="str">
        <x:v>Aria Automation</x:v>
      </x:c>
      <x:c r="C12" s="32" t="str">
        <x:v>Automation</x:v>
      </x:c>
      <x:c r="D12" s="32" t="str">
        <x:v>Self-service automation, blueprinting, orchestration, and policy-driven provisioning.</x:v>
      </x:c>
      <x:c r="E12" s="32" t="str">
        <x:v>Aria Automation</x:v>
      </x:c>
      <x:c r="F12" s="32" t="str">
        <x:v>Yes</x:v>
      </x:c>
      <x:c r="G12" s="32" t="n">
        <x:v>80</x:v>
      </x:c>
      <x:c r="H12" s="32" t="str">
        <x:v>Draft</x:v>
      </x:c>
      <x:c r="I12" s="32" t="str">
        <x:v>Starter row.</x:v>
      </x:c>
      <x:c r="J12" s="38"/>
      <x:c r="K12" s="38"/>
      <x:c r="L12" s="38"/>
      <x:c r="M12" s="38"/>
      <x:c r="N12" s="38"/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</x:row>
    <x:row r="13">
      <x:c r="A13" s="32" t="str">
        <x:v>PC-HCX</x:v>
      </x:c>
      <x:c r="B13" s="32" t="str">
        <x:v>HCX</x:v>
      </x:c>
      <x:c r="C13" s="32" t="str">
        <x:v>Migration</x:v>
      </x:c>
      <x:c r="D13" s="32" t="str">
        <x:v>Workload mobility, migration orchestration, network extension, and migration planning capabilities.</x:v>
      </x:c>
      <x:c r="E13" s="32" t="str">
        <x:v>HCX</x:v>
      </x:c>
      <x:c r="F13" s="32" t="str">
        <x:v>Yes</x:v>
      </x:c>
      <x:c r="G13" s="32" t="n">
        <x:v>90</x:v>
      </x:c>
      <x:c r="H13" s="32" t="str">
        <x:v>Draft</x:v>
      </x:c>
      <x:c r="I13" s="32" t="str">
        <x:v>Starter row.</x:v>
      </x:c>
      <x:c r="J13" s="38"/>
      <x:c r="K13" s="38"/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</x:row>
    <x:row r="14">
      <x:c r="A14" s="32" t="str">
        <x:v>PC-TANZU</x:v>
      </x:c>
      <x:c r="B14" s="32" t="str">
        <x:v>Tanzu / Kubernetes Services</x:v>
      </x:c>
      <x:c r="C14" s="32" t="str">
        <x:v>Kubernetes</x:v>
      </x:c>
      <x:c r="D14" s="32" t="str">
        <x:v>Kubernetes enablement, cluster lifecycle, and container platform integration where used with VCF.</x:v>
      </x:c>
      <x:c r="E14" s="32" t="str">
        <x:v>Tanzu</x:v>
      </x:c>
      <x:c r="F14" s="32" t="str">
        <x:v>Yes</x:v>
      </x:c>
      <x:c r="G14" s="32" t="n">
        <x:v>100</x:v>
      </x:c>
      <x:c r="H14" s="32" t="str">
        <x:v>Draft</x:v>
      </x:c>
      <x:c r="I14" s="32" t="str">
        <x:v>Starter row; may be optional depending on scope.</x:v>
      </x:c>
      <x:c r="J14" s="38"/>
      <x:c r="K14" s="38"/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</x:row>
    <x:row r="15">
      <x:c r="A15" s="32" t="str">
        <x:v>PC-IAM</x:v>
      </x:c>
      <x:c r="B15" s="32" t="str">
        <x:v>Identity, Access, and Policy Controls</x:v>
      </x:c>
      <x:c r="C15" s="32" t="str">
        <x:v>Security / Governance</x:v>
      </x:c>
      <x:c r="D15" s="32" t="str">
        <x:v>Cross-component identity integration, RBAC, policy control, and administrative access governance.</x:v>
      </x:c>
      <x:c r="E15" s="32" t="str">
        <x:v>Identity / Access</x:v>
      </x:c>
      <x:c r="F15" s="32" t="str">
        <x:v>Yes</x:v>
      </x:c>
      <x:c r="G15" s="32" t="n">
        <x:v>110</x:v>
      </x:c>
      <x:c r="H15" s="32" t="str">
        <x:v>Draft</x:v>
      </x:c>
      <x:c r="I15" s="32" t="str">
        <x:v>Cross-component grouping; validate if this remains a component or reporting dimension.</x:v>
      </x:c>
      <x:c r="J15" s="38"/>
      <x:c r="K15" s="38"/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</x:row>
    <x:row r="16">
      <x:c r="A16" s="32" t="str">
        <x:v>PC-DATA-PROTECTION</x:v>
      </x:c>
      <x:c r="B16" s="32" t="str">
        <x:v>Data Protection and Recovery Integration</x:v>
      </x:c>
      <x:c r="C16" s="32" t="str">
        <x:v>Resilience</x:v>
      </x:c>
      <x:c r="D16" s="32" t="str">
        <x:v>Backup, restore, recovery, and data protection integration touchpoints relevant to VCF migration feasibility.</x:v>
      </x:c>
      <x:c r="E16" s="32" t="str">
        <x:v>Data Protection</x:v>
      </x:c>
      <x:c r="F16" s="32" t="str">
        <x:v>Yes</x:v>
      </x:c>
      <x:c r="G16" s="32" t="n">
        <x:v>120</x:v>
      </x:c>
      <x:c r="H16" s="32" t="str">
        <x:v>Draft</x:v>
      </x:c>
      <x:c r="I16" s="32" t="str">
        <x:v>VCF-adjacent integration; validate inclusion in canonical scope.</x:v>
      </x:c>
      <x:c r="J16" s="38"/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</x:row>
    <x:row r="17">
      <x:c r="A17" s="38"/>
      <x:c r="B17" s="38"/>
      <x:c r="C17" s="38"/>
      <x:c r="D17" s="38"/>
      <x:c r="E17" s="38"/>
      <x:c r="F17" s="38"/>
      <x:c r="G17" s="38"/>
      <x:c r="H17" s="38"/>
      <x:c r="I17" s="38"/>
      <x:c r="J17" s="38"/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</x:row>
    <x:row r="18">
      <x:c r="A18" s="38"/>
      <x:c r="B18" s="38"/>
      <x:c r="C18" s="38"/>
      <x:c r="D18" s="38"/>
      <x:c r="E18" s="38"/>
      <x:c r="F18" s="38"/>
      <x:c r="G18" s="38"/>
      <x:c r="H18" s="38"/>
      <x:c r="I18" s="38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</x:row>
    <x:row r="19">
      <x:c r="A19" s="38"/>
      <x:c r="B19" s="38"/>
      <x:c r="C19" s="38"/>
      <x:c r="D19" s="38"/>
      <x:c r="E19" s="38"/>
      <x:c r="F19" s="38"/>
      <x:c r="G19" s="38"/>
      <x:c r="H19" s="38"/>
      <x:c r="I19" s="38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</x:row>
    <x:row r="20">
      <x:c r="A20" s="38"/>
      <x:c r="B20" s="38"/>
      <x:c r="C20" s="38"/>
      <x:c r="D20" s="38"/>
      <x:c r="E20" s="38"/>
      <x:c r="F20" s="38"/>
      <x:c r="G20" s="38"/>
      <x:c r="H20" s="38"/>
      <x:c r="I20" s="38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</x:row>
    <x:row r="21">
      <x:c r="A21" s="38"/>
      <x:c r="B21" s="38"/>
      <x:c r="C21" s="38"/>
      <x:c r="D21" s="38"/>
      <x:c r="E21" s="38"/>
      <x:c r="F21" s="38"/>
      <x:c r="G21" s="38"/>
      <x:c r="H21" s="38"/>
      <x:c r="I21" s="38"/>
      <x:c r="J21" s="38"/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</x:row>
    <x:row r="22">
      <x:c r="A22" s="38"/>
      <x:c r="B22" s="38"/>
      <x:c r="C22" s="38"/>
      <x:c r="D22" s="38"/>
      <x:c r="E22" s="38"/>
      <x:c r="F22" s="38"/>
      <x:c r="G22" s="38"/>
      <x:c r="H22" s="38"/>
      <x:c r="I22" s="38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</x:row>
    <x:row r="23">
      <x:c r="A23" s="38"/>
      <x:c r="B23" s="38"/>
      <x:c r="C23" s="38"/>
      <x:c r="D23" s="38"/>
      <x:c r="E23" s="38"/>
      <x:c r="F23" s="38"/>
      <x:c r="G23" s="38"/>
      <x:c r="H23" s="38"/>
      <x:c r="I23" s="38"/>
      <x:c r="J23" s="38"/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</x:row>
    <x:row r="24">
      <x:c r="A24" s="38"/>
      <x:c r="B24" s="38"/>
      <x:c r="C24" s="38"/>
      <x:c r="D24" s="38"/>
      <x:c r="E24" s="38"/>
      <x:c r="F24" s="38"/>
      <x:c r="G24" s="38"/>
      <x:c r="H24" s="38"/>
      <x:c r="I24" s="38"/>
      <x:c r="J24" s="38"/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</x:row>
    <x:row r="25">
      <x:c r="A25" s="38"/>
      <x:c r="B25" s="38"/>
      <x:c r="C25" s="38"/>
      <x:c r="D25" s="38"/>
      <x:c r="E25" s="38"/>
      <x:c r="F25" s="38"/>
      <x:c r="G25" s="38"/>
      <x:c r="H25" s="38"/>
      <x:c r="I25" s="38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</x:row>
    <x:row r="26">
      <x:c r="A26" s="38"/>
      <x:c r="B26" s="38"/>
      <x:c r="C26" s="38"/>
      <x:c r="D26" s="38"/>
      <x:c r="E26" s="38"/>
      <x:c r="F26" s="38"/>
      <x:c r="G26" s="38"/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</x:row>
    <x:row r="27">
      <x:c r="A27" s="38"/>
      <x:c r="B27" s="38"/>
      <x:c r="C27" s="38"/>
      <x:c r="D27" s="38"/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</x:row>
    <x:row r="28">
      <x:c r="A28" s="38"/>
      <x:c r="B28" s="38"/>
      <x:c r="C28" s="38"/>
      <x:c r="D28" s="38"/>
      <x:c r="E28" s="38"/>
      <x:c r="F28" s="38"/>
      <x:c r="G28" s="38"/>
      <x:c r="H28" s="38"/>
      <x:c r="I28" s="38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</x:row>
    <x:row r="29">
      <x:c r="A29" s="38"/>
      <x:c r="B29" s="38"/>
      <x:c r="C29" s="38"/>
      <x:c r="D29" s="38"/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</x:row>
    <x:row r="30">
      <x:c r="A30" s="38"/>
      <x:c r="B30" s="38"/>
      <x:c r="C30" s="38"/>
      <x:c r="D30" s="38"/>
      <x:c r="E30" s="38"/>
      <x:c r="F30" s="38"/>
      <x:c r="G30" s="38"/>
      <x:c r="H30" s="38"/>
      <x:c r="I30" s="38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</x:row>
    <x:row r="31">
      <x:c r="A31" s="38"/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</x:row>
    <x:row r="32">
      <x:c r="A32" s="38"/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</x:row>
    <x:row r="33">
      <x:c r="A33" s="38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</x:row>
    <x:row r="34">
      <x:c r="A34" s="38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</x:row>
    <x:row r="35">
      <x:c r="A35" s="38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</x:row>
    <x:row r="36">
      <x:c r="A36" s="38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</x:row>
    <x:row r="37">
      <x:c r="A37" s="38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</x:row>
    <x:row r="38">
      <x:c r="A38" s="38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</x:row>
    <x:row r="39">
      <x:c r="A39" s="38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</x:row>
    <x:row r="40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</x:row>
    <x:row r="41">
      <x:c r="A41" s="38"/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</x:row>
    <x:row r="42">
      <x:c r="A42" s="38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</x:row>
    <x:row r="43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</x:row>
    <x:row r="44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</x:row>
    <x:row r="45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</x:row>
    <x:row r="46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</x:row>
    <x:row r="47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</x:row>
    <x:row r="48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</x:row>
    <x:row r="49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</x:row>
    <x:row r="50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</x:row>
    <x:row r="5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</x:row>
    <x:row r="52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</x:row>
    <x:row r="53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</x:row>
    <x:row r="54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</x:row>
    <x:row r="55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</x:row>
    <x:row r="56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</x:row>
    <x:row r="57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</x:row>
    <x:row r="58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</x:row>
    <x:row r="59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</x:row>
    <x:row r="60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</x:row>
    <x:row r="6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</x:row>
    <x:row r="62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</x:row>
    <x:row r="63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</x:row>
    <x:row r="64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</x:row>
    <x:row r="65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</x:row>
    <x:row r="66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</x:row>
    <x:row r="67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</x:row>
    <x:row r="68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</x:row>
    <x:row r="69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</x:row>
    <x:row r="70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</x:row>
    <x:row r="7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</x:row>
    <x:row r="72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</x:row>
    <x:row r="73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</x:row>
    <x:row r="74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</x:row>
    <x:row r="75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</x:row>
    <x:row r="76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</x:row>
    <x:row r="77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</x:row>
    <x:row r="78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</x:row>
    <x:row r="79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</x:row>
    <x:row r="80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</x:row>
    <x:row r="8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</x:row>
    <x:row r="82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</x:row>
    <x:row r="83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</x:row>
    <x:row r="84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</x:row>
    <x:row r="85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</x:row>
    <x:row r="86">
      <x:c r="A86" s="38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</x:row>
    <x:row r="87">
      <x:c r="A87" s="38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</x:row>
    <x:row r="88">
      <x:c r="A88" s="38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</x:row>
    <x:row r="89">
      <x:c r="A89" s="38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</x:row>
    <x:row r="90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</x:row>
    <x:row r="9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</x:row>
    <x:row r="92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</x:row>
    <x:row r="93">
      <x:c r="A93" s="38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</x:row>
    <x:row r="94">
      <x:c r="A94" s="38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</x:row>
    <x:row r="95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</x:row>
    <x:row r="96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</x:row>
    <x:row r="97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</x:row>
    <x:row r="98">
      <x:c r="A98" s="38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</x:row>
    <x:row r="99">
      <x:c r="A99" s="38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</x:row>
    <x:row r="100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</x:row>
    <x:row r="10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</x:row>
    <x:row r="102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</x:row>
    <x:row r="103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</x:row>
    <x:row r="104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</x:row>
    <x:row r="105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</x:row>
    <x:row r="106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</x:row>
    <x:row r="107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</x:row>
    <x:row r="108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</x:row>
    <x:row r="109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</x:row>
    <x:row r="110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</x:row>
    <x:row r="11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</x:row>
    <x:row r="112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</x:row>
    <x:row r="113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</x:row>
    <x:row r="114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</x:row>
    <x:row r="115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</x:row>
    <x:row r="116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</x:row>
    <x:row r="117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</x:row>
    <x:row r="118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</x:row>
    <x:row r="119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</x:row>
    <x:row r="120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  <x:row r="121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</x:row>
    <x:row r="122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</x:row>
    <x:row r="123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</x:row>
    <x:row r="124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</x:row>
    <x:row r="125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</x:row>
    <x:row r="126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</x:row>
    <x:row r="127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</x:row>
    <x:row r="128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</x:row>
    <x:row r="129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</x:row>
    <x:row r="130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</x:row>
    <x:row r="13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</x:row>
    <x:row r="132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</x:row>
    <x:row r="133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</x:row>
    <x:row r="134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</x:row>
    <x:row r="135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</x:row>
    <x:row r="136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</x:row>
    <x:row r="137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</x:row>
    <x:row r="138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</x:row>
    <x:row r="139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</x:row>
    <x:row r="140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</x:row>
    <x:row r="14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</x:row>
    <x:row r="142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</x:row>
    <x:row r="143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</x:row>
    <x:row r="144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</x:row>
    <x:row r="145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</x:row>
    <x:row r="146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</x:row>
    <x:row r="147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</x:row>
    <x:row r="148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</x:row>
    <x:row r="149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</x:row>
    <x:row r="150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</x:row>
    <x:row r="15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</x:row>
    <x:row r="152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</x:row>
    <x:row r="153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</x:row>
    <x:row r="154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</x:row>
    <x:row r="155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</x:row>
    <x:row r="156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</x:row>
    <x:row r="157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</x:row>
    <x:row r="158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</x:row>
    <x:row r="159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</x:row>
    <x:row r="160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</x:row>
    <x:row r="16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</x:row>
    <x:row r="162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</x:row>
    <x:row r="163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</x:row>
    <x:row r="164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</x:row>
    <x:row r="165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</x:row>
    <x:row r="166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</x:row>
    <x:row r="167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</x:row>
    <x:row r="168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</x:row>
    <x:row r="169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</x:row>
    <x:row r="170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</x:row>
    <x:row r="17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</x:row>
    <x:row r="172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</x:row>
    <x:row r="173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</x:row>
    <x:row r="174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</x:row>
    <x:row r="175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</x:row>
    <x:row r="176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</x:row>
    <x:row r="177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</x:row>
    <x:row r="178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</x:row>
    <x:row r="179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</x:row>
    <x:row r="180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</x:row>
    <x:row r="18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</x:row>
    <x:row r="182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</x:row>
    <x:row r="183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</x:row>
    <x:row r="184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</x:row>
    <x:row r="185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</x:row>
    <x:row r="186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</x:row>
    <x:row r="187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</x:row>
    <x:row r="188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</x:row>
    <x:row r="189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</x:row>
    <x:row r="190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</x:row>
    <x:row r="19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</x:row>
    <x:row r="192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</x:row>
    <x:row r="193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</x:row>
    <x:row r="194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</x:row>
    <x:row r="195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</x:row>
    <x:row r="196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</x:row>
    <x:row r="197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</x:row>
    <x:row r="198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</x:row>
    <x:row r="199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</x:row>
    <x:row r="200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</x:row>
    <x:row r="201">
      <x:c r="A201" s="38"/>
      <x:c r="B201" s="38"/>
      <x:c r="C201" s="38"/>
      <x:c r="D201" s="38"/>
      <x:c r="E201" s="38"/>
      <x:c r="F201" s="38"/>
      <x:c r="G201" s="38"/>
      <x:c r="H201" s="38"/>
      <x:c r="I201" s="38"/>
      <x:c r="J201" s="38"/>
      <x:c r="K201" s="38"/>
      <x:c r="L201" s="38"/>
      <x:c r="M201" s="38"/>
      <x:c r="N201" s="38"/>
      <x:c r="O201" s="38"/>
      <x:c r="P201" s="38"/>
      <x:c r="Q201" s="38"/>
      <x:c r="R201" s="38"/>
      <x:c r="S201" s="38"/>
      <x:c r="T201" s="38"/>
      <x:c r="U201" s="38"/>
      <x:c r="V201" s="38"/>
      <x:c r="W201" s="38"/>
      <x:c r="X201" s="38"/>
      <x:c r="Y201" s="38"/>
      <x:c r="Z201" s="38"/>
    </x:row>
    <x:row r="202">
      <x:c r="A202" s="38"/>
      <x:c r="B202" s="38"/>
      <x:c r="C202" s="38"/>
      <x:c r="D202" s="38"/>
      <x:c r="E202" s="38"/>
      <x:c r="F202" s="38"/>
      <x:c r="G202" s="38"/>
      <x:c r="H202" s="38"/>
      <x:c r="I202" s="38"/>
      <x:c r="J202" s="38"/>
      <x:c r="K202" s="38"/>
      <x:c r="L202" s="38"/>
      <x:c r="M202" s="38"/>
      <x:c r="N202" s="38"/>
      <x:c r="O202" s="38"/>
      <x:c r="P202" s="38"/>
      <x:c r="Q202" s="38"/>
      <x:c r="R202" s="38"/>
      <x:c r="S202" s="38"/>
      <x:c r="T202" s="38"/>
      <x:c r="U202" s="38"/>
      <x:c r="V202" s="38"/>
      <x:c r="W202" s="38"/>
      <x:c r="X202" s="38"/>
      <x:c r="Y202" s="38"/>
      <x:c r="Z202" s="38"/>
    </x:row>
    <x:row r="203">
      <x:c r="A203" s="38"/>
      <x:c r="B203" s="38"/>
      <x:c r="C203" s="38"/>
      <x:c r="D203" s="38"/>
      <x:c r="E203" s="38"/>
      <x:c r="F203" s="38"/>
      <x:c r="G203" s="38"/>
      <x:c r="H203" s="38"/>
      <x:c r="I203" s="38"/>
      <x:c r="J203" s="38"/>
      <x:c r="K203" s="38"/>
      <x:c r="L203" s="38"/>
      <x:c r="M203" s="38"/>
      <x:c r="N203" s="38"/>
      <x:c r="O203" s="38"/>
      <x:c r="P203" s="38"/>
      <x:c r="Q203" s="38"/>
      <x:c r="R203" s="38"/>
      <x:c r="S203" s="38"/>
      <x:c r="T203" s="38"/>
      <x:c r="U203" s="38"/>
      <x:c r="V203" s="38"/>
      <x:c r="W203" s="38"/>
      <x:c r="X203" s="38"/>
      <x:c r="Y203" s="38"/>
      <x:c r="Z203" s="38"/>
    </x:row>
    <x:row r="204">
      <x:c r="A204" s="38"/>
      <x:c r="B204" s="38"/>
      <x:c r="C204" s="38"/>
      <x:c r="D204" s="38"/>
      <x:c r="E204" s="38"/>
      <x:c r="F204" s="38"/>
      <x:c r="G204" s="38"/>
      <x:c r="H204" s="38"/>
      <x:c r="I204" s="38"/>
      <x:c r="J204" s="38"/>
      <x:c r="K204" s="38"/>
      <x:c r="L204" s="38"/>
      <x:c r="M204" s="38"/>
      <x:c r="N204" s="38"/>
      <x:c r="O204" s="38"/>
      <x:c r="P204" s="38"/>
      <x:c r="Q204" s="38"/>
      <x:c r="R204" s="38"/>
      <x:c r="S204" s="38"/>
      <x:c r="T204" s="38"/>
      <x:c r="U204" s="38"/>
      <x:c r="V204" s="38"/>
      <x:c r="W204" s="38"/>
      <x:c r="X204" s="38"/>
      <x:c r="Y204" s="38"/>
      <x:c r="Z204" s="38"/>
    </x:row>
    <x:row r="205">
      <x:c r="A205" s="38"/>
      <x:c r="B205" s="38"/>
      <x:c r="C205" s="38"/>
      <x:c r="D205" s="38"/>
      <x:c r="E205" s="38"/>
      <x:c r="F205" s="38"/>
      <x:c r="G205" s="38"/>
      <x:c r="H205" s="38"/>
      <x:c r="I205" s="38"/>
      <x:c r="J205" s="38"/>
      <x:c r="K205" s="38"/>
      <x:c r="L205" s="38"/>
      <x:c r="M205" s="38"/>
      <x:c r="N205" s="38"/>
      <x:c r="O205" s="38"/>
      <x:c r="P205" s="38"/>
      <x:c r="Q205" s="38"/>
      <x:c r="R205" s="38"/>
      <x:c r="S205" s="38"/>
      <x:c r="T205" s="38"/>
      <x:c r="U205" s="38"/>
      <x:c r="V205" s="38"/>
      <x:c r="W205" s="38"/>
      <x:c r="X205" s="38"/>
      <x:c r="Y205" s="38"/>
      <x:c r="Z205" s="38"/>
    </x:row>
    <x:row r="206">
      <x:c r="A206" s="38"/>
      <x:c r="B206" s="38"/>
      <x:c r="C206" s="38"/>
      <x:c r="D206" s="38"/>
      <x:c r="E206" s="38"/>
      <x:c r="F206" s="38"/>
      <x:c r="G206" s="38"/>
      <x:c r="H206" s="38"/>
      <x:c r="I206" s="38"/>
      <x:c r="J206" s="38"/>
      <x:c r="K206" s="38"/>
      <x:c r="L206" s="38"/>
      <x:c r="M206" s="38"/>
      <x:c r="N206" s="38"/>
      <x:c r="O206" s="38"/>
      <x:c r="P206" s="38"/>
      <x:c r="Q206" s="38"/>
      <x:c r="R206" s="38"/>
      <x:c r="S206" s="38"/>
      <x:c r="T206" s="38"/>
      <x:c r="U206" s="38"/>
      <x:c r="V206" s="38"/>
      <x:c r="W206" s="38"/>
      <x:c r="X206" s="38"/>
      <x:c r="Y206" s="38"/>
      <x:c r="Z206" s="38"/>
    </x:row>
    <x:row r="207">
      <x:c r="A207" s="38"/>
      <x:c r="B207" s="38"/>
      <x:c r="C207" s="38"/>
      <x:c r="D207" s="38"/>
      <x:c r="E207" s="38"/>
      <x:c r="F207" s="38"/>
      <x:c r="G207" s="38"/>
      <x:c r="H207" s="38"/>
      <x:c r="I207" s="38"/>
      <x:c r="J207" s="38"/>
      <x:c r="K207" s="38"/>
      <x:c r="L207" s="38"/>
      <x:c r="M207" s="38"/>
      <x:c r="N207" s="38"/>
      <x:c r="O207" s="38"/>
      <x:c r="P207" s="38"/>
      <x:c r="Q207" s="38"/>
      <x:c r="R207" s="38"/>
      <x:c r="S207" s="38"/>
      <x:c r="T207" s="38"/>
      <x:c r="U207" s="38"/>
      <x:c r="V207" s="38"/>
      <x:c r="W207" s="38"/>
      <x:c r="X207" s="38"/>
      <x:c r="Y207" s="38"/>
      <x:c r="Z207" s="38"/>
    </x:row>
    <x:row r="208">
      <x:c r="A208" s="38"/>
      <x:c r="B208" s="38"/>
      <x:c r="C208" s="38"/>
      <x:c r="D208" s="38"/>
      <x:c r="E208" s="38"/>
      <x:c r="F208" s="38"/>
      <x:c r="G208" s="38"/>
      <x:c r="H208" s="38"/>
      <x:c r="I208" s="38"/>
      <x:c r="J208" s="38"/>
      <x:c r="K208" s="38"/>
      <x:c r="L208" s="38"/>
      <x:c r="M208" s="38"/>
      <x:c r="N208" s="38"/>
      <x:c r="O208" s="38"/>
      <x:c r="P208" s="38"/>
      <x:c r="Q208" s="38"/>
      <x:c r="R208" s="38"/>
      <x:c r="S208" s="38"/>
      <x:c r="T208" s="38"/>
      <x:c r="U208" s="38"/>
      <x:c r="V208" s="38"/>
      <x:c r="W208" s="38"/>
      <x:c r="X208" s="38"/>
      <x:c r="Y208" s="38"/>
      <x:c r="Z208" s="38"/>
    </x:row>
    <x:row r="209">
      <x:c r="A209" s="38"/>
      <x:c r="B209" s="38"/>
      <x:c r="C209" s="38"/>
      <x:c r="D209" s="38"/>
      <x:c r="E209" s="38"/>
      <x:c r="F209" s="38"/>
      <x:c r="G209" s="38"/>
      <x:c r="H209" s="38"/>
      <x:c r="I209" s="38"/>
      <x:c r="J209" s="38"/>
      <x:c r="K209" s="38"/>
      <x:c r="L209" s="38"/>
      <x:c r="M209" s="38"/>
      <x:c r="N209" s="38"/>
      <x:c r="O209" s="38"/>
      <x:c r="P209" s="38"/>
      <x:c r="Q209" s="38"/>
      <x:c r="R209" s="38"/>
      <x:c r="S209" s="38"/>
      <x:c r="T209" s="38"/>
      <x:c r="U209" s="38"/>
      <x:c r="V209" s="38"/>
      <x:c r="W209" s="38"/>
      <x:c r="X209" s="38"/>
      <x:c r="Y209" s="38"/>
      <x:c r="Z209" s="38"/>
    </x:row>
    <x:row r="210">
      <x:c r="A210" s="38"/>
      <x:c r="B210" s="38"/>
      <x:c r="C210" s="38"/>
      <x:c r="D210" s="38"/>
      <x:c r="E210" s="38"/>
      <x:c r="F210" s="38"/>
      <x:c r="G210" s="38"/>
      <x:c r="H210" s="38"/>
      <x:c r="I210" s="38"/>
      <x:c r="J210" s="38"/>
      <x:c r="K210" s="38"/>
      <x:c r="L210" s="38"/>
      <x:c r="M210" s="38"/>
      <x:c r="N210" s="38"/>
      <x:c r="O210" s="38"/>
      <x:c r="P210" s="38"/>
      <x:c r="Q210" s="38"/>
      <x:c r="R210" s="38"/>
      <x:c r="S210" s="38"/>
      <x:c r="T210" s="38"/>
      <x:c r="U210" s="38"/>
      <x:c r="V210" s="38"/>
      <x:c r="W210" s="38"/>
      <x:c r="X210" s="38"/>
      <x:c r="Y210" s="38"/>
      <x:c r="Z210" s="38"/>
    </x:row>
    <x:row r="211">
      <x:c r="A211" s="38"/>
      <x:c r="B211" s="38"/>
      <x:c r="C211" s="38"/>
      <x:c r="D211" s="38"/>
      <x:c r="E211" s="38"/>
      <x:c r="F211" s="38"/>
      <x:c r="G211" s="38"/>
      <x:c r="H211" s="38"/>
      <x:c r="I211" s="38"/>
      <x:c r="J211" s="38"/>
      <x:c r="K211" s="38"/>
      <x:c r="L211" s="38"/>
      <x:c r="M211" s="38"/>
      <x:c r="N211" s="38"/>
      <x:c r="O211" s="38"/>
      <x:c r="P211" s="38"/>
      <x:c r="Q211" s="38"/>
      <x:c r="R211" s="38"/>
      <x:c r="S211" s="38"/>
      <x:c r="T211" s="38"/>
      <x:c r="U211" s="38"/>
      <x:c r="V211" s="38"/>
      <x:c r="W211" s="38"/>
      <x:c r="X211" s="38"/>
      <x:c r="Y211" s="38"/>
      <x:c r="Z211" s="38"/>
    </x:row>
    <x:row r="212">
      <x:c r="A212" s="38"/>
      <x:c r="B212" s="38"/>
      <x:c r="C212" s="38"/>
      <x:c r="D212" s="38"/>
      <x:c r="E212" s="38"/>
      <x:c r="F212" s="38"/>
      <x:c r="G212" s="38"/>
      <x:c r="H212" s="38"/>
      <x:c r="I212" s="38"/>
      <x:c r="J212" s="38"/>
      <x:c r="K212" s="38"/>
      <x:c r="L212" s="38"/>
      <x:c r="M212" s="38"/>
      <x:c r="N212" s="38"/>
      <x:c r="O212" s="38"/>
      <x:c r="P212" s="38"/>
      <x:c r="Q212" s="38"/>
      <x:c r="R212" s="38"/>
      <x:c r="S212" s="38"/>
      <x:c r="T212" s="38"/>
      <x:c r="U212" s="38"/>
      <x:c r="V212" s="38"/>
      <x:c r="W212" s="38"/>
      <x:c r="X212" s="38"/>
      <x:c r="Y212" s="38"/>
      <x:c r="Z212" s="38"/>
    </x:row>
    <x:row r="213">
      <x:c r="A213" s="38"/>
      <x:c r="B213" s="38"/>
      <x:c r="C213" s="38"/>
      <x:c r="D213" s="38"/>
      <x:c r="E213" s="38"/>
      <x:c r="F213" s="38"/>
      <x:c r="G213" s="38"/>
      <x:c r="H213" s="38"/>
      <x:c r="I213" s="38"/>
      <x:c r="J213" s="38"/>
      <x:c r="K213" s="38"/>
      <x:c r="L213" s="38"/>
      <x:c r="M213" s="38"/>
      <x:c r="N213" s="38"/>
      <x:c r="O213" s="38"/>
      <x:c r="P213" s="38"/>
      <x:c r="Q213" s="38"/>
      <x:c r="R213" s="38"/>
      <x:c r="S213" s="38"/>
      <x:c r="T213" s="38"/>
      <x:c r="U213" s="38"/>
      <x:c r="V213" s="38"/>
      <x:c r="W213" s="38"/>
      <x:c r="X213" s="38"/>
      <x:c r="Y213" s="38"/>
      <x:c r="Z213" s="38"/>
    </x:row>
    <x:row r="214">
      <x:c r="A214" s="38"/>
      <x:c r="B214" s="38"/>
      <x:c r="C214" s="38"/>
      <x:c r="D214" s="38"/>
      <x:c r="E214" s="38"/>
      <x:c r="F214" s="38"/>
      <x:c r="G214" s="38"/>
      <x:c r="H214" s="38"/>
      <x:c r="I214" s="38"/>
      <x:c r="J214" s="38"/>
      <x:c r="K214" s="38"/>
      <x:c r="L214" s="38"/>
      <x:c r="M214" s="38"/>
      <x:c r="N214" s="38"/>
      <x:c r="O214" s="38"/>
      <x:c r="P214" s="38"/>
      <x:c r="Q214" s="38"/>
      <x:c r="R214" s="38"/>
      <x:c r="S214" s="38"/>
      <x:c r="T214" s="38"/>
      <x:c r="U214" s="38"/>
      <x:c r="V214" s="38"/>
      <x:c r="W214" s="38"/>
      <x:c r="X214" s="38"/>
      <x:c r="Y214" s="38"/>
      <x:c r="Z214" s="38"/>
    </x:row>
    <x:row r="215">
      <x:c r="A215" s="38"/>
      <x:c r="B215" s="38"/>
      <x:c r="C215" s="38"/>
      <x:c r="D215" s="38"/>
      <x:c r="E215" s="38"/>
      <x:c r="F215" s="38"/>
      <x:c r="G215" s="38"/>
      <x:c r="H215" s="38"/>
      <x:c r="I215" s="38"/>
      <x:c r="J215" s="38"/>
      <x:c r="K215" s="38"/>
      <x:c r="L215" s="38"/>
      <x:c r="M215" s="38"/>
      <x:c r="N215" s="38"/>
      <x:c r="O215" s="38"/>
      <x:c r="P215" s="38"/>
      <x:c r="Q215" s="38"/>
      <x:c r="R215" s="38"/>
      <x:c r="S215" s="38"/>
      <x:c r="T215" s="38"/>
      <x:c r="U215" s="38"/>
      <x:c r="V215" s="38"/>
      <x:c r="W215" s="38"/>
      <x:c r="X215" s="38"/>
      <x:c r="Y215" s="38"/>
      <x:c r="Z215" s="38"/>
    </x:row>
    <x:row r="216">
      <x:c r="A216" s="38"/>
      <x:c r="B216" s="38"/>
      <x:c r="C216" s="38"/>
      <x:c r="D216" s="38"/>
      <x:c r="E216" s="38"/>
      <x:c r="F216" s="38"/>
      <x:c r="G216" s="38"/>
      <x:c r="H216" s="38"/>
      <x:c r="I216" s="38"/>
      <x:c r="J216" s="38"/>
      <x:c r="K216" s="38"/>
      <x:c r="L216" s="38"/>
      <x:c r="M216" s="38"/>
      <x:c r="N216" s="38"/>
      <x:c r="O216" s="38"/>
      <x:c r="P216" s="38"/>
      <x:c r="Q216" s="38"/>
      <x:c r="R216" s="38"/>
      <x:c r="S216" s="38"/>
      <x:c r="T216" s="38"/>
      <x:c r="U216" s="38"/>
      <x:c r="V216" s="38"/>
      <x:c r="W216" s="38"/>
      <x:c r="X216" s="38"/>
      <x:c r="Y216" s="38"/>
      <x:c r="Z216" s="38"/>
    </x:row>
    <x:row r="217">
      <x:c r="A217" s="38"/>
      <x:c r="B217" s="38"/>
      <x:c r="C217" s="38"/>
      <x:c r="D217" s="38"/>
      <x:c r="E217" s="38"/>
      <x:c r="F217" s="38"/>
      <x:c r="G217" s="38"/>
      <x:c r="H217" s="38"/>
      <x:c r="I217" s="38"/>
      <x:c r="J217" s="38"/>
      <x:c r="K217" s="38"/>
      <x:c r="L217" s="38"/>
      <x:c r="M217" s="38"/>
      <x:c r="N217" s="38"/>
      <x:c r="O217" s="38"/>
      <x:c r="P217" s="38"/>
      <x:c r="Q217" s="38"/>
      <x:c r="R217" s="38"/>
      <x:c r="S217" s="38"/>
      <x:c r="T217" s="38"/>
      <x:c r="U217" s="38"/>
      <x:c r="V217" s="38"/>
      <x:c r="W217" s="38"/>
      <x:c r="X217" s="38"/>
      <x:c r="Y217" s="38"/>
      <x:c r="Z217" s="38"/>
    </x:row>
    <x:row r="218">
      <x:c r="A218" s="38"/>
      <x:c r="B218" s="38"/>
      <x:c r="C218" s="38"/>
      <x:c r="D218" s="38"/>
      <x:c r="E218" s="38"/>
      <x:c r="F218" s="38"/>
      <x:c r="G218" s="38"/>
      <x:c r="H218" s="38"/>
      <x:c r="I218" s="38"/>
      <x:c r="J218" s="38"/>
      <x:c r="K218" s="38"/>
      <x:c r="L218" s="38"/>
      <x:c r="M218" s="38"/>
      <x:c r="N218" s="38"/>
      <x:c r="O218" s="38"/>
      <x:c r="P218" s="38"/>
      <x:c r="Q218" s="38"/>
      <x:c r="R218" s="38"/>
      <x:c r="S218" s="38"/>
      <x:c r="T218" s="38"/>
      <x:c r="U218" s="38"/>
      <x:c r="V218" s="38"/>
      <x:c r="W218" s="38"/>
      <x:c r="X218" s="38"/>
      <x:c r="Y218" s="38"/>
      <x:c r="Z218" s="38"/>
    </x:row>
    <x:row r="219">
      <x:c r="A219" s="38"/>
      <x:c r="B219" s="38"/>
      <x:c r="C219" s="38"/>
      <x:c r="D219" s="38"/>
      <x:c r="E219" s="38"/>
      <x:c r="F219" s="38"/>
      <x:c r="G219" s="38"/>
      <x:c r="H219" s="38"/>
      <x:c r="I219" s="38"/>
      <x:c r="J219" s="38"/>
      <x:c r="K219" s="38"/>
      <x:c r="L219" s="38"/>
      <x:c r="M219" s="38"/>
      <x:c r="N219" s="38"/>
      <x:c r="O219" s="38"/>
      <x:c r="P219" s="38"/>
      <x:c r="Q219" s="38"/>
      <x:c r="R219" s="38"/>
      <x:c r="S219" s="38"/>
      <x:c r="T219" s="38"/>
      <x:c r="U219" s="38"/>
      <x:c r="V219" s="38"/>
      <x:c r="W219" s="38"/>
      <x:c r="X219" s="38"/>
      <x:c r="Y219" s="38"/>
      <x:c r="Z219" s="38"/>
    </x:row>
    <x:row r="220">
      <x:c r="A220" s="38"/>
      <x:c r="B220" s="38"/>
      <x:c r="C220" s="38"/>
      <x:c r="D220" s="38"/>
      <x:c r="E220" s="38"/>
      <x:c r="F220" s="38"/>
      <x:c r="G220" s="38"/>
      <x:c r="H220" s="38"/>
      <x:c r="I220" s="38"/>
      <x:c r="J220" s="38"/>
      <x:c r="K220" s="38"/>
      <x:c r="L220" s="38"/>
      <x:c r="M220" s="38"/>
      <x:c r="N220" s="38"/>
      <x:c r="O220" s="38"/>
      <x:c r="P220" s="38"/>
      <x:c r="Q220" s="38"/>
      <x:c r="R220" s="38"/>
      <x:c r="S220" s="38"/>
      <x:c r="T220" s="38"/>
      <x:c r="U220" s="38"/>
      <x:c r="V220" s="38"/>
      <x:c r="W220" s="38"/>
      <x:c r="X220" s="38"/>
      <x:c r="Y220" s="38"/>
      <x:c r="Z220" s="38"/>
    </x:row>
    <x:row r="221">
      <x:c r="A221" s="38"/>
      <x:c r="B221" s="38"/>
      <x:c r="C221" s="38"/>
      <x:c r="D221" s="38"/>
      <x:c r="E221" s="38"/>
      <x:c r="F221" s="38"/>
      <x:c r="G221" s="38"/>
      <x:c r="H221" s="38"/>
      <x:c r="I221" s="38"/>
      <x:c r="J221" s="38"/>
      <x:c r="K221" s="38"/>
      <x:c r="L221" s="38"/>
      <x:c r="M221" s="38"/>
      <x:c r="N221" s="38"/>
      <x:c r="O221" s="38"/>
      <x:c r="P221" s="38"/>
      <x:c r="Q221" s="38"/>
      <x:c r="R221" s="38"/>
      <x:c r="S221" s="38"/>
      <x:c r="T221" s="38"/>
      <x:c r="U221" s="38"/>
      <x:c r="V221" s="38"/>
      <x:c r="W221" s="38"/>
      <x:c r="X221" s="38"/>
      <x:c r="Y221" s="38"/>
      <x:c r="Z221" s="38"/>
    </x:row>
    <x:row r="222">
      <x:c r="A222" s="38"/>
      <x:c r="B222" s="38"/>
      <x:c r="C222" s="38"/>
      <x:c r="D222" s="38"/>
      <x:c r="E222" s="38"/>
      <x:c r="F222" s="38"/>
      <x:c r="G222" s="38"/>
      <x:c r="H222" s="38"/>
      <x:c r="I222" s="38"/>
      <x:c r="J222" s="38"/>
      <x:c r="K222" s="38"/>
      <x:c r="L222" s="38"/>
      <x:c r="M222" s="38"/>
      <x:c r="N222" s="38"/>
      <x:c r="O222" s="38"/>
      <x:c r="P222" s="38"/>
      <x:c r="Q222" s="38"/>
      <x:c r="R222" s="38"/>
      <x:c r="S222" s="38"/>
      <x:c r="T222" s="38"/>
      <x:c r="U222" s="38"/>
      <x:c r="V222" s="38"/>
      <x:c r="W222" s="38"/>
      <x:c r="X222" s="38"/>
      <x:c r="Y222" s="38"/>
      <x:c r="Z222" s="38"/>
    </x:row>
    <x:row r="223">
      <x:c r="A223" s="38"/>
      <x:c r="B223" s="38"/>
      <x:c r="C223" s="38"/>
      <x:c r="D223" s="38"/>
      <x:c r="E223" s="38"/>
      <x:c r="F223" s="38"/>
      <x:c r="G223" s="38"/>
      <x:c r="H223" s="38"/>
      <x:c r="I223" s="38"/>
      <x:c r="J223" s="38"/>
      <x:c r="K223" s="38"/>
      <x:c r="L223" s="38"/>
      <x:c r="M223" s="38"/>
      <x:c r="N223" s="38"/>
      <x:c r="O223" s="38"/>
      <x:c r="P223" s="38"/>
      <x:c r="Q223" s="38"/>
      <x:c r="R223" s="38"/>
      <x:c r="S223" s="38"/>
      <x:c r="T223" s="38"/>
      <x:c r="U223" s="38"/>
      <x:c r="V223" s="38"/>
      <x:c r="W223" s="38"/>
      <x:c r="X223" s="38"/>
      <x:c r="Y223" s="38"/>
      <x:c r="Z223" s="38"/>
    </x:row>
    <x:row r="224">
      <x:c r="A224" s="38"/>
      <x:c r="B224" s="38"/>
      <x:c r="C224" s="38"/>
      <x:c r="D224" s="38"/>
      <x:c r="E224" s="38"/>
      <x:c r="F224" s="38"/>
      <x:c r="G224" s="38"/>
      <x:c r="H224" s="38"/>
      <x:c r="I224" s="38"/>
      <x:c r="J224" s="38"/>
      <x:c r="K224" s="38"/>
      <x:c r="L224" s="38"/>
      <x:c r="M224" s="38"/>
      <x:c r="N224" s="38"/>
      <x:c r="O224" s="38"/>
      <x:c r="P224" s="38"/>
      <x:c r="Q224" s="38"/>
      <x:c r="R224" s="38"/>
      <x:c r="S224" s="38"/>
      <x:c r="T224" s="38"/>
      <x:c r="U224" s="38"/>
      <x:c r="V224" s="38"/>
      <x:c r="W224" s="38"/>
      <x:c r="X224" s="38"/>
      <x:c r="Y224" s="38"/>
      <x:c r="Z224" s="38"/>
    </x:row>
    <x:row r="225">
      <x:c r="A225" s="38"/>
      <x:c r="B225" s="38"/>
      <x:c r="C225" s="38"/>
      <x:c r="D225" s="38"/>
      <x:c r="E225" s="38"/>
      <x:c r="F225" s="38"/>
      <x:c r="G225" s="38"/>
      <x:c r="H225" s="38"/>
      <x:c r="I225" s="38"/>
      <x:c r="J225" s="38"/>
      <x:c r="K225" s="38"/>
      <x:c r="L225" s="38"/>
      <x:c r="M225" s="38"/>
      <x:c r="N225" s="38"/>
      <x:c r="O225" s="38"/>
      <x:c r="P225" s="38"/>
      <x:c r="Q225" s="38"/>
      <x:c r="R225" s="38"/>
      <x:c r="S225" s="38"/>
      <x:c r="T225" s="38"/>
      <x:c r="U225" s="38"/>
      <x:c r="V225" s="38"/>
      <x:c r="W225" s="38"/>
      <x:c r="X225" s="38"/>
      <x:c r="Y225" s="38"/>
      <x:c r="Z225" s="38"/>
    </x:row>
    <x:row r="226">
      <x:c r="A226" s="38"/>
      <x:c r="B226" s="38"/>
      <x:c r="C226" s="38"/>
      <x:c r="D226" s="38"/>
      <x:c r="E226" s="38"/>
      <x:c r="F226" s="38"/>
      <x:c r="G226" s="38"/>
      <x:c r="H226" s="38"/>
      <x:c r="I226" s="38"/>
      <x:c r="J226" s="38"/>
      <x:c r="K226" s="38"/>
      <x:c r="L226" s="38"/>
      <x:c r="M226" s="38"/>
      <x:c r="N226" s="38"/>
      <x:c r="O226" s="38"/>
      <x:c r="P226" s="38"/>
      <x:c r="Q226" s="38"/>
      <x:c r="R226" s="38"/>
      <x:c r="S226" s="38"/>
      <x:c r="T226" s="38"/>
      <x:c r="U226" s="38"/>
      <x:c r="V226" s="38"/>
      <x:c r="W226" s="38"/>
      <x:c r="X226" s="38"/>
      <x:c r="Y226" s="38"/>
      <x:c r="Z226" s="38"/>
    </x:row>
    <x:row r="227">
      <x:c r="A227" s="38"/>
      <x:c r="B227" s="38"/>
      <x:c r="C227" s="38"/>
      <x:c r="D227" s="38"/>
      <x:c r="E227" s="38"/>
      <x:c r="F227" s="38"/>
      <x:c r="G227" s="38"/>
      <x:c r="H227" s="38"/>
      <x:c r="I227" s="38"/>
      <x:c r="J227" s="38"/>
      <x:c r="K227" s="38"/>
      <x:c r="L227" s="38"/>
      <x:c r="M227" s="38"/>
      <x:c r="N227" s="38"/>
      <x:c r="O227" s="38"/>
      <x:c r="P227" s="38"/>
      <x:c r="Q227" s="38"/>
      <x:c r="R227" s="38"/>
      <x:c r="S227" s="38"/>
      <x:c r="T227" s="38"/>
      <x:c r="U227" s="38"/>
      <x:c r="V227" s="38"/>
      <x:c r="W227" s="38"/>
      <x:c r="X227" s="38"/>
      <x:c r="Y227" s="38"/>
      <x:c r="Z227" s="38"/>
    </x:row>
    <x:row r="228">
      <x:c r="A228" s="38"/>
      <x:c r="B228" s="38"/>
      <x:c r="C228" s="38"/>
      <x:c r="D228" s="38"/>
      <x:c r="E228" s="38"/>
      <x:c r="F228" s="38"/>
      <x:c r="G228" s="38"/>
      <x:c r="H228" s="38"/>
      <x:c r="I228" s="38"/>
      <x:c r="J228" s="38"/>
      <x:c r="K228" s="38"/>
      <x:c r="L228" s="38"/>
      <x:c r="M228" s="38"/>
      <x:c r="N228" s="38"/>
      <x:c r="O228" s="38"/>
      <x:c r="P228" s="38"/>
      <x:c r="Q228" s="38"/>
      <x:c r="R228" s="38"/>
      <x:c r="S228" s="38"/>
      <x:c r="T228" s="38"/>
      <x:c r="U228" s="38"/>
      <x:c r="V228" s="38"/>
      <x:c r="W228" s="38"/>
      <x:c r="X228" s="38"/>
      <x:c r="Y228" s="38"/>
      <x:c r="Z228" s="38"/>
    </x:row>
    <x:row r="229">
      <x:c r="A229" s="38"/>
      <x:c r="B229" s="38"/>
      <x:c r="C229" s="38"/>
      <x:c r="D229" s="38"/>
      <x:c r="E229" s="38"/>
      <x:c r="F229" s="38"/>
      <x:c r="G229" s="38"/>
      <x:c r="H229" s="38"/>
      <x:c r="I229" s="38"/>
      <x:c r="J229" s="38"/>
      <x:c r="K229" s="38"/>
      <x:c r="L229" s="38"/>
      <x:c r="M229" s="38"/>
      <x:c r="N229" s="38"/>
      <x:c r="O229" s="38"/>
      <x:c r="P229" s="38"/>
      <x:c r="Q229" s="38"/>
      <x:c r="R229" s="38"/>
      <x:c r="S229" s="38"/>
      <x:c r="T229" s="38"/>
      <x:c r="U229" s="38"/>
      <x:c r="V229" s="38"/>
      <x:c r="W229" s="38"/>
      <x:c r="X229" s="38"/>
      <x:c r="Y229" s="38"/>
      <x:c r="Z229" s="38"/>
    </x:row>
    <x:row r="230">
      <x:c r="A230" s="38"/>
      <x:c r="B230" s="38"/>
      <x:c r="C230" s="38"/>
      <x:c r="D230" s="38"/>
      <x:c r="E230" s="38"/>
      <x:c r="F230" s="38"/>
      <x:c r="G230" s="38"/>
      <x:c r="H230" s="38"/>
      <x:c r="I230" s="38"/>
      <x:c r="J230" s="38"/>
      <x:c r="K230" s="38"/>
      <x:c r="L230" s="38"/>
      <x:c r="M230" s="38"/>
      <x:c r="N230" s="38"/>
      <x:c r="O230" s="38"/>
      <x:c r="P230" s="38"/>
      <x:c r="Q230" s="38"/>
      <x:c r="R230" s="38"/>
      <x:c r="S230" s="38"/>
      <x:c r="T230" s="38"/>
      <x:c r="U230" s="38"/>
      <x:c r="V230" s="38"/>
      <x:c r="W230" s="38"/>
      <x:c r="X230" s="38"/>
      <x:c r="Y230" s="38"/>
      <x:c r="Z230" s="38"/>
    </x:row>
    <x:row r="231">
      <x:c r="A231" s="38"/>
      <x:c r="B231" s="38"/>
      <x:c r="C231" s="38"/>
      <x:c r="D231" s="38"/>
      <x:c r="E231" s="38"/>
      <x:c r="F231" s="38"/>
      <x:c r="G231" s="38"/>
      <x:c r="H231" s="38"/>
      <x:c r="I231" s="38"/>
      <x:c r="J231" s="38"/>
      <x:c r="K231" s="38"/>
      <x:c r="L231" s="38"/>
      <x:c r="M231" s="38"/>
      <x:c r="N231" s="38"/>
      <x:c r="O231" s="38"/>
      <x:c r="P231" s="38"/>
      <x:c r="Q231" s="38"/>
      <x:c r="R231" s="38"/>
      <x:c r="S231" s="38"/>
      <x:c r="T231" s="38"/>
      <x:c r="U231" s="38"/>
      <x:c r="V231" s="38"/>
      <x:c r="W231" s="38"/>
      <x:c r="X231" s="38"/>
      <x:c r="Y231" s="38"/>
      <x:c r="Z231" s="38"/>
    </x:row>
    <x:row r="232">
      <x:c r="A232" s="38"/>
      <x:c r="B232" s="38"/>
      <x:c r="C232" s="38"/>
      <x:c r="D232" s="38"/>
      <x:c r="E232" s="38"/>
      <x:c r="F232" s="38"/>
      <x:c r="G232" s="38"/>
      <x:c r="H232" s="38"/>
      <x:c r="I232" s="38"/>
      <x:c r="J232" s="38"/>
      <x:c r="K232" s="38"/>
      <x:c r="L232" s="38"/>
      <x:c r="M232" s="38"/>
      <x:c r="N232" s="38"/>
      <x:c r="O232" s="38"/>
      <x:c r="P232" s="38"/>
      <x:c r="Q232" s="38"/>
      <x:c r="R232" s="38"/>
      <x:c r="S232" s="38"/>
      <x:c r="T232" s="38"/>
      <x:c r="U232" s="38"/>
      <x:c r="V232" s="38"/>
      <x:c r="W232" s="38"/>
      <x:c r="X232" s="38"/>
      <x:c r="Y232" s="38"/>
      <x:c r="Z232" s="38"/>
    </x:row>
    <x:row r="233">
      <x:c r="A233" s="38"/>
      <x:c r="B233" s="38"/>
      <x:c r="C233" s="38"/>
      <x:c r="D233" s="38"/>
      <x:c r="E233" s="38"/>
      <x:c r="F233" s="38"/>
      <x:c r="G233" s="38"/>
      <x:c r="H233" s="38"/>
      <x:c r="I233" s="38"/>
      <x:c r="J233" s="38"/>
      <x:c r="K233" s="38"/>
      <x:c r="L233" s="38"/>
      <x:c r="M233" s="38"/>
      <x:c r="N233" s="38"/>
      <x:c r="O233" s="38"/>
      <x:c r="P233" s="38"/>
      <x:c r="Q233" s="38"/>
      <x:c r="R233" s="38"/>
      <x:c r="S233" s="38"/>
      <x:c r="T233" s="38"/>
      <x:c r="U233" s="38"/>
      <x:c r="V233" s="38"/>
      <x:c r="W233" s="38"/>
      <x:c r="X233" s="38"/>
      <x:c r="Y233" s="38"/>
      <x:c r="Z233" s="38"/>
    </x:row>
    <x:row r="234">
      <x:c r="A234" s="38"/>
      <x:c r="B234" s="38"/>
      <x:c r="C234" s="38"/>
      <x:c r="D234" s="38"/>
      <x:c r="E234" s="38"/>
      <x:c r="F234" s="38"/>
      <x:c r="G234" s="38"/>
      <x:c r="H234" s="38"/>
      <x:c r="I234" s="38"/>
      <x:c r="J234" s="38"/>
      <x:c r="K234" s="38"/>
      <x:c r="L234" s="38"/>
      <x:c r="M234" s="38"/>
      <x:c r="N234" s="38"/>
      <x:c r="O234" s="38"/>
      <x:c r="P234" s="38"/>
      <x:c r="Q234" s="38"/>
      <x:c r="R234" s="38"/>
      <x:c r="S234" s="38"/>
      <x:c r="T234" s="38"/>
      <x:c r="U234" s="38"/>
      <x:c r="V234" s="38"/>
      <x:c r="W234" s="38"/>
      <x:c r="X234" s="38"/>
      <x:c r="Y234" s="38"/>
      <x:c r="Z234" s="38"/>
    </x:row>
    <x:row r="235">
      <x:c r="A235" s="38"/>
      <x:c r="B235" s="38"/>
      <x:c r="C235" s="38"/>
      <x:c r="D235" s="38"/>
      <x:c r="E235" s="38"/>
      <x:c r="F235" s="38"/>
      <x:c r="G235" s="38"/>
      <x:c r="H235" s="38"/>
      <x:c r="I235" s="38"/>
      <x:c r="J235" s="38"/>
      <x:c r="K235" s="38"/>
      <x:c r="L235" s="38"/>
      <x:c r="M235" s="38"/>
      <x:c r="N235" s="38"/>
      <x:c r="O235" s="38"/>
      <x:c r="P235" s="38"/>
      <x:c r="Q235" s="38"/>
      <x:c r="R235" s="38"/>
      <x:c r="S235" s="38"/>
      <x:c r="T235" s="38"/>
      <x:c r="U235" s="38"/>
      <x:c r="V235" s="38"/>
      <x:c r="W235" s="38"/>
      <x:c r="X235" s="38"/>
      <x:c r="Y235" s="38"/>
      <x:c r="Z235" s="38"/>
    </x:row>
    <x:row r="236">
      <x:c r="A236" s="38"/>
      <x:c r="B236" s="38"/>
      <x:c r="C236" s="38"/>
      <x:c r="D236" s="38"/>
      <x:c r="E236" s="38"/>
      <x:c r="F236" s="38"/>
      <x:c r="G236" s="38"/>
      <x:c r="H236" s="38"/>
      <x:c r="I236" s="38"/>
      <x:c r="J236" s="38"/>
      <x:c r="K236" s="38"/>
      <x:c r="L236" s="38"/>
      <x:c r="M236" s="38"/>
      <x:c r="N236" s="38"/>
      <x:c r="O236" s="38"/>
      <x:c r="P236" s="38"/>
      <x:c r="Q236" s="38"/>
      <x:c r="R236" s="38"/>
      <x:c r="S236" s="38"/>
      <x:c r="T236" s="38"/>
      <x:c r="U236" s="38"/>
      <x:c r="V236" s="38"/>
      <x:c r="W236" s="38"/>
      <x:c r="X236" s="38"/>
      <x:c r="Y236" s="38"/>
      <x:c r="Z236" s="38"/>
    </x:row>
    <x:row r="237">
      <x:c r="A237" s="38"/>
      <x:c r="B237" s="38"/>
      <x:c r="C237" s="38"/>
      <x:c r="D237" s="38"/>
      <x:c r="E237" s="38"/>
      <x:c r="F237" s="38"/>
      <x:c r="G237" s="38"/>
      <x:c r="H237" s="38"/>
      <x:c r="I237" s="38"/>
      <x:c r="J237" s="38"/>
      <x:c r="K237" s="38"/>
      <x:c r="L237" s="38"/>
      <x:c r="M237" s="38"/>
      <x:c r="N237" s="38"/>
      <x:c r="O237" s="38"/>
      <x:c r="P237" s="38"/>
      <x:c r="Q237" s="38"/>
      <x:c r="R237" s="38"/>
      <x:c r="S237" s="38"/>
      <x:c r="T237" s="38"/>
      <x:c r="U237" s="38"/>
      <x:c r="V237" s="38"/>
      <x:c r="W237" s="38"/>
      <x:c r="X237" s="38"/>
      <x:c r="Y237" s="38"/>
      <x:c r="Z237" s="38"/>
    </x:row>
    <x:row r="238">
      <x:c r="A238" s="38"/>
      <x:c r="B238" s="38"/>
      <x:c r="C238" s="38"/>
      <x:c r="D238" s="38"/>
      <x:c r="E238" s="38"/>
      <x:c r="F238" s="38"/>
      <x:c r="G238" s="38"/>
      <x:c r="H238" s="38"/>
      <x:c r="I238" s="38"/>
      <x:c r="J238" s="38"/>
      <x:c r="K238" s="38"/>
      <x:c r="L238" s="38"/>
      <x:c r="M238" s="38"/>
      <x:c r="N238" s="38"/>
      <x:c r="O238" s="38"/>
      <x:c r="P238" s="38"/>
      <x:c r="Q238" s="38"/>
      <x:c r="R238" s="38"/>
      <x:c r="S238" s="38"/>
      <x:c r="T238" s="38"/>
      <x:c r="U238" s="38"/>
      <x:c r="V238" s="38"/>
      <x:c r="W238" s="38"/>
      <x:c r="X238" s="38"/>
      <x:c r="Y238" s="38"/>
      <x:c r="Z238" s="38"/>
    </x:row>
    <x:row r="239">
      <x:c r="A239" s="38"/>
      <x:c r="B239" s="38"/>
      <x:c r="C239" s="38"/>
      <x:c r="D239" s="38"/>
      <x:c r="E239" s="38"/>
      <x:c r="F239" s="38"/>
      <x:c r="G239" s="38"/>
      <x:c r="H239" s="38"/>
      <x:c r="I239" s="38"/>
      <x:c r="J239" s="38"/>
      <x:c r="K239" s="38"/>
      <x:c r="L239" s="38"/>
      <x:c r="M239" s="38"/>
      <x:c r="N239" s="38"/>
      <x:c r="O239" s="38"/>
      <x:c r="P239" s="38"/>
      <x:c r="Q239" s="38"/>
      <x:c r="R239" s="38"/>
      <x:c r="S239" s="38"/>
      <x:c r="T239" s="38"/>
      <x:c r="U239" s="38"/>
      <x:c r="V239" s="38"/>
      <x:c r="W239" s="38"/>
      <x:c r="X239" s="38"/>
      <x:c r="Y239" s="38"/>
      <x:c r="Z239" s="38"/>
    </x:row>
    <x:row r="240">
      <x:c r="A240" s="38"/>
      <x:c r="B240" s="38"/>
      <x:c r="C240" s="38"/>
      <x:c r="D240" s="38"/>
      <x:c r="E240" s="38"/>
      <x:c r="F240" s="38"/>
      <x:c r="G240" s="38"/>
      <x:c r="H240" s="38"/>
      <x:c r="I240" s="38"/>
      <x:c r="J240" s="38"/>
      <x:c r="K240" s="38"/>
      <x:c r="L240" s="38"/>
      <x:c r="M240" s="38"/>
      <x:c r="N240" s="38"/>
      <x:c r="O240" s="38"/>
      <x:c r="P240" s="38"/>
      <x:c r="Q240" s="38"/>
      <x:c r="R240" s="38"/>
      <x:c r="S240" s="38"/>
      <x:c r="T240" s="38"/>
      <x:c r="U240" s="38"/>
      <x:c r="V240" s="38"/>
      <x:c r="W240" s="38"/>
      <x:c r="X240" s="38"/>
      <x:c r="Y240" s="38"/>
      <x:c r="Z240" s="38"/>
    </x:row>
    <x:row r="241">
      <x:c r="A241" s="38"/>
      <x:c r="B241" s="38"/>
      <x:c r="C241" s="38"/>
      <x:c r="D241" s="38"/>
      <x:c r="E241" s="38"/>
      <x:c r="F241" s="38"/>
      <x:c r="G241" s="38"/>
      <x:c r="H241" s="38"/>
      <x:c r="I241" s="38"/>
      <x:c r="J241" s="38"/>
      <x:c r="K241" s="38"/>
      <x:c r="L241" s="38"/>
      <x:c r="M241" s="38"/>
      <x:c r="N241" s="38"/>
      <x:c r="O241" s="38"/>
      <x:c r="P241" s="38"/>
      <x:c r="Q241" s="38"/>
      <x:c r="R241" s="38"/>
      <x:c r="S241" s="38"/>
      <x:c r="T241" s="38"/>
      <x:c r="U241" s="38"/>
      <x:c r="V241" s="38"/>
      <x:c r="W241" s="38"/>
      <x:c r="X241" s="38"/>
      <x:c r="Y241" s="38"/>
      <x:c r="Z241" s="38"/>
    </x:row>
    <x:row r="242">
      <x:c r="A242" s="38"/>
      <x:c r="B242" s="38"/>
      <x:c r="C242" s="38"/>
      <x:c r="D242" s="38"/>
      <x:c r="E242" s="38"/>
      <x:c r="F242" s="38"/>
      <x:c r="G242" s="38"/>
      <x:c r="H242" s="38"/>
      <x:c r="I242" s="38"/>
      <x:c r="J242" s="38"/>
      <x:c r="K242" s="38"/>
      <x:c r="L242" s="38"/>
      <x:c r="M242" s="38"/>
      <x:c r="N242" s="38"/>
      <x:c r="O242" s="38"/>
      <x:c r="P242" s="38"/>
      <x:c r="Q242" s="38"/>
      <x:c r="R242" s="38"/>
      <x:c r="S242" s="38"/>
      <x:c r="T242" s="38"/>
      <x:c r="U242" s="38"/>
      <x:c r="V242" s="38"/>
      <x:c r="W242" s="38"/>
      <x:c r="X242" s="38"/>
      <x:c r="Y242" s="38"/>
      <x:c r="Z242" s="38"/>
    </x:row>
    <x:row r="243">
      <x:c r="A243" s="38"/>
      <x:c r="B243" s="38"/>
      <x:c r="C243" s="38"/>
      <x:c r="D243" s="38"/>
      <x:c r="E243" s="38"/>
      <x:c r="F243" s="38"/>
      <x:c r="G243" s="38"/>
      <x:c r="H243" s="38"/>
      <x:c r="I243" s="38"/>
      <x:c r="J243" s="38"/>
      <x:c r="K243" s="38"/>
      <x:c r="L243" s="38"/>
      <x:c r="M243" s="38"/>
      <x:c r="N243" s="38"/>
      <x:c r="O243" s="38"/>
      <x:c r="P243" s="38"/>
      <x:c r="Q243" s="38"/>
      <x:c r="R243" s="38"/>
      <x:c r="S243" s="38"/>
      <x:c r="T243" s="38"/>
      <x:c r="U243" s="38"/>
      <x:c r="V243" s="38"/>
      <x:c r="W243" s="38"/>
      <x:c r="X243" s="38"/>
      <x:c r="Y243" s="38"/>
      <x:c r="Z243" s="38"/>
    </x:row>
    <x:row r="244">
      <x:c r="A244" s="38"/>
      <x:c r="B244" s="38"/>
      <x:c r="C244" s="38"/>
      <x:c r="D244" s="38"/>
      <x:c r="E244" s="38"/>
      <x:c r="F244" s="38"/>
      <x:c r="G244" s="38"/>
      <x:c r="H244" s="38"/>
      <x:c r="I244" s="38"/>
      <x:c r="J244" s="38"/>
      <x:c r="K244" s="38"/>
      <x:c r="L244" s="38"/>
      <x:c r="M244" s="38"/>
      <x:c r="N244" s="38"/>
      <x:c r="O244" s="38"/>
      <x:c r="P244" s="38"/>
      <x:c r="Q244" s="38"/>
      <x:c r="R244" s="38"/>
      <x:c r="S244" s="38"/>
      <x:c r="T244" s="38"/>
      <x:c r="U244" s="38"/>
      <x:c r="V244" s="38"/>
      <x:c r="W244" s="38"/>
      <x:c r="X244" s="38"/>
      <x:c r="Y244" s="38"/>
      <x:c r="Z244" s="38"/>
    </x:row>
    <x:row r="245">
      <x:c r="A245" s="38"/>
      <x:c r="B245" s="38"/>
      <x:c r="C245" s="38"/>
      <x:c r="D245" s="38"/>
      <x:c r="E245" s="38"/>
      <x:c r="F245" s="38"/>
      <x:c r="G245" s="38"/>
      <x:c r="H245" s="38"/>
      <x:c r="I245" s="38"/>
      <x:c r="J245" s="38"/>
      <x:c r="K245" s="38"/>
      <x:c r="L245" s="38"/>
      <x:c r="M245" s="38"/>
      <x:c r="N245" s="38"/>
      <x:c r="O245" s="38"/>
      <x:c r="P245" s="38"/>
      <x:c r="Q245" s="38"/>
      <x:c r="R245" s="38"/>
      <x:c r="S245" s="38"/>
      <x:c r="T245" s="38"/>
      <x:c r="U245" s="38"/>
      <x:c r="V245" s="38"/>
      <x:c r="W245" s="38"/>
      <x:c r="X245" s="38"/>
      <x:c r="Y245" s="38"/>
      <x:c r="Z245" s="38"/>
    </x:row>
    <x:row r="246">
      <x:c r="A246" s="38"/>
      <x:c r="B246" s="38"/>
      <x:c r="C246" s="38"/>
      <x:c r="D246" s="38"/>
      <x:c r="E246" s="38"/>
      <x:c r="F246" s="38"/>
      <x:c r="G246" s="38"/>
      <x:c r="H246" s="38"/>
      <x:c r="I246" s="38"/>
      <x:c r="J246" s="38"/>
      <x:c r="K246" s="38"/>
      <x:c r="L246" s="38"/>
      <x:c r="M246" s="38"/>
      <x:c r="N246" s="38"/>
      <x:c r="O246" s="38"/>
      <x:c r="P246" s="38"/>
      <x:c r="Q246" s="38"/>
      <x:c r="R246" s="38"/>
      <x:c r="S246" s="38"/>
      <x:c r="T246" s="38"/>
      <x:c r="U246" s="38"/>
      <x:c r="V246" s="38"/>
      <x:c r="W246" s="38"/>
      <x:c r="X246" s="38"/>
      <x:c r="Y246" s="38"/>
      <x:c r="Z246" s="38"/>
    </x:row>
    <x:row r="247">
      <x:c r="A247" s="38"/>
      <x:c r="B247" s="38"/>
      <x:c r="C247" s="38"/>
      <x:c r="D247" s="38"/>
      <x:c r="E247" s="38"/>
      <x:c r="F247" s="38"/>
      <x:c r="G247" s="38"/>
      <x:c r="H247" s="38"/>
      <x:c r="I247" s="38"/>
      <x:c r="J247" s="38"/>
      <x:c r="K247" s="38"/>
      <x:c r="L247" s="38"/>
      <x:c r="M247" s="38"/>
      <x:c r="N247" s="38"/>
      <x:c r="O247" s="38"/>
      <x:c r="P247" s="38"/>
      <x:c r="Q247" s="38"/>
      <x:c r="R247" s="38"/>
      <x:c r="S247" s="38"/>
      <x:c r="T247" s="38"/>
      <x:c r="U247" s="38"/>
      <x:c r="V247" s="38"/>
      <x:c r="W247" s="38"/>
      <x:c r="X247" s="38"/>
      <x:c r="Y247" s="38"/>
      <x:c r="Z247" s="38"/>
    </x:row>
    <x:row r="248">
      <x:c r="A248" s="38"/>
      <x:c r="B248" s="38"/>
      <x:c r="C248" s="38"/>
      <x:c r="D248" s="38"/>
      <x:c r="E248" s="38"/>
      <x:c r="F248" s="38"/>
      <x:c r="G248" s="38"/>
      <x:c r="H248" s="38"/>
      <x:c r="I248" s="38"/>
      <x:c r="J248" s="38"/>
      <x:c r="K248" s="38"/>
      <x:c r="L248" s="38"/>
      <x:c r="M248" s="38"/>
      <x:c r="N248" s="38"/>
      <x:c r="O248" s="38"/>
      <x:c r="P248" s="38"/>
      <x:c r="Q248" s="38"/>
      <x:c r="R248" s="38"/>
      <x:c r="S248" s="38"/>
      <x:c r="T248" s="38"/>
      <x:c r="U248" s="38"/>
      <x:c r="V248" s="38"/>
      <x:c r="W248" s="38"/>
      <x:c r="X248" s="38"/>
      <x:c r="Y248" s="38"/>
      <x:c r="Z248" s="38"/>
    </x:row>
    <x:row r="249">
      <x:c r="A249" s="38"/>
      <x:c r="B249" s="38"/>
      <x:c r="C249" s="38"/>
      <x:c r="D249" s="38"/>
      <x:c r="E249" s="38"/>
      <x:c r="F249" s="38"/>
      <x:c r="G249" s="38"/>
      <x:c r="H249" s="38"/>
      <x:c r="I249" s="38"/>
      <x:c r="J249" s="38"/>
      <x:c r="K249" s="38"/>
      <x:c r="L249" s="38"/>
      <x:c r="M249" s="38"/>
      <x:c r="N249" s="38"/>
      <x:c r="O249" s="38"/>
      <x:c r="P249" s="38"/>
      <x:c r="Q249" s="38"/>
      <x:c r="R249" s="38"/>
      <x:c r="S249" s="38"/>
      <x:c r="T249" s="38"/>
      <x:c r="U249" s="38"/>
      <x:c r="V249" s="38"/>
      <x:c r="W249" s="38"/>
      <x:c r="X249" s="38"/>
      <x:c r="Y249" s="38"/>
      <x:c r="Z249" s="38"/>
    </x:row>
    <x:row r="250">
      <x:c r="A250" s="38"/>
      <x:c r="B250" s="38"/>
      <x:c r="C250" s="38"/>
      <x:c r="D250" s="38"/>
      <x:c r="E250" s="38"/>
      <x:c r="F250" s="38"/>
      <x:c r="G250" s="38"/>
      <x:c r="H250" s="38"/>
      <x:c r="I250" s="38"/>
      <x:c r="J250" s="38"/>
      <x:c r="K250" s="38"/>
      <x:c r="L250" s="38"/>
      <x:c r="M250" s="38"/>
      <x:c r="N250" s="38"/>
      <x:c r="O250" s="38"/>
      <x:c r="P250" s="38"/>
      <x:c r="Q250" s="38"/>
      <x:c r="R250" s="38"/>
      <x:c r="S250" s="38"/>
      <x:c r="T250" s="38"/>
      <x:c r="U250" s="38"/>
      <x:c r="V250" s="38"/>
      <x:c r="W250" s="38"/>
      <x:c r="X250" s="38"/>
      <x:c r="Y250" s="38"/>
      <x:c r="Z250" s="38"/>
    </x:row>
    <x:row r="251">
      <x:c r="A251" s="38"/>
      <x:c r="B251" s="38"/>
      <x:c r="C251" s="38"/>
      <x:c r="D251" s="38"/>
      <x:c r="E251" s="38"/>
      <x:c r="F251" s="38"/>
      <x:c r="G251" s="38"/>
      <x:c r="H251" s="38"/>
      <x:c r="I251" s="38"/>
      <x:c r="J251" s="38"/>
      <x:c r="K251" s="38"/>
      <x:c r="L251" s="38"/>
      <x:c r="M251" s="38"/>
      <x:c r="N251" s="38"/>
      <x:c r="O251" s="38"/>
      <x:c r="P251" s="38"/>
      <x:c r="Q251" s="38"/>
      <x:c r="R251" s="38"/>
      <x:c r="S251" s="38"/>
      <x:c r="T251" s="38"/>
      <x:c r="U251" s="38"/>
      <x:c r="V251" s="38"/>
      <x:c r="W251" s="38"/>
      <x:c r="X251" s="38"/>
      <x:c r="Y251" s="38"/>
      <x:c r="Z251" s="38"/>
    </x:row>
    <x:row r="252">
      <x:c r="A252" s="38"/>
      <x:c r="B252" s="38"/>
      <x:c r="C252" s="38"/>
      <x:c r="D252" s="38"/>
      <x:c r="E252" s="38"/>
      <x:c r="F252" s="38"/>
      <x:c r="G252" s="38"/>
      <x:c r="H252" s="38"/>
      <x:c r="I252" s="38"/>
      <x:c r="J252" s="38"/>
      <x:c r="K252" s="38"/>
      <x:c r="L252" s="38"/>
      <x:c r="M252" s="38"/>
      <x:c r="N252" s="38"/>
      <x:c r="O252" s="38"/>
      <x:c r="P252" s="38"/>
      <x:c r="Q252" s="38"/>
      <x:c r="R252" s="38"/>
      <x:c r="S252" s="38"/>
      <x:c r="T252" s="38"/>
      <x:c r="U252" s="38"/>
      <x:c r="V252" s="38"/>
      <x:c r="W252" s="38"/>
      <x:c r="X252" s="38"/>
      <x:c r="Y252" s="38"/>
      <x:c r="Z252" s="38"/>
    </x:row>
    <x:row r="253">
      <x:c r="A253" s="38"/>
      <x:c r="B253" s="38"/>
      <x:c r="C253" s="38"/>
      <x:c r="D253" s="38"/>
      <x:c r="E253" s="38"/>
      <x:c r="F253" s="38"/>
      <x:c r="G253" s="38"/>
      <x:c r="H253" s="38"/>
      <x:c r="I253" s="38"/>
      <x:c r="J253" s="38"/>
      <x:c r="K253" s="38"/>
      <x:c r="L253" s="38"/>
      <x:c r="M253" s="38"/>
      <x:c r="N253" s="38"/>
      <x:c r="O253" s="38"/>
      <x:c r="P253" s="38"/>
      <x:c r="Q253" s="38"/>
      <x:c r="R253" s="38"/>
      <x:c r="S253" s="38"/>
      <x:c r="T253" s="38"/>
      <x:c r="U253" s="38"/>
      <x:c r="V253" s="38"/>
      <x:c r="W253" s="38"/>
      <x:c r="X253" s="38"/>
      <x:c r="Y253" s="38"/>
      <x:c r="Z253" s="38"/>
    </x:row>
    <x:row r="254">
      <x:c r="A254" s="38"/>
      <x:c r="B254" s="38"/>
      <x:c r="C254" s="38"/>
      <x:c r="D254" s="38"/>
      <x:c r="E254" s="38"/>
      <x:c r="F254" s="38"/>
      <x:c r="G254" s="38"/>
      <x:c r="H254" s="38"/>
      <x:c r="I254" s="38"/>
      <x:c r="J254" s="38"/>
      <x:c r="K254" s="38"/>
      <x:c r="L254" s="38"/>
      <x:c r="M254" s="38"/>
      <x:c r="N254" s="38"/>
      <x:c r="O254" s="38"/>
      <x:c r="P254" s="38"/>
      <x:c r="Q254" s="38"/>
      <x:c r="R254" s="38"/>
      <x:c r="S254" s="38"/>
      <x:c r="T254" s="38"/>
      <x:c r="U254" s="38"/>
      <x:c r="V254" s="38"/>
      <x:c r="W254" s="38"/>
      <x:c r="X254" s="38"/>
      <x:c r="Y254" s="38"/>
      <x:c r="Z254" s="38"/>
    </x:row>
    <x:row r="255">
      <x:c r="A255" s="38"/>
      <x:c r="B255" s="38"/>
      <x:c r="C255" s="38"/>
      <x:c r="D255" s="38"/>
      <x:c r="E255" s="38"/>
      <x:c r="F255" s="38"/>
      <x:c r="G255" s="38"/>
      <x:c r="H255" s="38"/>
      <x:c r="I255" s="38"/>
      <x:c r="J255" s="38"/>
      <x:c r="K255" s="38"/>
      <x:c r="L255" s="38"/>
      <x:c r="M255" s="38"/>
      <x:c r="N255" s="38"/>
      <x:c r="O255" s="38"/>
      <x:c r="P255" s="38"/>
      <x:c r="Q255" s="38"/>
      <x:c r="R255" s="38"/>
      <x:c r="S255" s="38"/>
      <x:c r="T255" s="38"/>
      <x:c r="U255" s="38"/>
      <x:c r="V255" s="38"/>
      <x:c r="W255" s="38"/>
      <x:c r="X255" s="38"/>
      <x:c r="Y255" s="38"/>
      <x:c r="Z255" s="38"/>
    </x:row>
    <x:row r="256">
      <x:c r="A256" s="38"/>
      <x:c r="B256" s="38"/>
      <x:c r="C256" s="38"/>
      <x:c r="D256" s="38"/>
      <x:c r="E256" s="38"/>
      <x:c r="F256" s="38"/>
      <x:c r="G256" s="38"/>
      <x:c r="H256" s="38"/>
      <x:c r="I256" s="38"/>
      <x:c r="J256" s="38"/>
      <x:c r="K256" s="38"/>
      <x:c r="L256" s="38"/>
      <x:c r="M256" s="38"/>
      <x:c r="N256" s="38"/>
      <x:c r="O256" s="38"/>
      <x:c r="P256" s="38"/>
      <x:c r="Q256" s="38"/>
      <x:c r="R256" s="38"/>
      <x:c r="S256" s="38"/>
      <x:c r="T256" s="38"/>
      <x:c r="U256" s="38"/>
      <x:c r="V256" s="38"/>
      <x:c r="W256" s="38"/>
      <x:c r="X256" s="38"/>
      <x:c r="Y256" s="38"/>
      <x:c r="Z256" s="38"/>
    </x:row>
    <x:row r="257">
      <x:c r="A257" s="38"/>
      <x:c r="B257" s="38"/>
      <x:c r="C257" s="38"/>
      <x:c r="D257" s="38"/>
      <x:c r="E257" s="38"/>
      <x:c r="F257" s="38"/>
      <x:c r="G257" s="38"/>
      <x:c r="H257" s="38"/>
      <x:c r="I257" s="38"/>
      <x:c r="J257" s="38"/>
      <x:c r="K257" s="38"/>
      <x:c r="L257" s="38"/>
      <x:c r="M257" s="38"/>
      <x:c r="N257" s="38"/>
      <x:c r="O257" s="38"/>
      <x:c r="P257" s="38"/>
      <x:c r="Q257" s="38"/>
      <x:c r="R257" s="38"/>
      <x:c r="S257" s="38"/>
      <x:c r="T257" s="38"/>
      <x:c r="U257" s="38"/>
      <x:c r="V257" s="38"/>
      <x:c r="W257" s="38"/>
      <x:c r="X257" s="38"/>
      <x:c r="Y257" s="38"/>
      <x:c r="Z257" s="38"/>
    </x:row>
    <x:row r="258">
      <x:c r="A258" s="38"/>
      <x:c r="B258" s="38"/>
      <x:c r="C258" s="38"/>
      <x:c r="D258" s="38"/>
      <x:c r="E258" s="38"/>
      <x:c r="F258" s="38"/>
      <x:c r="G258" s="38"/>
      <x:c r="H258" s="38"/>
      <x:c r="I258" s="38"/>
      <x:c r="J258" s="38"/>
      <x:c r="K258" s="38"/>
      <x:c r="L258" s="38"/>
      <x:c r="M258" s="38"/>
      <x:c r="N258" s="38"/>
      <x:c r="O258" s="38"/>
      <x:c r="P258" s="38"/>
      <x:c r="Q258" s="38"/>
      <x:c r="R258" s="38"/>
      <x:c r="S258" s="38"/>
      <x:c r="T258" s="38"/>
      <x:c r="U258" s="38"/>
      <x:c r="V258" s="38"/>
      <x:c r="W258" s="38"/>
      <x:c r="X258" s="38"/>
      <x:c r="Y258" s="38"/>
      <x:c r="Z258" s="38"/>
    </x:row>
    <x:row r="259">
      <x:c r="A259" s="38"/>
      <x:c r="B259" s="38"/>
      <x:c r="C259" s="38"/>
      <x:c r="D259" s="38"/>
      <x:c r="E259" s="38"/>
      <x:c r="F259" s="38"/>
      <x:c r="G259" s="38"/>
      <x:c r="H259" s="38"/>
      <x:c r="I259" s="38"/>
      <x:c r="J259" s="38"/>
      <x:c r="K259" s="38"/>
      <x:c r="L259" s="38"/>
      <x:c r="M259" s="38"/>
      <x:c r="N259" s="38"/>
      <x:c r="O259" s="38"/>
      <x:c r="P259" s="38"/>
      <x:c r="Q259" s="38"/>
      <x:c r="R259" s="38"/>
      <x:c r="S259" s="38"/>
      <x:c r="T259" s="38"/>
      <x:c r="U259" s="38"/>
      <x:c r="V259" s="38"/>
      <x:c r="W259" s="38"/>
      <x:c r="X259" s="38"/>
      <x:c r="Y259" s="38"/>
      <x:c r="Z259" s="38"/>
    </x:row>
    <x:row r="260">
      <x:c r="A260" s="38"/>
      <x:c r="B260" s="38"/>
      <x:c r="C260" s="38"/>
      <x:c r="D260" s="38"/>
      <x:c r="E260" s="38"/>
      <x:c r="F260" s="38"/>
      <x:c r="G260" s="38"/>
      <x:c r="H260" s="38"/>
      <x:c r="I260" s="38"/>
      <x:c r="J260" s="38"/>
      <x:c r="K260" s="38"/>
      <x:c r="L260" s="38"/>
      <x:c r="M260" s="38"/>
      <x:c r="N260" s="38"/>
      <x:c r="O260" s="38"/>
      <x:c r="P260" s="38"/>
      <x:c r="Q260" s="38"/>
      <x:c r="R260" s="38"/>
      <x:c r="S260" s="38"/>
      <x:c r="T260" s="38"/>
      <x:c r="U260" s="38"/>
      <x:c r="V260" s="38"/>
      <x:c r="W260" s="38"/>
      <x:c r="X260" s="38"/>
      <x:c r="Y260" s="38"/>
      <x:c r="Z260" s="38"/>
    </x:row>
    <x:row r="261">
      <x:c r="A261" s="38"/>
      <x:c r="B261" s="38"/>
      <x:c r="C261" s="38"/>
      <x:c r="D261" s="38"/>
      <x:c r="E261" s="38"/>
      <x:c r="F261" s="38"/>
      <x:c r="G261" s="38"/>
      <x:c r="H261" s="38"/>
      <x:c r="I261" s="38"/>
      <x:c r="J261" s="38"/>
      <x:c r="K261" s="38"/>
      <x:c r="L261" s="38"/>
      <x:c r="M261" s="38"/>
      <x:c r="N261" s="38"/>
      <x:c r="O261" s="38"/>
      <x:c r="P261" s="38"/>
      <x:c r="Q261" s="38"/>
      <x:c r="R261" s="38"/>
      <x:c r="S261" s="38"/>
      <x:c r="T261" s="38"/>
      <x:c r="U261" s="38"/>
      <x:c r="V261" s="38"/>
      <x:c r="W261" s="38"/>
      <x:c r="X261" s="38"/>
      <x:c r="Y261" s="38"/>
      <x:c r="Z261" s="38"/>
    </x:row>
    <x:row r="262">
      <x:c r="A262" s="38"/>
      <x:c r="B262" s="38"/>
      <x:c r="C262" s="38"/>
      <x:c r="D262" s="38"/>
      <x:c r="E262" s="38"/>
      <x:c r="F262" s="38"/>
      <x:c r="G262" s="38"/>
      <x:c r="H262" s="38"/>
      <x:c r="I262" s="38"/>
      <x:c r="J262" s="38"/>
      <x:c r="K262" s="38"/>
      <x:c r="L262" s="38"/>
      <x:c r="M262" s="38"/>
      <x:c r="N262" s="38"/>
      <x:c r="O262" s="38"/>
      <x:c r="P262" s="38"/>
      <x:c r="Q262" s="38"/>
      <x:c r="R262" s="38"/>
      <x:c r="S262" s="38"/>
      <x:c r="T262" s="38"/>
      <x:c r="U262" s="38"/>
      <x:c r="V262" s="38"/>
      <x:c r="W262" s="38"/>
      <x:c r="X262" s="38"/>
      <x:c r="Y262" s="38"/>
      <x:c r="Z262" s="38"/>
    </x:row>
    <x:row r="263">
      <x:c r="A263" s="38"/>
      <x:c r="B263" s="38"/>
      <x:c r="C263" s="38"/>
      <x:c r="D263" s="38"/>
      <x:c r="E263" s="38"/>
      <x:c r="F263" s="38"/>
      <x:c r="G263" s="38"/>
      <x:c r="H263" s="38"/>
      <x:c r="I263" s="38"/>
      <x:c r="J263" s="38"/>
      <x:c r="K263" s="38"/>
      <x:c r="L263" s="38"/>
      <x:c r="M263" s="38"/>
      <x:c r="N263" s="38"/>
      <x:c r="O263" s="38"/>
      <x:c r="P263" s="38"/>
      <x:c r="Q263" s="38"/>
      <x:c r="R263" s="38"/>
      <x:c r="S263" s="38"/>
      <x:c r="T263" s="38"/>
      <x:c r="U263" s="38"/>
      <x:c r="V263" s="38"/>
      <x:c r="W263" s="38"/>
      <x:c r="X263" s="38"/>
      <x:c r="Y263" s="38"/>
      <x:c r="Z263" s="38"/>
    </x:row>
    <x:row r="264">
      <x:c r="A264" s="38"/>
      <x:c r="B264" s="38"/>
      <x:c r="C264" s="38"/>
      <x:c r="D264" s="38"/>
      <x:c r="E264" s="38"/>
      <x:c r="F264" s="38"/>
      <x:c r="G264" s="38"/>
      <x:c r="H264" s="38"/>
      <x:c r="I264" s="38"/>
      <x:c r="J264" s="38"/>
      <x:c r="K264" s="38"/>
      <x:c r="L264" s="38"/>
      <x:c r="M264" s="38"/>
      <x:c r="N264" s="38"/>
      <x:c r="O264" s="38"/>
      <x:c r="P264" s="38"/>
      <x:c r="Q264" s="38"/>
      <x:c r="R264" s="38"/>
      <x:c r="S264" s="38"/>
      <x:c r="T264" s="38"/>
      <x:c r="U264" s="38"/>
      <x:c r="V264" s="38"/>
      <x:c r="W264" s="38"/>
      <x:c r="X264" s="38"/>
      <x:c r="Y264" s="38"/>
      <x:c r="Z264" s="38"/>
    </x:row>
    <x:row r="265">
      <x:c r="A265" s="38"/>
      <x:c r="B265" s="38"/>
      <x:c r="C265" s="38"/>
      <x:c r="D265" s="38"/>
      <x:c r="E265" s="38"/>
      <x:c r="F265" s="38"/>
      <x:c r="G265" s="38"/>
      <x:c r="H265" s="38"/>
      <x:c r="I265" s="38"/>
      <x:c r="J265" s="38"/>
      <x:c r="K265" s="38"/>
      <x:c r="L265" s="38"/>
      <x:c r="M265" s="38"/>
      <x:c r="N265" s="38"/>
      <x:c r="O265" s="38"/>
      <x:c r="P265" s="38"/>
      <x:c r="Q265" s="38"/>
      <x:c r="R265" s="38"/>
      <x:c r="S265" s="38"/>
      <x:c r="T265" s="38"/>
      <x:c r="U265" s="38"/>
      <x:c r="V265" s="38"/>
      <x:c r="W265" s="38"/>
      <x:c r="X265" s="38"/>
      <x:c r="Y265" s="38"/>
      <x:c r="Z265" s="38"/>
    </x:row>
    <x:row r="266">
      <x:c r="A266" s="38"/>
      <x:c r="B266" s="38"/>
      <x:c r="C266" s="38"/>
      <x:c r="D266" s="38"/>
      <x:c r="E266" s="38"/>
      <x:c r="F266" s="38"/>
      <x:c r="G266" s="38"/>
      <x:c r="H266" s="38"/>
      <x:c r="I266" s="38"/>
      <x:c r="J266" s="38"/>
      <x:c r="K266" s="38"/>
      <x:c r="L266" s="38"/>
      <x:c r="M266" s="38"/>
      <x:c r="N266" s="38"/>
      <x:c r="O266" s="38"/>
      <x:c r="P266" s="38"/>
      <x:c r="Q266" s="38"/>
      <x:c r="R266" s="38"/>
      <x:c r="S266" s="38"/>
      <x:c r="T266" s="38"/>
      <x:c r="U266" s="38"/>
      <x:c r="V266" s="38"/>
      <x:c r="W266" s="38"/>
      <x:c r="X266" s="38"/>
      <x:c r="Y266" s="38"/>
      <x:c r="Z266" s="38"/>
    </x:row>
    <x:row r="267">
      <x:c r="A267" s="38"/>
      <x:c r="B267" s="38"/>
      <x:c r="C267" s="38"/>
      <x:c r="D267" s="38"/>
      <x:c r="E267" s="38"/>
      <x:c r="F267" s="38"/>
      <x:c r="G267" s="38"/>
      <x:c r="H267" s="38"/>
      <x:c r="I267" s="38"/>
      <x:c r="J267" s="38"/>
      <x:c r="K267" s="38"/>
      <x:c r="L267" s="38"/>
      <x:c r="M267" s="38"/>
      <x:c r="N267" s="38"/>
      <x:c r="O267" s="38"/>
      <x:c r="P267" s="38"/>
      <x:c r="Q267" s="38"/>
      <x:c r="R267" s="38"/>
      <x:c r="S267" s="38"/>
      <x:c r="T267" s="38"/>
      <x:c r="U267" s="38"/>
      <x:c r="V267" s="38"/>
      <x:c r="W267" s="38"/>
      <x:c r="X267" s="38"/>
      <x:c r="Y267" s="38"/>
      <x:c r="Z267" s="38"/>
    </x:row>
    <x:row r="268">
      <x:c r="A268" s="38"/>
      <x:c r="B268" s="38"/>
      <x:c r="C268" s="38"/>
      <x:c r="D268" s="38"/>
      <x:c r="E268" s="38"/>
      <x:c r="F268" s="38"/>
      <x:c r="G268" s="38"/>
      <x:c r="H268" s="38"/>
      <x:c r="I268" s="38"/>
      <x:c r="J268" s="38"/>
      <x:c r="K268" s="38"/>
      <x:c r="L268" s="38"/>
      <x:c r="M268" s="38"/>
      <x:c r="N268" s="38"/>
      <x:c r="O268" s="38"/>
      <x:c r="P268" s="38"/>
      <x:c r="Q268" s="38"/>
      <x:c r="R268" s="38"/>
      <x:c r="S268" s="38"/>
      <x:c r="T268" s="38"/>
      <x:c r="U268" s="38"/>
      <x:c r="V268" s="38"/>
      <x:c r="W268" s="38"/>
      <x:c r="X268" s="38"/>
      <x:c r="Y268" s="38"/>
      <x:c r="Z268" s="38"/>
    </x:row>
    <x:row r="269">
      <x:c r="A269" s="38"/>
      <x:c r="B269" s="38"/>
      <x:c r="C269" s="38"/>
      <x:c r="D269" s="38"/>
      <x:c r="E269" s="38"/>
      <x:c r="F269" s="38"/>
      <x:c r="G269" s="38"/>
      <x:c r="H269" s="38"/>
      <x:c r="I269" s="38"/>
      <x:c r="J269" s="38"/>
      <x:c r="K269" s="38"/>
      <x:c r="L269" s="38"/>
      <x:c r="M269" s="38"/>
      <x:c r="N269" s="38"/>
      <x:c r="O269" s="38"/>
      <x:c r="P269" s="38"/>
      <x:c r="Q269" s="38"/>
      <x:c r="R269" s="38"/>
      <x:c r="S269" s="38"/>
      <x:c r="T269" s="38"/>
      <x:c r="U269" s="38"/>
      <x:c r="V269" s="38"/>
      <x:c r="W269" s="38"/>
      <x:c r="X269" s="38"/>
      <x:c r="Y269" s="38"/>
      <x:c r="Z269" s="38"/>
    </x:row>
    <x:row r="270">
      <x:c r="A270" s="38"/>
      <x:c r="B270" s="38"/>
      <x:c r="C270" s="38"/>
      <x:c r="D270" s="38"/>
      <x:c r="E270" s="38"/>
      <x:c r="F270" s="38"/>
      <x:c r="G270" s="38"/>
      <x:c r="H270" s="38"/>
      <x:c r="I270" s="38"/>
      <x:c r="J270" s="38"/>
      <x:c r="K270" s="38"/>
      <x:c r="L270" s="38"/>
      <x:c r="M270" s="38"/>
      <x:c r="N270" s="38"/>
      <x:c r="O270" s="38"/>
      <x:c r="P270" s="38"/>
      <x:c r="Q270" s="38"/>
      <x:c r="R270" s="38"/>
      <x:c r="S270" s="38"/>
      <x:c r="T270" s="38"/>
      <x:c r="U270" s="38"/>
      <x:c r="V270" s="38"/>
      <x:c r="W270" s="38"/>
      <x:c r="X270" s="38"/>
      <x:c r="Y270" s="38"/>
      <x:c r="Z270" s="38"/>
    </x:row>
    <x:row r="271">
      <x:c r="A271" s="38"/>
      <x:c r="B271" s="38"/>
      <x:c r="C271" s="38"/>
      <x:c r="D271" s="38"/>
      <x:c r="E271" s="38"/>
      <x:c r="F271" s="38"/>
      <x:c r="G271" s="38"/>
      <x:c r="H271" s="38"/>
      <x:c r="I271" s="38"/>
      <x:c r="J271" s="38"/>
      <x:c r="K271" s="38"/>
      <x:c r="L271" s="38"/>
      <x:c r="M271" s="38"/>
      <x:c r="N271" s="38"/>
      <x:c r="O271" s="38"/>
      <x:c r="P271" s="38"/>
      <x:c r="Q271" s="38"/>
      <x:c r="R271" s="38"/>
      <x:c r="S271" s="38"/>
      <x:c r="T271" s="38"/>
      <x:c r="U271" s="38"/>
      <x:c r="V271" s="38"/>
      <x:c r="W271" s="38"/>
      <x:c r="X271" s="38"/>
      <x:c r="Y271" s="38"/>
      <x:c r="Z271" s="38"/>
    </x:row>
    <x:row r="272">
      <x:c r="A272" s="38"/>
      <x:c r="B272" s="38"/>
      <x:c r="C272" s="38"/>
      <x:c r="D272" s="38"/>
      <x:c r="E272" s="38"/>
      <x:c r="F272" s="38"/>
      <x:c r="G272" s="38"/>
      <x:c r="H272" s="38"/>
      <x:c r="I272" s="38"/>
      <x:c r="J272" s="38"/>
      <x:c r="K272" s="38"/>
      <x:c r="L272" s="38"/>
      <x:c r="M272" s="38"/>
      <x:c r="N272" s="38"/>
      <x:c r="O272" s="38"/>
      <x:c r="P272" s="38"/>
      <x:c r="Q272" s="38"/>
      <x:c r="R272" s="38"/>
      <x:c r="S272" s="38"/>
      <x:c r="T272" s="38"/>
      <x:c r="U272" s="38"/>
      <x:c r="V272" s="38"/>
      <x:c r="W272" s="38"/>
      <x:c r="X272" s="38"/>
      <x:c r="Y272" s="38"/>
      <x:c r="Z272" s="38"/>
    </x:row>
    <x:row r="273">
      <x:c r="A273" s="38"/>
      <x:c r="B273" s="38"/>
      <x:c r="C273" s="38"/>
      <x:c r="D273" s="38"/>
      <x:c r="E273" s="38"/>
      <x:c r="F273" s="38"/>
      <x:c r="G273" s="38"/>
      <x:c r="H273" s="38"/>
      <x:c r="I273" s="38"/>
      <x:c r="J273" s="38"/>
      <x:c r="K273" s="38"/>
      <x:c r="L273" s="38"/>
      <x:c r="M273" s="38"/>
      <x:c r="N273" s="38"/>
      <x:c r="O273" s="38"/>
      <x:c r="P273" s="38"/>
      <x:c r="Q273" s="38"/>
      <x:c r="R273" s="38"/>
      <x:c r="S273" s="38"/>
      <x:c r="T273" s="38"/>
      <x:c r="U273" s="38"/>
      <x:c r="V273" s="38"/>
      <x:c r="W273" s="38"/>
      <x:c r="X273" s="38"/>
      <x:c r="Y273" s="38"/>
      <x:c r="Z273" s="38"/>
    </x:row>
    <x:row r="274">
      <x:c r="A274" s="38"/>
      <x:c r="B274" s="38"/>
      <x:c r="C274" s="38"/>
      <x:c r="D274" s="38"/>
      <x:c r="E274" s="38"/>
      <x:c r="F274" s="38"/>
      <x:c r="G274" s="38"/>
      <x:c r="H274" s="38"/>
      <x:c r="I274" s="38"/>
      <x:c r="J274" s="38"/>
      <x:c r="K274" s="38"/>
      <x:c r="L274" s="38"/>
      <x:c r="M274" s="38"/>
      <x:c r="N274" s="38"/>
      <x:c r="O274" s="38"/>
      <x:c r="P274" s="38"/>
      <x:c r="Q274" s="38"/>
      <x:c r="R274" s="38"/>
      <x:c r="S274" s="38"/>
      <x:c r="T274" s="38"/>
      <x:c r="U274" s="38"/>
      <x:c r="V274" s="38"/>
      <x:c r="W274" s="38"/>
      <x:c r="X274" s="38"/>
      <x:c r="Y274" s="38"/>
      <x:c r="Z274" s="38"/>
    </x:row>
    <x:row r="275">
      <x:c r="A275" s="38"/>
      <x:c r="B275" s="38"/>
      <x:c r="C275" s="38"/>
      <x:c r="D275" s="38"/>
      <x:c r="E275" s="38"/>
      <x:c r="F275" s="38"/>
      <x:c r="G275" s="38"/>
      <x:c r="H275" s="38"/>
      <x:c r="I275" s="38"/>
      <x:c r="J275" s="38"/>
      <x:c r="K275" s="38"/>
      <x:c r="L275" s="38"/>
      <x:c r="M275" s="38"/>
      <x:c r="N275" s="38"/>
      <x:c r="O275" s="38"/>
      <x:c r="P275" s="38"/>
      <x:c r="Q275" s="38"/>
      <x:c r="R275" s="38"/>
      <x:c r="S275" s="38"/>
      <x:c r="T275" s="38"/>
      <x:c r="U275" s="38"/>
      <x:c r="V275" s="38"/>
      <x:c r="W275" s="38"/>
      <x:c r="X275" s="38"/>
      <x:c r="Y275" s="38"/>
      <x:c r="Z275" s="38"/>
    </x:row>
    <x:row r="276">
      <x:c r="A276" s="38"/>
      <x:c r="B276" s="38"/>
      <x:c r="C276" s="38"/>
      <x:c r="D276" s="38"/>
      <x:c r="E276" s="38"/>
      <x:c r="F276" s="38"/>
      <x:c r="G276" s="38"/>
      <x:c r="H276" s="38"/>
      <x:c r="I276" s="38"/>
      <x:c r="J276" s="38"/>
      <x:c r="K276" s="38"/>
      <x:c r="L276" s="38"/>
      <x:c r="M276" s="38"/>
      <x:c r="N276" s="38"/>
      <x:c r="O276" s="38"/>
      <x:c r="P276" s="38"/>
      <x:c r="Q276" s="38"/>
      <x:c r="R276" s="38"/>
      <x:c r="S276" s="38"/>
      <x:c r="T276" s="38"/>
      <x:c r="U276" s="38"/>
      <x:c r="V276" s="38"/>
      <x:c r="W276" s="38"/>
      <x:c r="X276" s="38"/>
      <x:c r="Y276" s="38"/>
      <x:c r="Z276" s="38"/>
    </x:row>
    <x:row r="277">
      <x:c r="A277" s="38"/>
      <x:c r="B277" s="38"/>
      <x:c r="C277" s="38"/>
      <x:c r="D277" s="38"/>
      <x:c r="E277" s="38"/>
      <x:c r="F277" s="38"/>
      <x:c r="G277" s="38"/>
      <x:c r="H277" s="38"/>
      <x:c r="I277" s="38"/>
      <x:c r="J277" s="38"/>
      <x:c r="K277" s="38"/>
      <x:c r="L277" s="38"/>
      <x:c r="M277" s="38"/>
      <x:c r="N277" s="38"/>
      <x:c r="O277" s="38"/>
      <x:c r="P277" s="38"/>
      <x:c r="Q277" s="38"/>
      <x:c r="R277" s="38"/>
      <x:c r="S277" s="38"/>
      <x:c r="T277" s="38"/>
      <x:c r="U277" s="38"/>
      <x:c r="V277" s="38"/>
      <x:c r="W277" s="38"/>
      <x:c r="X277" s="38"/>
      <x:c r="Y277" s="38"/>
      <x:c r="Z277" s="38"/>
    </x:row>
    <x:row r="278">
      <x:c r="A278" s="38"/>
      <x:c r="B278" s="38"/>
      <x:c r="C278" s="38"/>
      <x:c r="D278" s="38"/>
      <x:c r="E278" s="38"/>
      <x:c r="F278" s="38"/>
      <x:c r="G278" s="38"/>
      <x:c r="H278" s="38"/>
      <x:c r="I278" s="38"/>
      <x:c r="J278" s="38"/>
      <x:c r="K278" s="38"/>
      <x:c r="L278" s="38"/>
      <x:c r="M278" s="38"/>
      <x:c r="N278" s="38"/>
      <x:c r="O278" s="38"/>
      <x:c r="P278" s="38"/>
      <x:c r="Q278" s="38"/>
      <x:c r="R278" s="38"/>
      <x:c r="S278" s="38"/>
      <x:c r="T278" s="38"/>
      <x:c r="U278" s="38"/>
      <x:c r="V278" s="38"/>
      <x:c r="W278" s="38"/>
      <x:c r="X278" s="38"/>
      <x:c r="Y278" s="38"/>
      <x:c r="Z278" s="38"/>
    </x:row>
    <x:row r="279">
      <x:c r="A279" s="38"/>
      <x:c r="B279" s="38"/>
      <x:c r="C279" s="38"/>
      <x:c r="D279" s="38"/>
      <x:c r="E279" s="38"/>
      <x:c r="F279" s="38"/>
      <x:c r="G279" s="38"/>
      <x:c r="H279" s="38"/>
      <x:c r="I279" s="38"/>
      <x:c r="J279" s="38"/>
      <x:c r="K279" s="38"/>
      <x:c r="L279" s="38"/>
      <x:c r="M279" s="38"/>
      <x:c r="N279" s="38"/>
      <x:c r="O279" s="38"/>
      <x:c r="P279" s="38"/>
      <x:c r="Q279" s="38"/>
      <x:c r="R279" s="38"/>
      <x:c r="S279" s="38"/>
      <x:c r="T279" s="38"/>
      <x:c r="U279" s="38"/>
      <x:c r="V279" s="38"/>
      <x:c r="W279" s="38"/>
      <x:c r="X279" s="38"/>
      <x:c r="Y279" s="38"/>
      <x:c r="Z279" s="38"/>
    </x:row>
    <x:row r="280">
      <x:c r="A280" s="38"/>
      <x:c r="B280" s="38"/>
      <x:c r="C280" s="38"/>
      <x:c r="D280" s="38"/>
      <x:c r="E280" s="38"/>
      <x:c r="F280" s="38"/>
      <x:c r="G280" s="38"/>
      <x:c r="H280" s="38"/>
      <x:c r="I280" s="38"/>
      <x:c r="J280" s="38"/>
      <x:c r="K280" s="38"/>
      <x:c r="L280" s="38"/>
      <x:c r="M280" s="38"/>
      <x:c r="N280" s="38"/>
      <x:c r="O280" s="38"/>
      <x:c r="P280" s="38"/>
      <x:c r="Q280" s="38"/>
      <x:c r="R280" s="38"/>
      <x:c r="S280" s="38"/>
      <x:c r="T280" s="38"/>
      <x:c r="U280" s="38"/>
      <x:c r="V280" s="38"/>
      <x:c r="W280" s="38"/>
      <x:c r="X280" s="38"/>
      <x:c r="Y280" s="38"/>
      <x:c r="Z280" s="38"/>
    </x:row>
    <x:row r="281">
      <x:c r="A281" s="38"/>
      <x:c r="B281" s="38"/>
      <x:c r="C281" s="38"/>
      <x:c r="D281" s="38"/>
      <x:c r="E281" s="38"/>
      <x:c r="F281" s="38"/>
      <x:c r="G281" s="38"/>
      <x:c r="H281" s="38"/>
      <x:c r="I281" s="38"/>
      <x:c r="J281" s="38"/>
      <x:c r="K281" s="38"/>
      <x:c r="L281" s="38"/>
      <x:c r="M281" s="38"/>
      <x:c r="N281" s="38"/>
      <x:c r="O281" s="38"/>
      <x:c r="P281" s="38"/>
      <x:c r="Q281" s="38"/>
      <x:c r="R281" s="38"/>
      <x:c r="S281" s="38"/>
      <x:c r="T281" s="38"/>
      <x:c r="U281" s="38"/>
      <x:c r="V281" s="38"/>
      <x:c r="W281" s="38"/>
      <x:c r="X281" s="38"/>
      <x:c r="Y281" s="38"/>
      <x:c r="Z281" s="38"/>
    </x:row>
    <x:row r="282">
      <x:c r="A282" s="38"/>
      <x:c r="B282" s="38"/>
      <x:c r="C282" s="38"/>
      <x:c r="D282" s="38"/>
      <x:c r="E282" s="38"/>
      <x:c r="F282" s="38"/>
      <x:c r="G282" s="38"/>
      <x:c r="H282" s="38"/>
      <x:c r="I282" s="38"/>
      <x:c r="J282" s="38"/>
      <x:c r="K282" s="38"/>
      <x:c r="L282" s="38"/>
      <x:c r="M282" s="38"/>
      <x:c r="N282" s="38"/>
      <x:c r="O282" s="38"/>
      <x:c r="P282" s="38"/>
      <x:c r="Q282" s="38"/>
      <x:c r="R282" s="38"/>
      <x:c r="S282" s="38"/>
      <x:c r="T282" s="38"/>
      <x:c r="U282" s="38"/>
      <x:c r="V282" s="38"/>
      <x:c r="W282" s="38"/>
      <x:c r="X282" s="38"/>
      <x:c r="Y282" s="38"/>
      <x:c r="Z282" s="38"/>
    </x:row>
    <x:row r="283">
      <x:c r="A283" s="38"/>
      <x:c r="B283" s="38"/>
      <x:c r="C283" s="38"/>
      <x:c r="D283" s="38"/>
      <x:c r="E283" s="38"/>
      <x:c r="F283" s="38"/>
      <x:c r="G283" s="38"/>
      <x:c r="H283" s="38"/>
      <x:c r="I283" s="38"/>
      <x:c r="J283" s="38"/>
      <x:c r="K283" s="38"/>
      <x:c r="L283" s="38"/>
      <x:c r="M283" s="38"/>
      <x:c r="N283" s="38"/>
      <x:c r="O283" s="38"/>
      <x:c r="P283" s="38"/>
      <x:c r="Q283" s="38"/>
      <x:c r="R283" s="38"/>
      <x:c r="S283" s="38"/>
      <x:c r="T283" s="38"/>
      <x:c r="U283" s="38"/>
      <x:c r="V283" s="38"/>
      <x:c r="W283" s="38"/>
      <x:c r="X283" s="38"/>
      <x:c r="Y283" s="38"/>
      <x:c r="Z283" s="38"/>
    </x:row>
    <x:row r="284">
      <x:c r="A284" s="38"/>
      <x:c r="B284" s="38"/>
      <x:c r="C284" s="38"/>
      <x:c r="D284" s="38"/>
      <x:c r="E284" s="38"/>
      <x:c r="F284" s="38"/>
      <x:c r="G284" s="38"/>
      <x:c r="H284" s="38"/>
      <x:c r="I284" s="38"/>
      <x:c r="J284" s="38"/>
      <x:c r="K284" s="38"/>
      <x:c r="L284" s="38"/>
      <x:c r="M284" s="38"/>
      <x:c r="N284" s="38"/>
      <x:c r="O284" s="38"/>
      <x:c r="P284" s="38"/>
      <x:c r="Q284" s="38"/>
      <x:c r="R284" s="38"/>
      <x:c r="S284" s="38"/>
      <x:c r="T284" s="38"/>
      <x:c r="U284" s="38"/>
      <x:c r="V284" s="38"/>
      <x:c r="W284" s="38"/>
      <x:c r="X284" s="38"/>
      <x:c r="Y284" s="38"/>
      <x:c r="Z284" s="38"/>
    </x:row>
    <x:row r="285">
      <x:c r="A285" s="38"/>
      <x:c r="B285" s="38"/>
      <x:c r="C285" s="38"/>
      <x:c r="D285" s="38"/>
      <x:c r="E285" s="38"/>
      <x:c r="F285" s="38"/>
      <x:c r="G285" s="38"/>
      <x:c r="H285" s="38"/>
      <x:c r="I285" s="38"/>
      <x:c r="J285" s="38"/>
      <x:c r="K285" s="38"/>
      <x:c r="L285" s="38"/>
      <x:c r="M285" s="38"/>
      <x:c r="N285" s="38"/>
      <x:c r="O285" s="38"/>
      <x:c r="P285" s="38"/>
      <x:c r="Q285" s="38"/>
      <x:c r="R285" s="38"/>
      <x:c r="S285" s="38"/>
      <x:c r="T285" s="38"/>
      <x:c r="U285" s="38"/>
      <x:c r="V285" s="38"/>
      <x:c r="W285" s="38"/>
      <x:c r="X285" s="38"/>
      <x:c r="Y285" s="38"/>
      <x:c r="Z285" s="38"/>
    </x:row>
    <x:row r="286">
      <x:c r="A286" s="38"/>
      <x:c r="B286" s="38"/>
      <x:c r="C286" s="38"/>
      <x:c r="D286" s="38"/>
      <x:c r="E286" s="38"/>
      <x:c r="F286" s="38"/>
      <x:c r="G286" s="38"/>
      <x:c r="H286" s="38"/>
      <x:c r="I286" s="38"/>
      <x:c r="J286" s="38"/>
      <x:c r="K286" s="38"/>
      <x:c r="L286" s="38"/>
      <x:c r="M286" s="38"/>
      <x:c r="N286" s="38"/>
      <x:c r="O286" s="38"/>
      <x:c r="P286" s="38"/>
      <x:c r="Q286" s="38"/>
      <x:c r="R286" s="38"/>
      <x:c r="S286" s="38"/>
      <x:c r="T286" s="38"/>
      <x:c r="U286" s="38"/>
      <x:c r="V286" s="38"/>
      <x:c r="W286" s="38"/>
      <x:c r="X286" s="38"/>
      <x:c r="Y286" s="38"/>
      <x:c r="Z286" s="38"/>
    </x:row>
    <x:row r="287">
      <x:c r="A287" s="38"/>
      <x:c r="B287" s="38"/>
      <x:c r="C287" s="38"/>
      <x:c r="D287" s="38"/>
      <x:c r="E287" s="38"/>
      <x:c r="F287" s="38"/>
      <x:c r="G287" s="38"/>
      <x:c r="H287" s="38"/>
      <x:c r="I287" s="38"/>
      <x:c r="J287" s="38"/>
      <x:c r="K287" s="38"/>
      <x:c r="L287" s="38"/>
      <x:c r="M287" s="38"/>
      <x:c r="N287" s="38"/>
      <x:c r="O287" s="38"/>
      <x:c r="P287" s="38"/>
      <x:c r="Q287" s="38"/>
      <x:c r="R287" s="38"/>
      <x:c r="S287" s="38"/>
      <x:c r="T287" s="38"/>
      <x:c r="U287" s="38"/>
      <x:c r="V287" s="38"/>
      <x:c r="W287" s="38"/>
      <x:c r="X287" s="38"/>
      <x:c r="Y287" s="38"/>
      <x:c r="Z287" s="38"/>
    </x:row>
    <x:row r="288">
      <x:c r="A288" s="38"/>
      <x:c r="B288" s="38"/>
      <x:c r="C288" s="38"/>
      <x:c r="D288" s="38"/>
      <x:c r="E288" s="38"/>
      <x:c r="F288" s="38"/>
      <x:c r="G288" s="38"/>
      <x:c r="H288" s="38"/>
      <x:c r="I288" s="38"/>
      <x:c r="J288" s="38"/>
      <x:c r="K288" s="38"/>
      <x:c r="L288" s="38"/>
      <x:c r="M288" s="38"/>
      <x:c r="N288" s="38"/>
      <x:c r="O288" s="38"/>
      <x:c r="P288" s="38"/>
      <x:c r="Q288" s="38"/>
      <x:c r="R288" s="38"/>
      <x:c r="S288" s="38"/>
      <x:c r="T288" s="38"/>
      <x:c r="U288" s="38"/>
      <x:c r="V288" s="38"/>
      <x:c r="W288" s="38"/>
      <x:c r="X288" s="38"/>
      <x:c r="Y288" s="38"/>
      <x:c r="Z288" s="38"/>
    </x:row>
    <x:row r="289">
      <x:c r="A289" s="38"/>
      <x:c r="B289" s="38"/>
      <x:c r="C289" s="38"/>
      <x:c r="D289" s="38"/>
      <x:c r="E289" s="38"/>
      <x:c r="F289" s="38"/>
      <x:c r="G289" s="38"/>
      <x:c r="H289" s="38"/>
      <x:c r="I289" s="38"/>
      <x:c r="J289" s="38"/>
      <x:c r="K289" s="38"/>
      <x:c r="L289" s="38"/>
      <x:c r="M289" s="38"/>
      <x:c r="N289" s="38"/>
      <x:c r="O289" s="38"/>
      <x:c r="P289" s="38"/>
      <x:c r="Q289" s="38"/>
      <x:c r="R289" s="38"/>
      <x:c r="S289" s="38"/>
      <x:c r="T289" s="38"/>
      <x:c r="U289" s="38"/>
      <x:c r="V289" s="38"/>
      <x:c r="W289" s="38"/>
      <x:c r="X289" s="38"/>
      <x:c r="Y289" s="38"/>
      <x:c r="Z289" s="38"/>
    </x:row>
    <x:row r="290">
      <x:c r="A290" s="38"/>
      <x:c r="B290" s="38"/>
      <x:c r="C290" s="38"/>
      <x:c r="D290" s="38"/>
      <x:c r="E290" s="38"/>
      <x:c r="F290" s="38"/>
      <x:c r="G290" s="38"/>
      <x:c r="H290" s="38"/>
      <x:c r="I290" s="38"/>
      <x:c r="J290" s="38"/>
      <x:c r="K290" s="38"/>
      <x:c r="L290" s="38"/>
      <x:c r="M290" s="38"/>
      <x:c r="N290" s="38"/>
      <x:c r="O290" s="38"/>
      <x:c r="P290" s="38"/>
      <x:c r="Q290" s="38"/>
      <x:c r="R290" s="38"/>
      <x:c r="S290" s="38"/>
      <x:c r="T290" s="38"/>
      <x:c r="U290" s="38"/>
      <x:c r="V290" s="38"/>
      <x:c r="W290" s="38"/>
      <x:c r="X290" s="38"/>
      <x:c r="Y290" s="38"/>
      <x:c r="Z290" s="38"/>
    </x:row>
    <x:row r="291">
      <x:c r="A291" s="38"/>
      <x:c r="B291" s="38"/>
      <x:c r="C291" s="38"/>
      <x:c r="D291" s="38"/>
      <x:c r="E291" s="38"/>
      <x:c r="F291" s="38"/>
      <x:c r="G291" s="38"/>
      <x:c r="H291" s="38"/>
      <x:c r="I291" s="38"/>
      <x:c r="J291" s="38"/>
      <x:c r="K291" s="38"/>
      <x:c r="L291" s="38"/>
      <x:c r="M291" s="38"/>
      <x:c r="N291" s="38"/>
      <x:c r="O291" s="38"/>
      <x:c r="P291" s="38"/>
      <x:c r="Q291" s="38"/>
      <x:c r="R291" s="38"/>
      <x:c r="S291" s="38"/>
      <x:c r="T291" s="38"/>
      <x:c r="U291" s="38"/>
      <x:c r="V291" s="38"/>
      <x:c r="W291" s="38"/>
      <x:c r="X291" s="38"/>
      <x:c r="Y291" s="38"/>
      <x:c r="Z291" s="38"/>
    </x:row>
    <x:row r="292">
      <x:c r="A292" s="38"/>
      <x:c r="B292" s="38"/>
      <x:c r="C292" s="38"/>
      <x:c r="D292" s="38"/>
      <x:c r="E292" s="38"/>
      <x:c r="F292" s="38"/>
      <x:c r="G292" s="38"/>
      <x:c r="H292" s="38"/>
      <x:c r="I292" s="38"/>
      <x:c r="J292" s="38"/>
      <x:c r="K292" s="38"/>
      <x:c r="L292" s="38"/>
      <x:c r="M292" s="38"/>
      <x:c r="N292" s="38"/>
      <x:c r="O292" s="38"/>
      <x:c r="P292" s="38"/>
      <x:c r="Q292" s="38"/>
      <x:c r="R292" s="38"/>
      <x:c r="S292" s="38"/>
      <x:c r="T292" s="38"/>
      <x:c r="U292" s="38"/>
      <x:c r="V292" s="38"/>
      <x:c r="W292" s="38"/>
      <x:c r="X292" s="38"/>
      <x:c r="Y292" s="38"/>
      <x:c r="Z292" s="38"/>
    </x:row>
    <x:row r="293">
      <x:c r="A293" s="38"/>
      <x:c r="B293" s="38"/>
      <x:c r="C293" s="38"/>
      <x:c r="D293" s="38"/>
      <x:c r="E293" s="38"/>
      <x:c r="F293" s="38"/>
      <x:c r="G293" s="38"/>
      <x:c r="H293" s="38"/>
      <x:c r="I293" s="38"/>
      <x:c r="J293" s="38"/>
      <x:c r="K293" s="38"/>
      <x:c r="L293" s="38"/>
      <x:c r="M293" s="38"/>
      <x:c r="N293" s="38"/>
      <x:c r="O293" s="38"/>
      <x:c r="P293" s="38"/>
      <x:c r="Q293" s="38"/>
      <x:c r="R293" s="38"/>
      <x:c r="S293" s="38"/>
      <x:c r="T293" s="38"/>
      <x:c r="U293" s="38"/>
      <x:c r="V293" s="38"/>
      <x:c r="W293" s="38"/>
      <x:c r="X293" s="38"/>
      <x:c r="Y293" s="38"/>
      <x:c r="Z293" s="38"/>
    </x:row>
    <x:row r="294">
      <x:c r="A294" s="38"/>
      <x:c r="B294" s="38"/>
      <x:c r="C294" s="38"/>
      <x:c r="D294" s="38"/>
      <x:c r="E294" s="38"/>
      <x:c r="F294" s="38"/>
      <x:c r="G294" s="38"/>
      <x:c r="H294" s="38"/>
      <x:c r="I294" s="38"/>
      <x:c r="J294" s="38"/>
      <x:c r="K294" s="38"/>
      <x:c r="L294" s="38"/>
      <x:c r="M294" s="38"/>
      <x:c r="N294" s="38"/>
      <x:c r="O294" s="38"/>
      <x:c r="P294" s="38"/>
      <x:c r="Q294" s="38"/>
      <x:c r="R294" s="38"/>
      <x:c r="S294" s="38"/>
      <x:c r="T294" s="38"/>
      <x:c r="U294" s="38"/>
      <x:c r="V294" s="38"/>
      <x:c r="W294" s="38"/>
      <x:c r="X294" s="38"/>
      <x:c r="Y294" s="38"/>
      <x:c r="Z294" s="38"/>
    </x:row>
    <x:row r="295">
      <x:c r="A295" s="38"/>
      <x:c r="B295" s="38"/>
      <x:c r="C295" s="38"/>
      <x:c r="D295" s="38"/>
      <x:c r="E295" s="38"/>
      <x:c r="F295" s="38"/>
      <x:c r="G295" s="38"/>
      <x:c r="H295" s="38"/>
      <x:c r="I295" s="38"/>
      <x:c r="J295" s="38"/>
      <x:c r="K295" s="38"/>
      <x:c r="L295" s="38"/>
      <x:c r="M295" s="38"/>
      <x:c r="N295" s="38"/>
      <x:c r="O295" s="38"/>
      <x:c r="P295" s="38"/>
      <x:c r="Q295" s="38"/>
      <x:c r="R295" s="38"/>
      <x:c r="S295" s="38"/>
      <x:c r="T295" s="38"/>
      <x:c r="U295" s="38"/>
      <x:c r="V295" s="38"/>
      <x:c r="W295" s="38"/>
      <x:c r="X295" s="38"/>
      <x:c r="Y295" s="38"/>
      <x:c r="Z295" s="38"/>
    </x:row>
    <x:row r="296">
      <x:c r="A296" s="38"/>
      <x:c r="B296" s="38"/>
      <x:c r="C296" s="38"/>
      <x:c r="D296" s="38"/>
      <x:c r="E296" s="38"/>
      <x:c r="F296" s="38"/>
      <x:c r="G296" s="38"/>
      <x:c r="H296" s="38"/>
      <x:c r="I296" s="38"/>
      <x:c r="J296" s="38"/>
      <x:c r="K296" s="38"/>
      <x:c r="L296" s="38"/>
      <x:c r="M296" s="38"/>
      <x:c r="N296" s="38"/>
      <x:c r="O296" s="38"/>
      <x:c r="P296" s="38"/>
      <x:c r="Q296" s="38"/>
      <x:c r="R296" s="38"/>
      <x:c r="S296" s="38"/>
      <x:c r="T296" s="38"/>
      <x:c r="U296" s="38"/>
      <x:c r="V296" s="38"/>
      <x:c r="W296" s="38"/>
      <x:c r="X296" s="38"/>
      <x:c r="Y296" s="38"/>
      <x:c r="Z296" s="38"/>
    </x:row>
    <x:row r="297">
      <x:c r="A297" s="38"/>
      <x:c r="B297" s="38"/>
      <x:c r="C297" s="38"/>
      <x:c r="D297" s="38"/>
      <x:c r="E297" s="38"/>
      <x:c r="F297" s="38"/>
      <x:c r="G297" s="38"/>
      <x:c r="H297" s="38"/>
      <x:c r="I297" s="38"/>
      <x:c r="J297" s="38"/>
      <x:c r="K297" s="38"/>
      <x:c r="L297" s="38"/>
      <x:c r="M297" s="38"/>
      <x:c r="N297" s="38"/>
      <x:c r="O297" s="38"/>
      <x:c r="P297" s="38"/>
      <x:c r="Q297" s="38"/>
      <x:c r="R297" s="38"/>
      <x:c r="S297" s="38"/>
      <x:c r="T297" s="38"/>
      <x:c r="U297" s="38"/>
      <x:c r="V297" s="38"/>
      <x:c r="W297" s="38"/>
      <x:c r="X297" s="38"/>
      <x:c r="Y297" s="38"/>
      <x:c r="Z297" s="38"/>
    </x:row>
    <x:row r="298">
      <x:c r="A298" s="38"/>
      <x:c r="B298" s="38"/>
      <x:c r="C298" s="38"/>
      <x:c r="D298" s="38"/>
      <x:c r="E298" s="38"/>
      <x:c r="F298" s="38"/>
      <x:c r="G298" s="38"/>
      <x:c r="H298" s="38"/>
      <x:c r="I298" s="38"/>
      <x:c r="J298" s="38"/>
      <x:c r="K298" s="38"/>
      <x:c r="L298" s="38"/>
      <x:c r="M298" s="38"/>
      <x:c r="N298" s="38"/>
      <x:c r="O298" s="38"/>
      <x:c r="P298" s="38"/>
      <x:c r="Q298" s="38"/>
      <x:c r="R298" s="38"/>
      <x:c r="S298" s="38"/>
      <x:c r="T298" s="38"/>
      <x:c r="U298" s="38"/>
      <x:c r="V298" s="38"/>
      <x:c r="W298" s="38"/>
      <x:c r="X298" s="38"/>
      <x:c r="Y298" s="38"/>
      <x:c r="Z298" s="38"/>
    </x:row>
    <x:row r="299">
      <x:c r="A299" s="38"/>
      <x:c r="B299" s="38"/>
      <x:c r="C299" s="38"/>
      <x:c r="D299" s="38"/>
      <x:c r="E299" s="38"/>
      <x:c r="F299" s="38"/>
      <x:c r="G299" s="38"/>
      <x:c r="H299" s="38"/>
      <x:c r="I299" s="38"/>
      <x:c r="J299" s="38"/>
      <x:c r="K299" s="38"/>
      <x:c r="L299" s="38"/>
      <x:c r="M299" s="38"/>
      <x:c r="N299" s="38"/>
      <x:c r="O299" s="38"/>
      <x:c r="P299" s="38"/>
      <x:c r="Q299" s="38"/>
      <x:c r="R299" s="38"/>
      <x:c r="S299" s="38"/>
      <x:c r="T299" s="38"/>
      <x:c r="U299" s="38"/>
      <x:c r="V299" s="38"/>
      <x:c r="W299" s="38"/>
      <x:c r="X299" s="38"/>
      <x:c r="Y299" s="38"/>
      <x:c r="Z299" s="38"/>
    </x:row>
    <x:row r="300">
      <x:c r="A300" s="38"/>
      <x:c r="B300" s="38"/>
      <x:c r="C300" s="38"/>
      <x:c r="D300" s="38"/>
      <x:c r="E300" s="38"/>
      <x:c r="F300" s="38"/>
      <x:c r="G300" s="38"/>
      <x:c r="H300" s="38"/>
      <x:c r="I300" s="38"/>
      <x:c r="J300" s="38"/>
      <x:c r="K300" s="38"/>
      <x:c r="L300" s="38"/>
      <x:c r="M300" s="38"/>
      <x:c r="N300" s="38"/>
      <x:c r="O300" s="38"/>
      <x:c r="P300" s="38"/>
      <x:c r="Q300" s="38"/>
      <x:c r="R300" s="38"/>
      <x:c r="S300" s="38"/>
      <x:c r="T300" s="38"/>
      <x:c r="U300" s="38"/>
      <x:c r="V300" s="38"/>
      <x:c r="W300" s="38"/>
      <x:c r="X300" s="38"/>
      <x:c r="Y300" s="38"/>
      <x:c r="Z300" s="38"/>
    </x:row>
    <x:row r="301">
      <x:c r="A301" s="38"/>
      <x:c r="B301" s="38"/>
      <x:c r="C301" s="38"/>
      <x:c r="D301" s="38"/>
      <x:c r="E301" s="38"/>
      <x:c r="F301" s="38"/>
      <x:c r="G301" s="38"/>
      <x:c r="H301" s="38"/>
      <x:c r="I301" s="38"/>
      <x:c r="J301" s="38"/>
      <x:c r="K301" s="38"/>
      <x:c r="L301" s="38"/>
      <x:c r="M301" s="38"/>
      <x:c r="N301" s="38"/>
      <x:c r="O301" s="38"/>
      <x:c r="P301" s="38"/>
      <x:c r="Q301" s="38"/>
      <x:c r="R301" s="38"/>
      <x:c r="S301" s="38"/>
      <x:c r="T301" s="38"/>
      <x:c r="U301" s="38"/>
      <x:c r="V301" s="38"/>
      <x:c r="W301" s="38"/>
      <x:c r="X301" s="38"/>
      <x:c r="Y301" s="38"/>
      <x:c r="Z301" s="38"/>
    </x:row>
    <x:row r="302">
      <x:c r="A302" s="38"/>
      <x:c r="B302" s="38"/>
      <x:c r="C302" s="38"/>
      <x:c r="D302" s="38"/>
      <x:c r="E302" s="38"/>
      <x:c r="F302" s="38"/>
      <x:c r="G302" s="38"/>
      <x:c r="H302" s="38"/>
      <x:c r="I302" s="38"/>
      <x:c r="J302" s="38"/>
      <x:c r="K302" s="38"/>
      <x:c r="L302" s="38"/>
      <x:c r="M302" s="38"/>
      <x:c r="N302" s="38"/>
      <x:c r="O302" s="38"/>
      <x:c r="P302" s="38"/>
      <x:c r="Q302" s="38"/>
      <x:c r="R302" s="38"/>
      <x:c r="S302" s="38"/>
      <x:c r="T302" s="38"/>
      <x:c r="U302" s="38"/>
      <x:c r="V302" s="38"/>
      <x:c r="W302" s="38"/>
      <x:c r="X302" s="38"/>
      <x:c r="Y302" s="38"/>
      <x:c r="Z302" s="38"/>
    </x:row>
    <x:row r="303">
      <x:c r="A303" s="38"/>
      <x:c r="B303" s="38"/>
      <x:c r="C303" s="38"/>
      <x:c r="D303" s="38"/>
      <x:c r="E303" s="38"/>
      <x:c r="F303" s="38"/>
      <x:c r="G303" s="38"/>
      <x:c r="H303" s="38"/>
      <x:c r="I303" s="38"/>
      <x:c r="J303" s="38"/>
      <x:c r="K303" s="38"/>
      <x:c r="L303" s="38"/>
      <x:c r="M303" s="38"/>
      <x:c r="N303" s="38"/>
      <x:c r="O303" s="38"/>
      <x:c r="P303" s="38"/>
      <x:c r="Q303" s="38"/>
      <x:c r="R303" s="38"/>
      <x:c r="S303" s="38"/>
      <x:c r="T303" s="38"/>
      <x:c r="U303" s="38"/>
      <x:c r="V303" s="38"/>
      <x:c r="W303" s="38"/>
      <x:c r="X303" s="38"/>
      <x:c r="Y303" s="38"/>
      <x:c r="Z303" s="38"/>
    </x:row>
    <x:row r="304">
      <x:c r="A304" s="38"/>
      <x:c r="B304" s="38"/>
      <x:c r="C304" s="38"/>
      <x:c r="D304" s="38"/>
      <x:c r="E304" s="38"/>
      <x:c r="F304" s="38"/>
      <x:c r="G304" s="38"/>
      <x:c r="H304" s="38"/>
      <x:c r="I304" s="38"/>
      <x:c r="J304" s="38"/>
      <x:c r="K304" s="38"/>
      <x:c r="L304" s="38"/>
      <x:c r="M304" s="38"/>
      <x:c r="N304" s="38"/>
      <x:c r="O304" s="38"/>
      <x:c r="P304" s="38"/>
      <x:c r="Q304" s="38"/>
      <x:c r="R304" s="38"/>
      <x:c r="S304" s="38"/>
      <x:c r="T304" s="38"/>
      <x:c r="U304" s="38"/>
      <x:c r="V304" s="38"/>
      <x:c r="W304" s="38"/>
      <x:c r="X304" s="38"/>
      <x:c r="Y304" s="38"/>
      <x:c r="Z304" s="38"/>
    </x:row>
    <x:row r="305">
      <x:c r="A305" s="38"/>
      <x:c r="B305" s="38"/>
      <x:c r="C305" s="38"/>
      <x:c r="D305" s="38"/>
      <x:c r="E305" s="38"/>
      <x:c r="F305" s="38"/>
      <x:c r="G305" s="38"/>
      <x:c r="H305" s="38"/>
      <x:c r="I305" s="38"/>
      <x:c r="J305" s="38"/>
      <x:c r="K305" s="38"/>
      <x:c r="L305" s="38"/>
      <x:c r="M305" s="38"/>
      <x:c r="N305" s="38"/>
      <x:c r="O305" s="38"/>
      <x:c r="P305" s="38"/>
      <x:c r="Q305" s="38"/>
      <x:c r="R305" s="38"/>
      <x:c r="S305" s="38"/>
      <x:c r="T305" s="38"/>
      <x:c r="U305" s="38"/>
      <x:c r="V305" s="38"/>
      <x:c r="W305" s="38"/>
      <x:c r="X305" s="38"/>
      <x:c r="Y305" s="38"/>
      <x:c r="Z305" s="38"/>
    </x:row>
    <x:row r="306">
      <x:c r="A306" s="38"/>
      <x:c r="B306" s="38"/>
      <x:c r="C306" s="38"/>
      <x:c r="D306" s="38"/>
      <x:c r="E306" s="38"/>
      <x:c r="F306" s="38"/>
      <x:c r="G306" s="38"/>
      <x:c r="H306" s="38"/>
      <x:c r="I306" s="38"/>
      <x:c r="J306" s="38"/>
      <x:c r="K306" s="38"/>
      <x:c r="L306" s="38"/>
      <x:c r="M306" s="38"/>
      <x:c r="N306" s="38"/>
      <x:c r="O306" s="38"/>
      <x:c r="P306" s="38"/>
      <x:c r="Q306" s="38"/>
      <x:c r="R306" s="38"/>
      <x:c r="S306" s="38"/>
      <x:c r="T306" s="38"/>
      <x:c r="U306" s="38"/>
      <x:c r="V306" s="38"/>
      <x:c r="W306" s="38"/>
      <x:c r="X306" s="38"/>
      <x:c r="Y306" s="38"/>
      <x:c r="Z306" s="38"/>
    </x:row>
    <x:row r="307">
      <x:c r="A307" s="38"/>
      <x:c r="B307" s="38"/>
      <x:c r="C307" s="38"/>
      <x:c r="D307" s="38"/>
      <x:c r="E307" s="38"/>
      <x:c r="F307" s="38"/>
      <x:c r="G307" s="38"/>
      <x:c r="H307" s="38"/>
      <x:c r="I307" s="38"/>
      <x:c r="J307" s="38"/>
      <x:c r="K307" s="38"/>
      <x:c r="L307" s="38"/>
      <x:c r="M307" s="38"/>
      <x:c r="N307" s="38"/>
      <x:c r="O307" s="38"/>
      <x:c r="P307" s="38"/>
      <x:c r="Q307" s="38"/>
      <x:c r="R307" s="38"/>
      <x:c r="S307" s="38"/>
      <x:c r="T307" s="38"/>
      <x:c r="U307" s="38"/>
      <x:c r="V307" s="38"/>
      <x:c r="W307" s="38"/>
      <x:c r="X307" s="38"/>
      <x:c r="Y307" s="38"/>
      <x:c r="Z307" s="38"/>
    </x:row>
    <x:row r="308">
      <x:c r="A308" s="38"/>
      <x:c r="B308" s="38"/>
      <x:c r="C308" s="38"/>
      <x:c r="D308" s="38"/>
      <x:c r="E308" s="38"/>
      <x:c r="F308" s="38"/>
      <x:c r="G308" s="38"/>
      <x:c r="H308" s="38"/>
      <x:c r="I308" s="38"/>
      <x:c r="J308" s="38"/>
      <x:c r="K308" s="38"/>
      <x:c r="L308" s="38"/>
      <x:c r="M308" s="38"/>
      <x:c r="N308" s="38"/>
      <x:c r="O308" s="38"/>
      <x:c r="P308" s="38"/>
      <x:c r="Q308" s="38"/>
      <x:c r="R308" s="38"/>
      <x:c r="S308" s="38"/>
      <x:c r="T308" s="38"/>
      <x:c r="U308" s="38"/>
      <x:c r="V308" s="38"/>
      <x:c r="W308" s="38"/>
      <x:c r="X308" s="38"/>
      <x:c r="Y308" s="38"/>
      <x:c r="Z308" s="38"/>
    </x:row>
    <x:row r="309">
      <x:c r="A309" s="38"/>
      <x:c r="B309" s="38"/>
      <x:c r="C309" s="38"/>
      <x:c r="D309" s="38"/>
      <x:c r="E309" s="38"/>
      <x:c r="F309" s="38"/>
      <x:c r="G309" s="38"/>
      <x:c r="H309" s="38"/>
      <x:c r="I309" s="38"/>
      <x:c r="J309" s="38"/>
      <x:c r="K309" s="38"/>
      <x:c r="L309" s="38"/>
      <x:c r="M309" s="38"/>
      <x:c r="N309" s="38"/>
      <x:c r="O309" s="38"/>
      <x:c r="P309" s="38"/>
      <x:c r="Q309" s="38"/>
      <x:c r="R309" s="38"/>
      <x:c r="S309" s="38"/>
      <x:c r="T309" s="38"/>
      <x:c r="U309" s="38"/>
      <x:c r="V309" s="38"/>
      <x:c r="W309" s="38"/>
      <x:c r="X309" s="38"/>
      <x:c r="Y309" s="38"/>
      <x:c r="Z309" s="38"/>
    </x:row>
    <x:row r="310">
      <x:c r="A310" s="38"/>
      <x:c r="B310" s="38"/>
      <x:c r="C310" s="38"/>
      <x:c r="D310" s="38"/>
      <x:c r="E310" s="38"/>
      <x:c r="F310" s="38"/>
      <x:c r="G310" s="38"/>
      <x:c r="H310" s="38"/>
      <x:c r="I310" s="38"/>
      <x:c r="J310" s="38"/>
      <x:c r="K310" s="38"/>
      <x:c r="L310" s="38"/>
      <x:c r="M310" s="38"/>
      <x:c r="N310" s="38"/>
      <x:c r="O310" s="38"/>
      <x:c r="P310" s="38"/>
      <x:c r="Q310" s="38"/>
      <x:c r="R310" s="38"/>
      <x:c r="S310" s="38"/>
      <x:c r="T310" s="38"/>
      <x:c r="U310" s="38"/>
      <x:c r="V310" s="38"/>
      <x:c r="W310" s="38"/>
      <x:c r="X310" s="38"/>
      <x:c r="Y310" s="38"/>
      <x:c r="Z310" s="38"/>
    </x:row>
    <x:row r="311">
      <x:c r="A311" s="38"/>
      <x:c r="B311" s="38"/>
      <x:c r="C311" s="38"/>
      <x:c r="D311" s="38"/>
      <x:c r="E311" s="38"/>
      <x:c r="F311" s="38"/>
      <x:c r="G311" s="38"/>
      <x:c r="H311" s="38"/>
      <x:c r="I311" s="38"/>
      <x:c r="J311" s="38"/>
      <x:c r="K311" s="38"/>
      <x:c r="L311" s="38"/>
      <x:c r="M311" s="38"/>
      <x:c r="N311" s="38"/>
      <x:c r="O311" s="38"/>
      <x:c r="P311" s="38"/>
      <x:c r="Q311" s="38"/>
      <x:c r="R311" s="38"/>
      <x:c r="S311" s="38"/>
      <x:c r="T311" s="38"/>
      <x:c r="U311" s="38"/>
      <x:c r="V311" s="38"/>
      <x:c r="W311" s="38"/>
      <x:c r="X311" s="38"/>
      <x:c r="Y311" s="38"/>
      <x:c r="Z311" s="38"/>
    </x:row>
    <x:row r="312">
      <x:c r="A312" s="38"/>
      <x:c r="B312" s="38"/>
      <x:c r="C312" s="38"/>
      <x:c r="D312" s="38"/>
      <x:c r="E312" s="38"/>
      <x:c r="F312" s="38"/>
      <x:c r="G312" s="38"/>
      <x:c r="H312" s="38"/>
      <x:c r="I312" s="38"/>
      <x:c r="J312" s="38"/>
      <x:c r="K312" s="38"/>
      <x:c r="L312" s="38"/>
      <x:c r="M312" s="38"/>
      <x:c r="N312" s="38"/>
      <x:c r="O312" s="38"/>
      <x:c r="P312" s="38"/>
      <x:c r="Q312" s="38"/>
      <x:c r="R312" s="38"/>
      <x:c r="S312" s="38"/>
      <x:c r="T312" s="38"/>
      <x:c r="U312" s="38"/>
      <x:c r="V312" s="38"/>
      <x:c r="W312" s="38"/>
      <x:c r="X312" s="38"/>
      <x:c r="Y312" s="38"/>
      <x:c r="Z312" s="38"/>
    </x:row>
    <x:row r="313">
      <x:c r="A313" s="38"/>
      <x:c r="B313" s="38"/>
      <x:c r="C313" s="38"/>
      <x:c r="D313" s="38"/>
      <x:c r="E313" s="38"/>
      <x:c r="F313" s="38"/>
      <x:c r="G313" s="38"/>
      <x:c r="H313" s="38"/>
      <x:c r="I313" s="38"/>
      <x:c r="J313" s="38"/>
      <x:c r="K313" s="38"/>
      <x:c r="L313" s="38"/>
      <x:c r="M313" s="38"/>
      <x:c r="N313" s="38"/>
      <x:c r="O313" s="38"/>
      <x:c r="P313" s="38"/>
      <x:c r="Q313" s="38"/>
      <x:c r="R313" s="38"/>
      <x:c r="S313" s="38"/>
      <x:c r="T313" s="38"/>
      <x:c r="U313" s="38"/>
      <x:c r="V313" s="38"/>
      <x:c r="W313" s="38"/>
      <x:c r="X313" s="38"/>
      <x:c r="Y313" s="38"/>
      <x:c r="Z313" s="38"/>
    </x:row>
    <x:row r="314">
      <x:c r="A314" s="38"/>
      <x:c r="B314" s="38"/>
      <x:c r="C314" s="38"/>
      <x:c r="D314" s="38"/>
      <x:c r="E314" s="38"/>
      <x:c r="F314" s="38"/>
      <x:c r="G314" s="38"/>
      <x:c r="H314" s="38"/>
      <x:c r="I314" s="38"/>
      <x:c r="J314" s="38"/>
      <x:c r="K314" s="38"/>
      <x:c r="L314" s="38"/>
      <x:c r="M314" s="38"/>
      <x:c r="N314" s="38"/>
      <x:c r="O314" s="38"/>
      <x:c r="P314" s="38"/>
      <x:c r="Q314" s="38"/>
      <x:c r="R314" s="38"/>
      <x:c r="S314" s="38"/>
      <x:c r="T314" s="38"/>
      <x:c r="U314" s="38"/>
      <x:c r="V314" s="38"/>
      <x:c r="W314" s="38"/>
      <x:c r="X314" s="38"/>
      <x:c r="Y314" s="38"/>
      <x:c r="Z314" s="38"/>
    </x:row>
    <x:row r="315">
      <x:c r="A315" s="38"/>
      <x:c r="B315" s="38"/>
      <x:c r="C315" s="38"/>
      <x:c r="D315" s="38"/>
      <x:c r="E315" s="38"/>
      <x:c r="F315" s="38"/>
      <x:c r="G315" s="38"/>
      <x:c r="H315" s="38"/>
      <x:c r="I315" s="38"/>
      <x:c r="J315" s="38"/>
      <x:c r="K315" s="38"/>
      <x:c r="L315" s="38"/>
      <x:c r="M315" s="38"/>
      <x:c r="N315" s="38"/>
      <x:c r="O315" s="38"/>
      <x:c r="P315" s="38"/>
      <x:c r="Q315" s="38"/>
      <x:c r="R315" s="38"/>
      <x:c r="S315" s="38"/>
      <x:c r="T315" s="38"/>
      <x:c r="U315" s="38"/>
      <x:c r="V315" s="38"/>
      <x:c r="W315" s="38"/>
      <x:c r="X315" s="38"/>
      <x:c r="Y315" s="38"/>
      <x:c r="Z315" s="38"/>
    </x:row>
    <x:row r="316">
      <x:c r="A316" s="38"/>
      <x:c r="B316" s="38"/>
      <x:c r="C316" s="38"/>
      <x:c r="D316" s="38"/>
      <x:c r="E316" s="38"/>
      <x:c r="F316" s="38"/>
      <x:c r="G316" s="38"/>
      <x:c r="H316" s="38"/>
      <x:c r="I316" s="38"/>
      <x:c r="J316" s="38"/>
      <x:c r="K316" s="38"/>
      <x:c r="L316" s="38"/>
      <x:c r="M316" s="38"/>
      <x:c r="N316" s="38"/>
      <x:c r="O316" s="38"/>
      <x:c r="P316" s="38"/>
      <x:c r="Q316" s="38"/>
      <x:c r="R316" s="38"/>
      <x:c r="S316" s="38"/>
      <x:c r="T316" s="38"/>
      <x:c r="U316" s="38"/>
      <x:c r="V316" s="38"/>
      <x:c r="W316" s="38"/>
      <x:c r="X316" s="38"/>
      <x:c r="Y316" s="38"/>
      <x:c r="Z316" s="38"/>
    </x:row>
    <x:row r="317">
      <x:c r="A317" s="38"/>
      <x:c r="B317" s="38"/>
      <x:c r="C317" s="38"/>
      <x:c r="D317" s="38"/>
      <x:c r="E317" s="38"/>
      <x:c r="F317" s="38"/>
      <x:c r="G317" s="38"/>
      <x:c r="H317" s="38"/>
      <x:c r="I317" s="38"/>
      <x:c r="J317" s="38"/>
      <x:c r="K317" s="38"/>
      <x:c r="L317" s="38"/>
      <x:c r="M317" s="38"/>
      <x:c r="N317" s="38"/>
      <x:c r="O317" s="38"/>
      <x:c r="P317" s="38"/>
      <x:c r="Q317" s="38"/>
      <x:c r="R317" s="38"/>
      <x:c r="S317" s="38"/>
      <x:c r="T317" s="38"/>
      <x:c r="U317" s="38"/>
      <x:c r="V317" s="38"/>
      <x:c r="W317" s="38"/>
      <x:c r="X317" s="38"/>
      <x:c r="Y317" s="38"/>
      <x:c r="Z317" s="38"/>
    </x:row>
    <x:row r="318">
      <x:c r="A318" s="38"/>
      <x:c r="B318" s="38"/>
      <x:c r="C318" s="38"/>
      <x:c r="D318" s="38"/>
      <x:c r="E318" s="38"/>
      <x:c r="F318" s="38"/>
      <x:c r="G318" s="38"/>
      <x:c r="H318" s="38"/>
      <x:c r="I318" s="38"/>
      <x:c r="J318" s="38"/>
      <x:c r="K318" s="38"/>
      <x:c r="L318" s="38"/>
      <x:c r="M318" s="38"/>
      <x:c r="N318" s="38"/>
      <x:c r="O318" s="38"/>
      <x:c r="P318" s="38"/>
      <x:c r="Q318" s="38"/>
      <x:c r="R318" s="38"/>
      <x:c r="S318" s="38"/>
      <x:c r="T318" s="38"/>
      <x:c r="U318" s="38"/>
      <x:c r="V318" s="38"/>
      <x:c r="W318" s="38"/>
      <x:c r="X318" s="38"/>
      <x:c r="Y318" s="38"/>
      <x:c r="Z318" s="38"/>
    </x:row>
    <x:row r="319">
      <x:c r="A319" s="38"/>
      <x:c r="B319" s="38"/>
      <x:c r="C319" s="38"/>
      <x:c r="D319" s="38"/>
      <x:c r="E319" s="38"/>
      <x:c r="F319" s="38"/>
      <x:c r="G319" s="38"/>
      <x:c r="H319" s="38"/>
      <x:c r="I319" s="38"/>
      <x:c r="J319" s="38"/>
      <x:c r="K319" s="38"/>
      <x:c r="L319" s="38"/>
      <x:c r="M319" s="38"/>
      <x:c r="N319" s="38"/>
      <x:c r="O319" s="38"/>
      <x:c r="P319" s="38"/>
      <x:c r="Q319" s="38"/>
      <x:c r="R319" s="38"/>
      <x:c r="S319" s="38"/>
      <x:c r="T319" s="38"/>
      <x:c r="U319" s="38"/>
      <x:c r="V319" s="38"/>
      <x:c r="W319" s="38"/>
      <x:c r="X319" s="38"/>
      <x:c r="Y319" s="38"/>
      <x:c r="Z319" s="38"/>
    </x:row>
    <x:row r="320">
      <x:c r="A320" s="38"/>
      <x:c r="B320" s="38"/>
      <x:c r="C320" s="38"/>
      <x:c r="D320" s="38"/>
      <x:c r="E320" s="38"/>
      <x:c r="F320" s="38"/>
      <x:c r="G320" s="38"/>
      <x:c r="H320" s="38"/>
      <x:c r="I320" s="38"/>
      <x:c r="J320" s="38"/>
      <x:c r="K320" s="38"/>
      <x:c r="L320" s="38"/>
      <x:c r="M320" s="38"/>
      <x:c r="N320" s="38"/>
      <x:c r="O320" s="38"/>
      <x:c r="P320" s="38"/>
      <x:c r="Q320" s="38"/>
      <x:c r="R320" s="38"/>
      <x:c r="S320" s="38"/>
      <x:c r="T320" s="38"/>
      <x:c r="U320" s="38"/>
      <x:c r="V320" s="38"/>
      <x:c r="W320" s="38"/>
      <x:c r="X320" s="38"/>
      <x:c r="Y320" s="38"/>
      <x:c r="Z320" s="38"/>
    </x:row>
    <x:row r="321">
      <x:c r="A321" s="38"/>
      <x:c r="B321" s="38"/>
      <x:c r="C321" s="38"/>
      <x:c r="D321" s="38"/>
      <x:c r="E321" s="38"/>
      <x:c r="F321" s="38"/>
      <x:c r="G321" s="38"/>
      <x:c r="H321" s="38"/>
      <x:c r="I321" s="38"/>
      <x:c r="J321" s="38"/>
      <x:c r="K321" s="38"/>
      <x:c r="L321" s="38"/>
      <x:c r="M321" s="38"/>
      <x:c r="N321" s="38"/>
      <x:c r="O321" s="38"/>
      <x:c r="P321" s="38"/>
      <x:c r="Q321" s="38"/>
      <x:c r="R321" s="38"/>
      <x:c r="S321" s="38"/>
      <x:c r="T321" s="38"/>
      <x:c r="U321" s="38"/>
      <x:c r="V321" s="38"/>
      <x:c r="W321" s="38"/>
      <x:c r="X321" s="38"/>
      <x:c r="Y321" s="38"/>
      <x:c r="Z321" s="38"/>
    </x:row>
    <x:row r="322">
      <x:c r="A322" s="38"/>
      <x:c r="B322" s="38"/>
      <x:c r="C322" s="38"/>
      <x:c r="D322" s="38"/>
      <x:c r="E322" s="38"/>
      <x:c r="F322" s="38"/>
      <x:c r="G322" s="38"/>
      <x:c r="H322" s="38"/>
      <x:c r="I322" s="38"/>
      <x:c r="J322" s="38"/>
      <x:c r="K322" s="38"/>
      <x:c r="L322" s="38"/>
      <x:c r="M322" s="38"/>
      <x:c r="N322" s="38"/>
      <x:c r="O322" s="38"/>
      <x:c r="P322" s="38"/>
      <x:c r="Q322" s="38"/>
      <x:c r="R322" s="38"/>
      <x:c r="S322" s="38"/>
      <x:c r="T322" s="38"/>
      <x:c r="U322" s="38"/>
      <x:c r="V322" s="38"/>
      <x:c r="W322" s="38"/>
      <x:c r="X322" s="38"/>
      <x:c r="Y322" s="38"/>
      <x:c r="Z322" s="38"/>
    </x:row>
    <x:row r="323">
      <x:c r="A323" s="38"/>
      <x:c r="B323" s="38"/>
      <x:c r="C323" s="38"/>
      <x:c r="D323" s="38"/>
      <x:c r="E323" s="38"/>
      <x:c r="F323" s="38"/>
      <x:c r="G323" s="38"/>
      <x:c r="H323" s="38"/>
      <x:c r="I323" s="38"/>
      <x:c r="J323" s="38"/>
      <x:c r="K323" s="38"/>
      <x:c r="L323" s="38"/>
      <x:c r="M323" s="38"/>
      <x:c r="N323" s="38"/>
      <x:c r="O323" s="38"/>
      <x:c r="P323" s="38"/>
      <x:c r="Q323" s="38"/>
      <x:c r="R323" s="38"/>
      <x:c r="S323" s="38"/>
      <x:c r="T323" s="38"/>
      <x:c r="U323" s="38"/>
      <x:c r="V323" s="38"/>
      <x:c r="W323" s="38"/>
      <x:c r="X323" s="38"/>
      <x:c r="Y323" s="38"/>
      <x:c r="Z323" s="38"/>
    </x:row>
    <x:row r="324">
      <x:c r="A324" s="38"/>
      <x:c r="B324" s="38"/>
      <x:c r="C324" s="38"/>
      <x:c r="D324" s="38"/>
      <x:c r="E324" s="38"/>
      <x:c r="F324" s="38"/>
      <x:c r="G324" s="38"/>
      <x:c r="H324" s="38"/>
      <x:c r="I324" s="38"/>
      <x:c r="J324" s="38"/>
      <x:c r="K324" s="38"/>
      <x:c r="L324" s="38"/>
      <x:c r="M324" s="38"/>
      <x:c r="N324" s="38"/>
      <x:c r="O324" s="38"/>
      <x:c r="P324" s="38"/>
      <x:c r="Q324" s="38"/>
      <x:c r="R324" s="38"/>
      <x:c r="S324" s="38"/>
      <x:c r="T324" s="38"/>
      <x:c r="U324" s="38"/>
      <x:c r="V324" s="38"/>
      <x:c r="W324" s="38"/>
      <x:c r="X324" s="38"/>
      <x:c r="Y324" s="38"/>
      <x:c r="Z324" s="38"/>
    </x:row>
    <x:row r="325">
      <x:c r="A325" s="38"/>
      <x:c r="B325" s="38"/>
      <x:c r="C325" s="38"/>
      <x:c r="D325" s="38"/>
      <x:c r="E325" s="38"/>
      <x:c r="F325" s="38"/>
      <x:c r="G325" s="38"/>
      <x:c r="H325" s="38"/>
      <x:c r="I325" s="38"/>
      <x:c r="J325" s="38"/>
      <x:c r="K325" s="38"/>
      <x:c r="L325" s="38"/>
      <x:c r="M325" s="38"/>
      <x:c r="N325" s="38"/>
      <x:c r="O325" s="38"/>
      <x:c r="P325" s="38"/>
      <x:c r="Q325" s="38"/>
      <x:c r="R325" s="38"/>
      <x:c r="S325" s="38"/>
      <x:c r="T325" s="38"/>
      <x:c r="U325" s="38"/>
      <x:c r="V325" s="38"/>
      <x:c r="W325" s="38"/>
      <x:c r="X325" s="38"/>
      <x:c r="Y325" s="38"/>
      <x:c r="Z325" s="38"/>
    </x:row>
    <x:row r="326">
      <x:c r="A326" s="38"/>
      <x:c r="B326" s="38"/>
      <x:c r="C326" s="38"/>
      <x:c r="D326" s="38"/>
      <x:c r="E326" s="38"/>
      <x:c r="F326" s="38"/>
      <x:c r="G326" s="38"/>
      <x:c r="H326" s="38"/>
      <x:c r="I326" s="38"/>
      <x:c r="J326" s="38"/>
      <x:c r="K326" s="38"/>
      <x:c r="L326" s="38"/>
      <x:c r="M326" s="38"/>
      <x:c r="N326" s="38"/>
      <x:c r="O326" s="38"/>
      <x:c r="P326" s="38"/>
      <x:c r="Q326" s="38"/>
      <x:c r="R326" s="38"/>
      <x:c r="S326" s="38"/>
      <x:c r="T326" s="38"/>
      <x:c r="U326" s="38"/>
      <x:c r="V326" s="38"/>
      <x:c r="W326" s="38"/>
      <x:c r="X326" s="38"/>
      <x:c r="Y326" s="38"/>
      <x:c r="Z326" s="38"/>
    </x:row>
    <x:row r="327">
      <x:c r="A327" s="38"/>
      <x:c r="B327" s="38"/>
      <x:c r="C327" s="38"/>
      <x:c r="D327" s="38"/>
      <x:c r="E327" s="38"/>
      <x:c r="F327" s="38"/>
      <x:c r="G327" s="38"/>
      <x:c r="H327" s="38"/>
      <x:c r="I327" s="38"/>
      <x:c r="J327" s="38"/>
      <x:c r="K327" s="38"/>
      <x:c r="L327" s="38"/>
      <x:c r="M327" s="38"/>
      <x:c r="N327" s="38"/>
      <x:c r="O327" s="38"/>
      <x:c r="P327" s="38"/>
      <x:c r="Q327" s="38"/>
      <x:c r="R327" s="38"/>
      <x:c r="S327" s="38"/>
      <x:c r="T327" s="38"/>
      <x:c r="U327" s="38"/>
      <x:c r="V327" s="38"/>
      <x:c r="W327" s="38"/>
      <x:c r="X327" s="38"/>
      <x:c r="Y327" s="38"/>
      <x:c r="Z327" s="38"/>
    </x:row>
    <x:row r="328">
      <x:c r="A328" s="38"/>
      <x:c r="B328" s="38"/>
      <x:c r="C328" s="38"/>
      <x:c r="D328" s="38"/>
      <x:c r="E328" s="38"/>
      <x:c r="F328" s="38"/>
      <x:c r="G328" s="38"/>
      <x:c r="H328" s="38"/>
      <x:c r="I328" s="38"/>
      <x:c r="J328" s="38"/>
      <x:c r="K328" s="38"/>
      <x:c r="L328" s="38"/>
      <x:c r="M328" s="38"/>
      <x:c r="N328" s="38"/>
      <x:c r="O328" s="38"/>
      <x:c r="P328" s="38"/>
      <x:c r="Q328" s="38"/>
      <x:c r="R328" s="38"/>
      <x:c r="S328" s="38"/>
      <x:c r="T328" s="38"/>
      <x:c r="U328" s="38"/>
      <x:c r="V328" s="38"/>
      <x:c r="W328" s="38"/>
      <x:c r="X328" s="38"/>
      <x:c r="Y328" s="38"/>
      <x:c r="Z328" s="38"/>
    </x:row>
    <x:row r="329">
      <x:c r="A329" s="38"/>
      <x:c r="B329" s="38"/>
      <x:c r="C329" s="38"/>
      <x:c r="D329" s="38"/>
      <x:c r="E329" s="38"/>
      <x:c r="F329" s="38"/>
      <x:c r="G329" s="38"/>
      <x:c r="H329" s="38"/>
      <x:c r="I329" s="38"/>
      <x:c r="J329" s="38"/>
      <x:c r="K329" s="38"/>
      <x:c r="L329" s="38"/>
      <x:c r="M329" s="38"/>
      <x:c r="N329" s="38"/>
      <x:c r="O329" s="38"/>
      <x:c r="P329" s="38"/>
      <x:c r="Q329" s="38"/>
      <x:c r="R329" s="38"/>
      <x:c r="S329" s="38"/>
      <x:c r="T329" s="38"/>
      <x:c r="U329" s="38"/>
      <x:c r="V329" s="38"/>
      <x:c r="W329" s="38"/>
      <x:c r="X329" s="38"/>
      <x:c r="Y329" s="38"/>
      <x:c r="Z329" s="38"/>
    </x:row>
    <x:row r="330">
      <x:c r="A330" s="38"/>
      <x:c r="B330" s="38"/>
      <x:c r="C330" s="38"/>
      <x:c r="D330" s="38"/>
      <x:c r="E330" s="38"/>
      <x:c r="F330" s="38"/>
      <x:c r="G330" s="38"/>
      <x:c r="H330" s="38"/>
      <x:c r="I330" s="38"/>
      <x:c r="J330" s="38"/>
      <x:c r="K330" s="38"/>
      <x:c r="L330" s="38"/>
      <x:c r="M330" s="38"/>
      <x:c r="N330" s="38"/>
      <x:c r="O330" s="38"/>
      <x:c r="P330" s="38"/>
      <x:c r="Q330" s="38"/>
      <x:c r="R330" s="38"/>
      <x:c r="S330" s="38"/>
      <x:c r="T330" s="38"/>
      <x:c r="U330" s="38"/>
      <x:c r="V330" s="38"/>
      <x:c r="W330" s="38"/>
      <x:c r="X330" s="38"/>
      <x:c r="Y330" s="38"/>
      <x:c r="Z330" s="38"/>
    </x:row>
    <x:row r="331">
      <x:c r="A331" s="38"/>
      <x:c r="B331" s="38"/>
      <x:c r="C331" s="38"/>
      <x:c r="D331" s="38"/>
      <x:c r="E331" s="38"/>
      <x:c r="F331" s="38"/>
      <x:c r="G331" s="38"/>
      <x:c r="H331" s="38"/>
      <x:c r="I331" s="38"/>
      <x:c r="J331" s="38"/>
      <x:c r="K331" s="38"/>
      <x:c r="L331" s="38"/>
      <x:c r="M331" s="38"/>
      <x:c r="N331" s="38"/>
      <x:c r="O331" s="38"/>
      <x:c r="P331" s="38"/>
      <x:c r="Q331" s="38"/>
      <x:c r="R331" s="38"/>
      <x:c r="S331" s="38"/>
      <x:c r="T331" s="38"/>
      <x:c r="U331" s="38"/>
      <x:c r="V331" s="38"/>
      <x:c r="W331" s="38"/>
      <x:c r="X331" s="38"/>
      <x:c r="Y331" s="38"/>
      <x:c r="Z331" s="38"/>
    </x:row>
    <x:row r="332">
      <x:c r="A332" s="38"/>
      <x:c r="B332" s="38"/>
      <x:c r="C332" s="38"/>
      <x:c r="D332" s="38"/>
      <x:c r="E332" s="38"/>
      <x:c r="F332" s="38"/>
      <x:c r="G332" s="38"/>
      <x:c r="H332" s="38"/>
      <x:c r="I332" s="38"/>
      <x:c r="J332" s="38"/>
      <x:c r="K332" s="38"/>
      <x:c r="L332" s="38"/>
      <x:c r="M332" s="38"/>
      <x:c r="N332" s="38"/>
      <x:c r="O332" s="38"/>
      <x:c r="P332" s="38"/>
      <x:c r="Q332" s="38"/>
      <x:c r="R332" s="38"/>
      <x:c r="S332" s="38"/>
      <x:c r="T332" s="38"/>
      <x:c r="U332" s="38"/>
      <x:c r="V332" s="38"/>
      <x:c r="W332" s="38"/>
      <x:c r="X332" s="38"/>
      <x:c r="Y332" s="38"/>
      <x:c r="Z332" s="38"/>
    </x:row>
    <x:row r="333">
      <x:c r="A333" s="38"/>
      <x:c r="B333" s="38"/>
      <x:c r="C333" s="38"/>
      <x:c r="D333" s="38"/>
      <x:c r="E333" s="38"/>
      <x:c r="F333" s="38"/>
      <x:c r="G333" s="38"/>
      <x:c r="H333" s="38"/>
      <x:c r="I333" s="38"/>
      <x:c r="J333" s="38"/>
      <x:c r="K333" s="38"/>
      <x:c r="L333" s="38"/>
      <x:c r="M333" s="38"/>
      <x:c r="N333" s="38"/>
      <x:c r="O333" s="38"/>
      <x:c r="P333" s="38"/>
      <x:c r="Q333" s="38"/>
      <x:c r="R333" s="38"/>
      <x:c r="S333" s="38"/>
      <x:c r="T333" s="38"/>
      <x:c r="U333" s="38"/>
      <x:c r="V333" s="38"/>
      <x:c r="W333" s="38"/>
      <x:c r="X333" s="38"/>
      <x:c r="Y333" s="38"/>
      <x:c r="Z333" s="38"/>
    </x:row>
    <x:row r="334">
      <x:c r="A334" s="38"/>
      <x:c r="B334" s="38"/>
      <x:c r="C334" s="38"/>
      <x:c r="D334" s="38"/>
      <x:c r="E334" s="38"/>
      <x:c r="F334" s="38"/>
      <x:c r="G334" s="38"/>
      <x:c r="H334" s="38"/>
      <x:c r="I334" s="38"/>
      <x:c r="J334" s="38"/>
      <x:c r="K334" s="38"/>
      <x:c r="L334" s="38"/>
      <x:c r="M334" s="38"/>
      <x:c r="N334" s="38"/>
      <x:c r="O334" s="38"/>
      <x:c r="P334" s="38"/>
      <x:c r="Q334" s="38"/>
      <x:c r="R334" s="38"/>
      <x:c r="S334" s="38"/>
      <x:c r="T334" s="38"/>
      <x:c r="U334" s="38"/>
      <x:c r="V334" s="38"/>
      <x:c r="W334" s="38"/>
      <x:c r="X334" s="38"/>
      <x:c r="Y334" s="38"/>
      <x:c r="Z334" s="38"/>
    </x:row>
    <x:row r="335">
      <x:c r="A335" s="38"/>
      <x:c r="B335" s="38"/>
      <x:c r="C335" s="38"/>
      <x:c r="D335" s="38"/>
      <x:c r="E335" s="38"/>
      <x:c r="F335" s="38"/>
      <x:c r="G335" s="38"/>
      <x:c r="H335" s="38"/>
      <x:c r="I335" s="38"/>
      <x:c r="J335" s="38"/>
      <x:c r="K335" s="38"/>
      <x:c r="L335" s="38"/>
      <x:c r="M335" s="38"/>
      <x:c r="N335" s="38"/>
      <x:c r="O335" s="38"/>
      <x:c r="P335" s="38"/>
      <x:c r="Q335" s="38"/>
      <x:c r="R335" s="38"/>
      <x:c r="S335" s="38"/>
      <x:c r="T335" s="38"/>
      <x:c r="U335" s="38"/>
      <x:c r="V335" s="38"/>
      <x:c r="W335" s="38"/>
      <x:c r="X335" s="38"/>
      <x:c r="Y335" s="38"/>
      <x:c r="Z335" s="38"/>
    </x:row>
    <x:row r="336">
      <x:c r="A336" s="38"/>
      <x:c r="B336" s="38"/>
      <x:c r="C336" s="38"/>
      <x:c r="D336" s="38"/>
      <x:c r="E336" s="38"/>
      <x:c r="F336" s="38"/>
      <x:c r="G336" s="38"/>
      <x:c r="H336" s="38"/>
      <x:c r="I336" s="38"/>
      <x:c r="J336" s="38"/>
      <x:c r="K336" s="38"/>
      <x:c r="L336" s="38"/>
      <x:c r="M336" s="38"/>
      <x:c r="N336" s="38"/>
      <x:c r="O336" s="38"/>
      <x:c r="P336" s="38"/>
      <x:c r="Q336" s="38"/>
      <x:c r="R336" s="38"/>
      <x:c r="S336" s="38"/>
      <x:c r="T336" s="38"/>
      <x:c r="U336" s="38"/>
      <x:c r="V336" s="38"/>
      <x:c r="W336" s="38"/>
      <x:c r="X336" s="38"/>
      <x:c r="Y336" s="38"/>
      <x:c r="Z336" s="38"/>
    </x:row>
    <x:row r="337">
      <x:c r="A337" s="38"/>
      <x:c r="B337" s="38"/>
      <x:c r="C337" s="38"/>
      <x:c r="D337" s="38"/>
      <x:c r="E337" s="38"/>
      <x:c r="F337" s="38"/>
      <x:c r="G337" s="38"/>
      <x:c r="H337" s="38"/>
      <x:c r="I337" s="38"/>
      <x:c r="J337" s="38"/>
      <x:c r="K337" s="38"/>
      <x:c r="L337" s="38"/>
      <x:c r="M337" s="38"/>
      <x:c r="N337" s="38"/>
      <x:c r="O337" s="38"/>
      <x:c r="P337" s="38"/>
      <x:c r="Q337" s="38"/>
      <x:c r="R337" s="38"/>
      <x:c r="S337" s="38"/>
      <x:c r="T337" s="38"/>
      <x:c r="U337" s="38"/>
      <x:c r="V337" s="38"/>
      <x:c r="W337" s="38"/>
      <x:c r="X337" s="38"/>
      <x:c r="Y337" s="38"/>
      <x:c r="Z337" s="38"/>
    </x:row>
    <x:row r="338">
      <x:c r="A338" s="38"/>
      <x:c r="B338" s="38"/>
      <x:c r="C338" s="38"/>
      <x:c r="D338" s="38"/>
      <x:c r="E338" s="38"/>
      <x:c r="F338" s="38"/>
      <x:c r="G338" s="38"/>
      <x:c r="H338" s="38"/>
      <x:c r="I338" s="38"/>
      <x:c r="J338" s="38"/>
      <x:c r="K338" s="38"/>
      <x:c r="L338" s="38"/>
      <x:c r="M338" s="38"/>
      <x:c r="N338" s="38"/>
      <x:c r="O338" s="38"/>
      <x:c r="P338" s="38"/>
      <x:c r="Q338" s="38"/>
      <x:c r="R338" s="38"/>
      <x:c r="S338" s="38"/>
      <x:c r="T338" s="38"/>
      <x:c r="U338" s="38"/>
      <x:c r="V338" s="38"/>
      <x:c r="W338" s="38"/>
      <x:c r="X338" s="38"/>
      <x:c r="Y338" s="38"/>
      <x:c r="Z338" s="38"/>
    </x:row>
    <x:row r="339">
      <x:c r="A339" s="38"/>
      <x:c r="B339" s="38"/>
      <x:c r="C339" s="38"/>
      <x:c r="D339" s="38"/>
      <x:c r="E339" s="38"/>
      <x:c r="F339" s="38"/>
      <x:c r="G339" s="38"/>
      <x:c r="H339" s="38"/>
      <x:c r="I339" s="38"/>
      <x:c r="J339" s="38"/>
      <x:c r="K339" s="38"/>
      <x:c r="L339" s="38"/>
      <x:c r="M339" s="38"/>
      <x:c r="N339" s="38"/>
      <x:c r="O339" s="38"/>
      <x:c r="P339" s="38"/>
      <x:c r="Q339" s="38"/>
      <x:c r="R339" s="38"/>
      <x:c r="S339" s="38"/>
      <x:c r="T339" s="38"/>
      <x:c r="U339" s="38"/>
      <x:c r="V339" s="38"/>
      <x:c r="W339" s="38"/>
      <x:c r="X339" s="38"/>
      <x:c r="Y339" s="38"/>
      <x:c r="Z339" s="38"/>
    </x:row>
    <x:row r="340">
      <x:c r="A340" s="38"/>
      <x:c r="B340" s="38"/>
      <x:c r="C340" s="38"/>
      <x:c r="D340" s="38"/>
      <x:c r="E340" s="38"/>
      <x:c r="F340" s="38"/>
      <x:c r="G340" s="38"/>
      <x:c r="H340" s="38"/>
      <x:c r="I340" s="38"/>
      <x:c r="J340" s="38"/>
      <x:c r="K340" s="38"/>
      <x:c r="L340" s="38"/>
      <x:c r="M340" s="38"/>
      <x:c r="N340" s="38"/>
      <x:c r="O340" s="38"/>
      <x:c r="P340" s="38"/>
      <x:c r="Q340" s="38"/>
      <x:c r="R340" s="38"/>
      <x:c r="S340" s="38"/>
      <x:c r="T340" s="38"/>
      <x:c r="U340" s="38"/>
      <x:c r="V340" s="38"/>
      <x:c r="W340" s="38"/>
      <x:c r="X340" s="38"/>
      <x:c r="Y340" s="38"/>
      <x:c r="Z340" s="38"/>
    </x:row>
    <x:row r="341">
      <x:c r="A341" s="38"/>
      <x:c r="B341" s="38"/>
      <x:c r="C341" s="38"/>
      <x:c r="D341" s="38"/>
      <x:c r="E341" s="38"/>
      <x:c r="F341" s="38"/>
      <x:c r="G341" s="38"/>
      <x:c r="H341" s="38"/>
      <x:c r="I341" s="38"/>
      <x:c r="J341" s="38"/>
      <x:c r="K341" s="38"/>
      <x:c r="L341" s="38"/>
      <x:c r="M341" s="38"/>
      <x:c r="N341" s="38"/>
      <x:c r="O341" s="38"/>
      <x:c r="P341" s="38"/>
      <x:c r="Q341" s="38"/>
      <x:c r="R341" s="38"/>
      <x:c r="S341" s="38"/>
      <x:c r="T341" s="38"/>
      <x:c r="U341" s="38"/>
      <x:c r="V341" s="38"/>
      <x:c r="W341" s="38"/>
      <x:c r="X341" s="38"/>
      <x:c r="Y341" s="38"/>
      <x:c r="Z341" s="38"/>
    </x:row>
    <x:row r="342">
      <x:c r="A342" s="38"/>
      <x:c r="B342" s="38"/>
      <x:c r="C342" s="38"/>
      <x:c r="D342" s="38"/>
      <x:c r="E342" s="38"/>
      <x:c r="F342" s="38"/>
      <x:c r="G342" s="38"/>
      <x:c r="H342" s="38"/>
      <x:c r="I342" s="38"/>
      <x:c r="J342" s="38"/>
      <x:c r="K342" s="38"/>
      <x:c r="L342" s="38"/>
      <x:c r="M342" s="38"/>
      <x:c r="N342" s="38"/>
      <x:c r="O342" s="38"/>
      <x:c r="P342" s="38"/>
      <x:c r="Q342" s="38"/>
      <x:c r="R342" s="38"/>
      <x:c r="S342" s="38"/>
      <x:c r="T342" s="38"/>
      <x:c r="U342" s="38"/>
      <x:c r="V342" s="38"/>
      <x:c r="W342" s="38"/>
      <x:c r="X342" s="38"/>
      <x:c r="Y342" s="38"/>
      <x:c r="Z342" s="38"/>
    </x:row>
    <x:row r="343">
      <x:c r="A343" s="38"/>
      <x:c r="B343" s="38"/>
      <x:c r="C343" s="38"/>
      <x:c r="D343" s="38"/>
      <x:c r="E343" s="38"/>
      <x:c r="F343" s="38"/>
      <x:c r="G343" s="38"/>
      <x:c r="H343" s="38"/>
      <x:c r="I343" s="38"/>
      <x:c r="J343" s="38"/>
      <x:c r="K343" s="38"/>
      <x:c r="L343" s="38"/>
      <x:c r="M343" s="38"/>
      <x:c r="N343" s="38"/>
      <x:c r="O343" s="38"/>
      <x:c r="P343" s="38"/>
      <x:c r="Q343" s="38"/>
      <x:c r="R343" s="38"/>
      <x:c r="S343" s="38"/>
      <x:c r="T343" s="38"/>
      <x:c r="U343" s="38"/>
      <x:c r="V343" s="38"/>
      <x:c r="W343" s="38"/>
      <x:c r="X343" s="38"/>
      <x:c r="Y343" s="38"/>
      <x:c r="Z343" s="38"/>
    </x:row>
    <x:row r="344">
      <x:c r="A344" s="38"/>
      <x:c r="B344" s="38"/>
      <x:c r="C344" s="38"/>
      <x:c r="D344" s="38"/>
      <x:c r="E344" s="38"/>
      <x:c r="F344" s="38"/>
      <x:c r="G344" s="38"/>
      <x:c r="H344" s="38"/>
      <x:c r="I344" s="38"/>
      <x:c r="J344" s="38"/>
      <x:c r="K344" s="38"/>
      <x:c r="L344" s="38"/>
      <x:c r="M344" s="38"/>
      <x:c r="N344" s="38"/>
      <x:c r="O344" s="38"/>
      <x:c r="P344" s="38"/>
      <x:c r="Q344" s="38"/>
      <x:c r="R344" s="38"/>
      <x:c r="S344" s="38"/>
      <x:c r="T344" s="38"/>
      <x:c r="U344" s="38"/>
      <x:c r="V344" s="38"/>
      <x:c r="W344" s="38"/>
      <x:c r="X344" s="38"/>
      <x:c r="Y344" s="38"/>
      <x:c r="Z344" s="38"/>
    </x:row>
    <x:row r="345">
      <x:c r="A345" s="38"/>
      <x:c r="B345" s="38"/>
      <x:c r="C345" s="38"/>
      <x:c r="D345" s="38"/>
      <x:c r="E345" s="38"/>
      <x:c r="F345" s="38"/>
      <x:c r="G345" s="38"/>
      <x:c r="H345" s="38"/>
      <x:c r="I345" s="38"/>
      <x:c r="J345" s="38"/>
      <x:c r="K345" s="38"/>
      <x:c r="L345" s="38"/>
      <x:c r="M345" s="38"/>
      <x:c r="N345" s="38"/>
      <x:c r="O345" s="38"/>
      <x:c r="P345" s="38"/>
      <x:c r="Q345" s="38"/>
      <x:c r="R345" s="38"/>
      <x:c r="S345" s="38"/>
      <x:c r="T345" s="38"/>
      <x:c r="U345" s="38"/>
      <x:c r="V345" s="38"/>
      <x:c r="W345" s="38"/>
      <x:c r="X345" s="38"/>
      <x:c r="Y345" s="38"/>
      <x:c r="Z345" s="38"/>
    </x:row>
    <x:row r="346">
      <x:c r="A346" s="38"/>
      <x:c r="B346" s="38"/>
      <x:c r="C346" s="38"/>
      <x:c r="D346" s="38"/>
      <x:c r="E346" s="38"/>
      <x:c r="F346" s="38"/>
      <x:c r="G346" s="38"/>
      <x:c r="H346" s="38"/>
      <x:c r="I346" s="38"/>
      <x:c r="J346" s="38"/>
      <x:c r="K346" s="38"/>
      <x:c r="L346" s="38"/>
      <x:c r="M346" s="38"/>
      <x:c r="N346" s="38"/>
      <x:c r="O346" s="38"/>
      <x:c r="P346" s="38"/>
      <x:c r="Q346" s="38"/>
      <x:c r="R346" s="38"/>
      <x:c r="S346" s="38"/>
      <x:c r="T346" s="38"/>
      <x:c r="U346" s="38"/>
      <x:c r="V346" s="38"/>
      <x:c r="W346" s="38"/>
      <x:c r="X346" s="38"/>
      <x:c r="Y346" s="38"/>
      <x:c r="Z346" s="38"/>
    </x:row>
    <x:row r="347">
      <x:c r="A347" s="38"/>
      <x:c r="B347" s="38"/>
      <x:c r="C347" s="38"/>
      <x:c r="D347" s="38"/>
      <x:c r="E347" s="38"/>
      <x:c r="F347" s="38"/>
      <x:c r="G347" s="38"/>
      <x:c r="H347" s="38"/>
      <x:c r="I347" s="38"/>
      <x:c r="J347" s="38"/>
      <x:c r="K347" s="38"/>
      <x:c r="L347" s="38"/>
      <x:c r="M347" s="38"/>
      <x:c r="N347" s="38"/>
      <x:c r="O347" s="38"/>
      <x:c r="P347" s="38"/>
      <x:c r="Q347" s="38"/>
      <x:c r="R347" s="38"/>
      <x:c r="S347" s="38"/>
      <x:c r="T347" s="38"/>
      <x:c r="U347" s="38"/>
      <x:c r="V347" s="38"/>
      <x:c r="W347" s="38"/>
      <x:c r="X347" s="38"/>
      <x:c r="Y347" s="38"/>
      <x:c r="Z347" s="38"/>
    </x:row>
    <x:row r="348">
      <x:c r="A348" s="38"/>
      <x:c r="B348" s="38"/>
      <x:c r="C348" s="38"/>
      <x:c r="D348" s="38"/>
      <x:c r="E348" s="38"/>
      <x:c r="F348" s="38"/>
      <x:c r="G348" s="38"/>
      <x:c r="H348" s="38"/>
      <x:c r="I348" s="38"/>
      <x:c r="J348" s="38"/>
      <x:c r="K348" s="38"/>
      <x:c r="L348" s="38"/>
      <x:c r="M348" s="38"/>
      <x:c r="N348" s="38"/>
      <x:c r="O348" s="38"/>
      <x:c r="P348" s="38"/>
      <x:c r="Q348" s="38"/>
      <x:c r="R348" s="38"/>
      <x:c r="S348" s="38"/>
      <x:c r="T348" s="38"/>
      <x:c r="U348" s="38"/>
      <x:c r="V348" s="38"/>
      <x:c r="W348" s="38"/>
      <x:c r="X348" s="38"/>
      <x:c r="Y348" s="38"/>
      <x:c r="Z348" s="38"/>
    </x:row>
    <x:row r="349">
      <x:c r="A349" s="38"/>
      <x:c r="B349" s="38"/>
      <x:c r="C349" s="38"/>
      <x:c r="D349" s="38"/>
      <x:c r="E349" s="38"/>
      <x:c r="F349" s="38"/>
      <x:c r="G349" s="38"/>
      <x:c r="H349" s="38"/>
      <x:c r="I349" s="38"/>
      <x:c r="J349" s="38"/>
      <x:c r="K349" s="38"/>
      <x:c r="L349" s="38"/>
      <x:c r="M349" s="38"/>
      <x:c r="N349" s="38"/>
      <x:c r="O349" s="38"/>
      <x:c r="P349" s="38"/>
      <x:c r="Q349" s="38"/>
      <x:c r="R349" s="38"/>
      <x:c r="S349" s="38"/>
      <x:c r="T349" s="38"/>
      <x:c r="U349" s="38"/>
      <x:c r="V349" s="38"/>
      <x:c r="W349" s="38"/>
      <x:c r="X349" s="38"/>
      <x:c r="Y349" s="38"/>
      <x:c r="Z349" s="38"/>
    </x:row>
    <x:row r="350">
      <x:c r="A350" s="38"/>
      <x:c r="B350" s="38"/>
      <x:c r="C350" s="38"/>
      <x:c r="D350" s="38"/>
      <x:c r="E350" s="38"/>
      <x:c r="F350" s="38"/>
      <x:c r="G350" s="38"/>
      <x:c r="H350" s="38"/>
      <x:c r="I350" s="38"/>
      <x:c r="J350" s="38"/>
      <x:c r="K350" s="38"/>
      <x:c r="L350" s="38"/>
      <x:c r="M350" s="38"/>
      <x:c r="N350" s="38"/>
      <x:c r="O350" s="38"/>
      <x:c r="P350" s="38"/>
      <x:c r="Q350" s="38"/>
      <x:c r="R350" s="38"/>
      <x:c r="S350" s="38"/>
      <x:c r="T350" s="38"/>
      <x:c r="U350" s="38"/>
      <x:c r="V350" s="38"/>
      <x:c r="W350" s="38"/>
      <x:c r="X350" s="38"/>
      <x:c r="Y350" s="38"/>
      <x:c r="Z350" s="38"/>
    </x:row>
  </x:sheetData>
  <x:mergeCells>
    <x:mergeCell ref="A1:I1"/>
    <x:mergeCell ref="A2:I2"/>
  </x:mergeCells>
  <x:dataValidations count="3">
    <x:dataValidation type="list" sqref="C5:C500">
      <x:formula1>"Compute,Storage,Network / Security,Security / Governance,Management,Lifecycle,Operations,Automation,Migration,Kubernetes,Resilience,Other"</x:formula1>
    </x:dataValidation>
    <x:dataValidation type="list" sqref="F5:F500">
      <x:formula1>"Yes,No"</x:formula1>
    </x:dataValidation>
    <x:dataValidation type="list" sqref="H5:H500">
      <x:formula1>"Draft,Review,Approved,Deprecated"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97dd78540f489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30" hidden="0" customWidth="1"/>
    <x:col min="4" max="4" width="52" hidden="0" customWidth="1"/>
    <x:col min="5" max="5" width="52" hidden="0" customWidth="1"/>
    <x:col min="6" max="6" width="22" hidden="0" customWidth="1"/>
    <x:col min="7" max="7" width="26" hidden="0" customWidth="1"/>
    <x:col min="8" max="8" width="18" hidden="0" customWidth="1"/>
    <x:col min="9" max="9" width="22" hidden="0" customWidth="1"/>
    <x:col min="10" max="10" width="12" hidden="0" customWidth="1"/>
    <x:col min="11" max="11" width="14" hidden="0" customWidth="1"/>
    <x:col min="12" max="12" width="40" hidden="0" customWidth="1"/>
  </x:cols>
  <x:sheetData>
    <x:row r="1" ht="28" customHeight="1">
      <x:c r="A1" s="5" t="str">
        <x:v>02 — Major Features</x:v>
      </x:c>
    </x:row>
    <x:row r="2" ht="32" customHeight="1">
      <x:c r="A2" s="14" t="str">
        <x:v>Major features under each VCF product/component. Target volume: about 80 rows. Customer assessment should normally occur at this level by default.</x:v>
      </x:c>
    </x:row>
    <x:row r="4" ht="36" customHeight="1">
      <x:c r="A4" s="24" t="str">
        <x:v>Feature_ID</x:v>
      </x:c>
      <x:c r="B4" s="24" t="str">
        <x:v>Product_ID</x:v>
      </x:c>
      <x:c r="C4" s="24" t="str">
        <x:v>Feature_Name</x:v>
      </x:c>
      <x:c r="D4" s="24" t="str">
        <x:v>Feature_Description</x:v>
      </x:c>
      <x:c r="E4" s="24" t="str">
        <x:v>Customer_Assessment_Prompt</x:v>
      </x:c>
      <x:c r="F4" s="24" t="str">
        <x:v>Default_Assessment_Level</x:v>
      </x:c>
      <x:c r="G4" s="24" t="str">
        <x:v>Requires_Functionality_Detail</x:v>
      </x:c>
      <x:c r="H4" s="24" t="str">
        <x:v>Default_Criticality</x:v>
      </x:c>
      <x:c r="I4" s="24" t="str">
        <x:v>Sovereignty_Relevance</x:v>
      </x:c>
      <x:c r="J4" s="24" t="str">
        <x:v>Sort_Order</x:v>
      </x:c>
      <x:c r="K4" s="24" t="str">
        <x:v>Status</x:v>
      </x:c>
      <x:c r="L4" s="24" t="str">
        <x:v>Notes</x:v>
      </x:c>
      <x:c r="M4" s="38"/>
      <x:c r="N4" s="38"/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</x:row>
    <x:row r="5" ht="18" customHeight="1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8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</x:row>
    <x:row r="6" ht="18" customHeight="1">
      <x:c r="A6" s="32"/>
      <x:c r="B6" s="32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8"/>
      <x:c r="N6" s="38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</x:row>
    <x:row r="7" ht="18" customHeight="1">
      <x:c r="A7" s="32"/>
      <x:c r="B7" s="32"/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8"/>
      <x:c r="N7" s="38"/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</x:row>
    <x:row r="8" ht="18" customHeight="1">
      <x:c r="A8" s="32"/>
      <x:c r="B8" s="32"/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8"/>
      <x:c r="N8" s="38"/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</x:row>
    <x:row r="9" ht="18" customHeight="1">
      <x:c r="A9" s="32"/>
      <x:c r="B9" s="32"/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8"/>
      <x:c r="N9" s="38"/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</x:row>
    <x:row r="10" ht="18" customHeight="1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8"/>
      <x:c r="N10" s="38"/>
      <x:c r="O10" s="38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</x:row>
    <x:row r="11" ht="18" customHeight="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8"/>
      <x:c r="N11" s="38"/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</x:row>
    <x:row r="12" ht="18" customHeight="1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8"/>
      <x:c r="N12" s="38"/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</x:row>
    <x:row r="13" ht="18" customHeight="1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</x:row>
    <x:row r="14" ht="18" customHeight="1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8"/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</x:row>
    <x:row r="15" ht="18" customHeight="1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8"/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</x:row>
    <x:row r="16" ht="18" customHeight="1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</x:row>
    <x:row r="17" ht="18" customHeight="1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  <x:c r="L17" s="32"/>
      <x:c r="M17" s="38"/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</x:row>
    <x:row r="18" ht="18" customHeight="1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8"/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</x:row>
    <x:row r="19" ht="18" customHeight="1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  <x:c r="L19" s="32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</x:row>
    <x:row r="20" ht="18" customHeight="1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</x:row>
    <x:row r="21" ht="18" customHeight="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  <x:c r="L21" s="32"/>
      <x:c r="M21" s="38"/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</x:row>
    <x:row r="22" ht="18" customHeight="1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8"/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</x:row>
    <x:row r="23" ht="18" customHeight="1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8"/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</x:row>
    <x:row r="24" ht="18" customHeight="1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8"/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</x:row>
    <x:row r="25" ht="18" customHeight="1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</x:row>
    <x:row r="26" ht="18" customHeight="1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</x:row>
    <x:row r="27" ht="18" customHeight="1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8"/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</x:row>
    <x:row r="28" ht="18" customHeight="1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8"/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</x:row>
    <x:row r="29" ht="18" customHeight="1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8"/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</x:row>
    <x:row r="30" ht="18" customHeight="1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8"/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</x:row>
    <x:row r="31" ht="18" customHeight="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8"/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</x:row>
    <x:row r="32" ht="18" customHeight="1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</x:row>
    <x:row r="33" ht="18" customHeight="1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</x:row>
    <x:row r="34" ht="18" customHeight="1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</x:row>
    <x:row r="35" ht="18" customHeight="1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</x:row>
    <x:row r="36" ht="18" customHeight="1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</x:row>
    <x:row r="37" ht="18" customHeight="1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</x:row>
    <x:row r="38" ht="18" customHeight="1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</x:row>
    <x:row r="39" ht="18" customHeight="1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</x:row>
    <x:row r="40" ht="18" customHeight="1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</x:row>
    <x:row r="41" ht="18" customHeight="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</x:row>
    <x:row r="42" ht="18" customHeight="1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</x:row>
    <x:row r="43" ht="18" customHeight="1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</x:row>
    <x:row r="44" ht="18" customHeight="1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</x:row>
    <x:row r="45" ht="18" customHeight="1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</x:row>
    <x:row r="46" ht="18" customHeight="1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</x:row>
    <x:row r="47" ht="18" customHeight="1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</x:row>
    <x:row r="48" ht="18" customHeight="1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</x:row>
    <x:row r="49" ht="18" customHeight="1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</x:row>
    <x:row r="50" ht="18" customHeight="1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</x:row>
    <x:row r="51" ht="18" customHeight="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</x:row>
    <x:row r="52" ht="18" customHeight="1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</x:row>
    <x:row r="53" ht="18" customHeight="1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</x:row>
    <x:row r="54" ht="18" customHeight="1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</x:row>
    <x:row r="55" ht="18" customHeight="1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</x:row>
    <x:row r="56" ht="18" customHeight="1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</x:row>
    <x:row r="57" ht="18" customHeight="1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</x:row>
    <x:row r="58" ht="18" customHeight="1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</x:row>
    <x:row r="59" ht="18" customHeight="1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  <x:c r="L59" s="32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</x:row>
    <x:row r="60" ht="18" customHeight="1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  <x:c r="L60" s="32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</x:row>
    <x:row r="61" ht="18" customHeight="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  <x:c r="L61" s="32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</x:row>
    <x:row r="62" ht="18" customHeight="1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  <x:c r="L62" s="32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</x:row>
    <x:row r="63" ht="18" customHeight="1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  <x:c r="L63" s="32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</x:row>
    <x:row r="64" ht="18" customHeight="1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  <x:c r="L64" s="32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</x:row>
    <x:row r="65" ht="18" customHeight="1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  <x:c r="L65" s="32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</x:row>
    <x:row r="66" ht="18" customHeight="1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</x:row>
    <x:row r="67" ht="18" customHeight="1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  <x:c r="L67" s="32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</x:row>
    <x:row r="68" ht="18" customHeight="1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  <x:c r="L68" s="32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</x:row>
    <x:row r="69" ht="18" customHeight="1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  <x:c r="L69" s="32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</x:row>
    <x:row r="70" ht="18" customHeight="1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  <x:c r="L70" s="32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</x:row>
    <x:row r="71" ht="18" customHeight="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  <x:c r="L71" s="32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</x:row>
    <x:row r="72" ht="18" customHeight="1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  <x:c r="L72" s="32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</x:row>
    <x:row r="73" ht="18" customHeight="1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  <x:c r="L73" s="32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</x:row>
    <x:row r="74" ht="18" customHeight="1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  <x:c r="L74" s="32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</x:row>
    <x:row r="75" ht="18" customHeight="1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  <x:c r="L75" s="32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</x:row>
    <x:row r="76" ht="18" customHeight="1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  <x:c r="L76" s="32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</x:row>
    <x:row r="77" ht="18" customHeight="1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  <x:c r="L77" s="32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</x:row>
    <x:row r="78" ht="18" customHeight="1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  <x:c r="L78" s="32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</x:row>
    <x:row r="79" ht="18" customHeight="1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  <x:c r="L79" s="32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</x:row>
    <x:row r="80" ht="18" customHeight="1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  <x:c r="L80" s="32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</x:row>
    <x:row r="81" ht="18" customHeight="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  <x:c r="L81" s="32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</x:row>
    <x:row r="82" ht="18" customHeight="1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  <x:c r="L82" s="32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</x:row>
    <x:row r="83" ht="18" customHeight="1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  <x:c r="L83" s="32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</x:row>
    <x:row r="84" ht="18" customHeight="1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  <x:c r="L84" s="32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</x:row>
    <x:row r="85" ht="18" customHeight="1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  <x:c r="L85" s="32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</x:row>
    <x:row r="86" ht="18" customHeight="1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  <x:c r="L86" s="32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</x:row>
    <x:row r="87" ht="18" customHeight="1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  <x:c r="L87" s="32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</x:row>
    <x:row r="88" ht="18" customHeight="1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  <x:c r="L88" s="32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</x:row>
    <x:row r="89" ht="18" customHeight="1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  <x:c r="L89" s="32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</x:row>
    <x:row r="90" ht="18" customHeight="1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  <x:c r="L90" s="32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</x:row>
    <x:row r="91" ht="18" customHeight="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  <x:c r="L91" s="32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</x:row>
    <x:row r="92" ht="18" customHeight="1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  <x:c r="L92" s="32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</x:row>
    <x:row r="93" ht="18" customHeight="1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  <x:c r="L93" s="32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</x:row>
    <x:row r="94" ht="18" customHeight="1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  <x:c r="L94" s="32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</x:row>
    <x:row r="95" ht="18" customHeight="1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  <x:c r="L95" s="32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</x:row>
    <x:row r="96" ht="18" customHeight="1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  <x:c r="L96" s="32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</x:row>
    <x:row r="97" ht="18" customHeight="1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  <x:c r="L97" s="32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</x:row>
    <x:row r="98" ht="18" customHeight="1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  <x:c r="L98" s="32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</x:row>
    <x:row r="99" ht="18" customHeight="1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  <x:c r="L99" s="32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</x:row>
    <x:row r="100" ht="18" customHeight="1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  <x:c r="L100" s="32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</x:row>
    <x:row r="101" ht="18" customHeight="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  <x:c r="L101" s="32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</x:row>
    <x:row r="102" ht="18" customHeight="1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  <x:c r="L102" s="32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</x:row>
    <x:row r="103" ht="18" customHeight="1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  <x:c r="L103" s="32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</x:row>
    <x:row r="104" ht="18" customHeight="1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  <x:c r="L104" s="32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</x:row>
    <x:row r="105" ht="18" customHeight="1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  <x:c r="L105" s="32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</x:row>
    <x:row r="106" ht="18" customHeight="1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  <x:c r="L106" s="32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</x:row>
    <x:row r="107" ht="18" customHeight="1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  <x:c r="L107" s="32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</x:row>
    <x:row r="108" ht="18" customHeight="1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  <x:c r="L108" s="32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</x:row>
    <x:row r="109" ht="18" customHeight="1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  <x:c r="L109" s="32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</x:row>
    <x:row r="110" ht="18" customHeight="1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  <x:c r="L110" s="32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</x:row>
    <x:row r="111" ht="18" customHeight="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  <x:c r="L111" s="32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</x:row>
    <x:row r="112" ht="18" customHeight="1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  <x:c r="L112" s="32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</x:row>
    <x:row r="113" ht="18" customHeight="1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  <x:c r="L113" s="32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</x:row>
    <x:row r="114" ht="18" customHeight="1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  <x:c r="L114" s="32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</x:row>
    <x:row r="115" ht="18" customHeight="1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  <x:c r="L115" s="32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</x:row>
    <x:row r="116" ht="18" customHeight="1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  <x:c r="L116" s="32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</x:row>
    <x:row r="117" ht="18" customHeight="1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  <x:c r="L117" s="32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</x:row>
    <x:row r="118" ht="18" customHeight="1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  <x:c r="L118" s="32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</x:row>
    <x:row r="119" ht="18" customHeight="1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  <x:c r="L119" s="32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</x:row>
    <x:row r="120" ht="18" customHeight="1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  <x:c r="L120" s="32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  <x:row r="121" ht="18" customHeight="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  <x:c r="L121" s="32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</x:row>
    <x:row r="122" ht="18" customHeight="1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  <x:c r="L122" s="32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</x:row>
    <x:row r="123" ht="18" customHeight="1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  <x:c r="L123" s="32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</x:row>
    <x:row r="124" ht="18" customHeight="1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  <x:c r="L124" s="32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</x:row>
    <x:row r="125" ht="18" customHeight="1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</x:row>
    <x:row r="126" ht="18" customHeight="1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</x:row>
    <x:row r="127" ht="18" customHeight="1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</x:row>
    <x:row r="128" ht="18" customHeight="1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</x:row>
    <x:row r="129" ht="18" customHeight="1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</x:row>
    <x:row r="130" ht="18" customHeight="1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</x:row>
    <x:row r="131" ht="18" customHeight="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</x:row>
    <x:row r="132" ht="18" customHeight="1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</x:row>
    <x:row r="133" ht="18" customHeight="1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</x:row>
    <x:row r="134" ht="18" customHeight="1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</x:row>
    <x:row r="135" ht="18" customHeight="1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</x:row>
    <x:row r="136" ht="18" customHeight="1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</x:row>
    <x:row r="137" ht="18" customHeight="1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</x:row>
    <x:row r="138" ht="18" customHeight="1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</x:row>
    <x:row r="139" ht="18" customHeight="1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</x:row>
    <x:row r="140" ht="18" customHeight="1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</x:row>
    <x:row r="141" ht="18" customHeight="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</x:row>
    <x:row r="142" ht="18" customHeight="1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</x:row>
    <x:row r="143" ht="18" customHeight="1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</x:row>
    <x:row r="144" ht="18" customHeight="1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</x:row>
    <x:row r="145" ht="18" customHeight="1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</x:row>
    <x:row r="146" ht="18" customHeight="1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</x:row>
    <x:row r="147" ht="18" customHeight="1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</x:row>
    <x:row r="148" ht="18" customHeight="1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</x:row>
    <x:row r="149" ht="18" customHeight="1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</x:row>
    <x:row r="150" ht="18" customHeight="1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</x:row>
    <x:row r="151" ht="18" customHeight="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</x:row>
    <x:row r="152" ht="18" customHeight="1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</x:row>
    <x:row r="153" ht="18" customHeight="1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</x:row>
    <x:row r="154" ht="18" customHeight="1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</x:row>
    <x:row r="155" ht="18" customHeight="1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</x:row>
    <x:row r="156" ht="18" customHeight="1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</x:row>
    <x:row r="157" ht="18" customHeight="1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</x:row>
    <x:row r="158" ht="18" customHeight="1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</x:row>
    <x:row r="159" ht="18" customHeight="1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</x:row>
    <x:row r="160" ht="18" customHeight="1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</x:row>
    <x:row r="161" ht="18" customHeight="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</x:row>
    <x:row r="162" ht="18" customHeight="1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</x:row>
    <x:row r="163" ht="18" customHeight="1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</x:row>
    <x:row r="164" ht="18" customHeight="1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</x:row>
    <x:row r="165" ht="18" customHeight="1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</x:row>
    <x:row r="166" ht="18" customHeight="1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</x:row>
    <x:row r="167" ht="18" customHeight="1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</x:row>
    <x:row r="168" ht="18" customHeight="1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</x:row>
    <x:row r="169" ht="18" customHeight="1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</x:row>
    <x:row r="170" ht="18" customHeight="1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</x:row>
    <x:row r="171" ht="18" customHeight="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</x:row>
    <x:row r="172" ht="18" customHeight="1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</x:row>
    <x:row r="173" ht="18" customHeight="1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</x:row>
    <x:row r="174" ht="18" customHeight="1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</x:row>
    <x:row r="175" ht="18" customHeight="1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</x:row>
    <x:row r="176" ht="18" customHeight="1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</x:row>
    <x:row r="177" ht="18" customHeight="1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</x:row>
    <x:row r="178" ht="18" customHeight="1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</x:row>
    <x:row r="179" ht="18" customHeight="1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</x:row>
    <x:row r="180" ht="18" customHeight="1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</x:row>
    <x:row r="181" ht="18" customHeight="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</x:row>
    <x:row r="182" ht="18" customHeight="1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</x:row>
    <x:row r="183" ht="18" customHeight="1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</x:row>
    <x:row r="184" ht="18" customHeight="1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</x:row>
    <x:row r="185" ht="18" customHeight="1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</x:row>
    <x:row r="186" ht="18" customHeight="1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</x:row>
    <x:row r="187" ht="18" customHeight="1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</x:row>
    <x:row r="188" ht="18" customHeight="1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</x:row>
    <x:row r="189" ht="18" customHeight="1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</x:row>
    <x:row r="190" ht="18" customHeight="1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</x:row>
    <x:row r="191" ht="18" customHeight="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</x:row>
    <x:row r="192" ht="18" customHeight="1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</x:row>
    <x:row r="193" ht="18" customHeight="1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</x:row>
    <x:row r="194" ht="18" customHeight="1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</x:row>
    <x:row r="195" ht="18" customHeight="1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</x:row>
    <x:row r="196" ht="18" customHeight="1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</x:row>
    <x:row r="197" ht="18" customHeight="1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</x:row>
    <x:row r="198" ht="18" customHeight="1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</x:row>
    <x:row r="199" ht="18" customHeight="1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</x:row>
    <x:row r="200" ht="18" customHeight="1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</x:row>
    <x:row r="201" ht="18" customHeight="1">
      <x:c r="A201" s="38"/>
      <x:c r="B201" s="38"/>
      <x:c r="C201" s="38"/>
      <x:c r="D201" s="38"/>
      <x:c r="E201" s="38"/>
      <x:c r="F201" s="38"/>
      <x:c r="G201" s="38"/>
      <x:c r="H201" s="38"/>
      <x:c r="I201" s="38"/>
      <x:c r="J201" s="38"/>
      <x:c r="K201" s="38"/>
      <x:c r="L201" s="38"/>
      <x:c r="M201" s="38"/>
      <x:c r="N201" s="38"/>
      <x:c r="O201" s="38"/>
      <x:c r="P201" s="38"/>
      <x:c r="Q201" s="38"/>
      <x:c r="R201" s="38"/>
      <x:c r="S201" s="38"/>
      <x:c r="T201" s="38"/>
      <x:c r="U201" s="38"/>
      <x:c r="V201" s="38"/>
      <x:c r="W201" s="38"/>
      <x:c r="X201" s="38"/>
      <x:c r="Y201" s="38"/>
      <x:c r="Z201" s="38"/>
    </x:row>
    <x:row r="202" ht="18" customHeight="1">
      <x:c r="A202" s="38"/>
      <x:c r="B202" s="38"/>
      <x:c r="C202" s="38"/>
      <x:c r="D202" s="38"/>
      <x:c r="E202" s="38"/>
      <x:c r="F202" s="38"/>
      <x:c r="G202" s="38"/>
      <x:c r="H202" s="38"/>
      <x:c r="I202" s="38"/>
      <x:c r="J202" s="38"/>
      <x:c r="K202" s="38"/>
      <x:c r="L202" s="38"/>
      <x:c r="M202" s="38"/>
      <x:c r="N202" s="38"/>
      <x:c r="O202" s="38"/>
      <x:c r="P202" s="38"/>
      <x:c r="Q202" s="38"/>
      <x:c r="R202" s="38"/>
      <x:c r="S202" s="38"/>
      <x:c r="T202" s="38"/>
      <x:c r="U202" s="38"/>
      <x:c r="V202" s="38"/>
      <x:c r="W202" s="38"/>
      <x:c r="X202" s="38"/>
      <x:c r="Y202" s="38"/>
      <x:c r="Z202" s="38"/>
    </x:row>
    <x:row r="203" ht="18" customHeight="1">
      <x:c r="A203" s="38"/>
      <x:c r="B203" s="38"/>
      <x:c r="C203" s="38"/>
      <x:c r="D203" s="38"/>
      <x:c r="E203" s="38"/>
      <x:c r="F203" s="38"/>
      <x:c r="G203" s="38"/>
      <x:c r="H203" s="38"/>
      <x:c r="I203" s="38"/>
      <x:c r="J203" s="38"/>
      <x:c r="K203" s="38"/>
      <x:c r="L203" s="38"/>
      <x:c r="M203" s="38"/>
      <x:c r="N203" s="38"/>
      <x:c r="O203" s="38"/>
      <x:c r="P203" s="38"/>
      <x:c r="Q203" s="38"/>
      <x:c r="R203" s="38"/>
      <x:c r="S203" s="38"/>
      <x:c r="T203" s="38"/>
      <x:c r="U203" s="38"/>
      <x:c r="V203" s="38"/>
      <x:c r="W203" s="38"/>
      <x:c r="X203" s="38"/>
      <x:c r="Y203" s="38"/>
      <x:c r="Z203" s="38"/>
    </x:row>
    <x:row r="204" ht="18" customHeight="1">
      <x:c r="A204" s="38"/>
      <x:c r="B204" s="38"/>
      <x:c r="C204" s="38"/>
      <x:c r="D204" s="38"/>
      <x:c r="E204" s="38"/>
      <x:c r="F204" s="38"/>
      <x:c r="G204" s="38"/>
      <x:c r="H204" s="38"/>
      <x:c r="I204" s="38"/>
      <x:c r="J204" s="38"/>
      <x:c r="K204" s="38"/>
      <x:c r="L204" s="38"/>
      <x:c r="M204" s="38"/>
      <x:c r="N204" s="38"/>
      <x:c r="O204" s="38"/>
      <x:c r="P204" s="38"/>
      <x:c r="Q204" s="38"/>
      <x:c r="R204" s="38"/>
      <x:c r="S204" s="38"/>
      <x:c r="T204" s="38"/>
      <x:c r="U204" s="38"/>
      <x:c r="V204" s="38"/>
      <x:c r="W204" s="38"/>
      <x:c r="X204" s="38"/>
      <x:c r="Y204" s="38"/>
      <x:c r="Z204" s="38"/>
    </x:row>
    <x:row r="205" ht="18" customHeight="1">
      <x:c r="A205" s="38"/>
      <x:c r="B205" s="38"/>
      <x:c r="C205" s="38"/>
      <x:c r="D205" s="38"/>
      <x:c r="E205" s="38"/>
      <x:c r="F205" s="38"/>
      <x:c r="G205" s="38"/>
      <x:c r="H205" s="38"/>
      <x:c r="I205" s="38"/>
      <x:c r="J205" s="38"/>
      <x:c r="K205" s="38"/>
      <x:c r="L205" s="38"/>
      <x:c r="M205" s="38"/>
      <x:c r="N205" s="38"/>
      <x:c r="O205" s="38"/>
      <x:c r="P205" s="38"/>
      <x:c r="Q205" s="38"/>
      <x:c r="R205" s="38"/>
      <x:c r="S205" s="38"/>
      <x:c r="T205" s="38"/>
      <x:c r="U205" s="38"/>
      <x:c r="V205" s="38"/>
      <x:c r="W205" s="38"/>
      <x:c r="X205" s="38"/>
      <x:c r="Y205" s="38"/>
      <x:c r="Z205" s="38"/>
    </x:row>
    <x:row r="206" ht="18" customHeight="1">
      <x:c r="A206" s="38"/>
      <x:c r="B206" s="38"/>
      <x:c r="C206" s="38"/>
      <x:c r="D206" s="38"/>
      <x:c r="E206" s="38"/>
      <x:c r="F206" s="38"/>
      <x:c r="G206" s="38"/>
      <x:c r="H206" s="38"/>
      <x:c r="I206" s="38"/>
      <x:c r="J206" s="38"/>
      <x:c r="K206" s="38"/>
      <x:c r="L206" s="38"/>
      <x:c r="M206" s="38"/>
      <x:c r="N206" s="38"/>
      <x:c r="O206" s="38"/>
      <x:c r="P206" s="38"/>
      <x:c r="Q206" s="38"/>
      <x:c r="R206" s="38"/>
      <x:c r="S206" s="38"/>
      <x:c r="T206" s="38"/>
      <x:c r="U206" s="38"/>
      <x:c r="V206" s="38"/>
      <x:c r="W206" s="38"/>
      <x:c r="X206" s="38"/>
      <x:c r="Y206" s="38"/>
      <x:c r="Z206" s="38"/>
    </x:row>
    <x:row r="207" ht="18" customHeight="1">
      <x:c r="A207" s="38"/>
      <x:c r="B207" s="38"/>
      <x:c r="C207" s="38"/>
      <x:c r="D207" s="38"/>
      <x:c r="E207" s="38"/>
      <x:c r="F207" s="38"/>
      <x:c r="G207" s="38"/>
      <x:c r="H207" s="38"/>
      <x:c r="I207" s="38"/>
      <x:c r="J207" s="38"/>
      <x:c r="K207" s="38"/>
      <x:c r="L207" s="38"/>
      <x:c r="M207" s="38"/>
      <x:c r="N207" s="38"/>
      <x:c r="O207" s="38"/>
      <x:c r="P207" s="38"/>
      <x:c r="Q207" s="38"/>
      <x:c r="R207" s="38"/>
      <x:c r="S207" s="38"/>
      <x:c r="T207" s="38"/>
      <x:c r="U207" s="38"/>
      <x:c r="V207" s="38"/>
      <x:c r="W207" s="38"/>
      <x:c r="X207" s="38"/>
      <x:c r="Y207" s="38"/>
      <x:c r="Z207" s="38"/>
    </x:row>
    <x:row r="208" ht="18" customHeight="1">
      <x:c r="A208" s="38"/>
      <x:c r="B208" s="38"/>
      <x:c r="C208" s="38"/>
      <x:c r="D208" s="38"/>
      <x:c r="E208" s="38"/>
      <x:c r="F208" s="38"/>
      <x:c r="G208" s="38"/>
      <x:c r="H208" s="38"/>
      <x:c r="I208" s="38"/>
      <x:c r="J208" s="38"/>
      <x:c r="K208" s="38"/>
      <x:c r="L208" s="38"/>
      <x:c r="M208" s="38"/>
      <x:c r="N208" s="38"/>
      <x:c r="O208" s="38"/>
      <x:c r="P208" s="38"/>
      <x:c r="Q208" s="38"/>
      <x:c r="R208" s="38"/>
      <x:c r="S208" s="38"/>
      <x:c r="T208" s="38"/>
      <x:c r="U208" s="38"/>
      <x:c r="V208" s="38"/>
      <x:c r="W208" s="38"/>
      <x:c r="X208" s="38"/>
      <x:c r="Y208" s="38"/>
      <x:c r="Z208" s="38"/>
    </x:row>
    <x:row r="209" ht="18" customHeight="1">
      <x:c r="A209" s="38"/>
      <x:c r="B209" s="38"/>
      <x:c r="C209" s="38"/>
      <x:c r="D209" s="38"/>
      <x:c r="E209" s="38"/>
      <x:c r="F209" s="38"/>
      <x:c r="G209" s="38"/>
      <x:c r="H209" s="38"/>
      <x:c r="I209" s="38"/>
      <x:c r="J209" s="38"/>
      <x:c r="K209" s="38"/>
      <x:c r="L209" s="38"/>
      <x:c r="M209" s="38"/>
      <x:c r="N209" s="38"/>
      <x:c r="O209" s="38"/>
      <x:c r="P209" s="38"/>
      <x:c r="Q209" s="38"/>
      <x:c r="R209" s="38"/>
      <x:c r="S209" s="38"/>
      <x:c r="T209" s="38"/>
      <x:c r="U209" s="38"/>
      <x:c r="V209" s="38"/>
      <x:c r="W209" s="38"/>
      <x:c r="X209" s="38"/>
      <x:c r="Y209" s="38"/>
      <x:c r="Z209" s="38"/>
    </x:row>
    <x:row r="210" ht="18" customHeight="1">
      <x:c r="A210" s="38"/>
      <x:c r="B210" s="38"/>
      <x:c r="C210" s="38"/>
      <x:c r="D210" s="38"/>
      <x:c r="E210" s="38"/>
      <x:c r="F210" s="38"/>
      <x:c r="G210" s="38"/>
      <x:c r="H210" s="38"/>
      <x:c r="I210" s="38"/>
      <x:c r="J210" s="38"/>
      <x:c r="K210" s="38"/>
      <x:c r="L210" s="38"/>
      <x:c r="M210" s="38"/>
      <x:c r="N210" s="38"/>
      <x:c r="O210" s="38"/>
      <x:c r="P210" s="38"/>
      <x:c r="Q210" s="38"/>
      <x:c r="R210" s="38"/>
      <x:c r="S210" s="38"/>
      <x:c r="T210" s="38"/>
      <x:c r="U210" s="38"/>
      <x:c r="V210" s="38"/>
      <x:c r="W210" s="38"/>
      <x:c r="X210" s="38"/>
      <x:c r="Y210" s="38"/>
      <x:c r="Z210" s="38"/>
    </x:row>
    <x:row r="211" ht="18" customHeight="1">
      <x:c r="A211" s="38"/>
      <x:c r="B211" s="38"/>
      <x:c r="C211" s="38"/>
      <x:c r="D211" s="38"/>
      <x:c r="E211" s="38"/>
      <x:c r="F211" s="38"/>
      <x:c r="G211" s="38"/>
      <x:c r="H211" s="38"/>
      <x:c r="I211" s="38"/>
      <x:c r="J211" s="38"/>
      <x:c r="K211" s="38"/>
      <x:c r="L211" s="38"/>
      <x:c r="M211" s="38"/>
      <x:c r="N211" s="38"/>
      <x:c r="O211" s="38"/>
      <x:c r="P211" s="38"/>
      <x:c r="Q211" s="38"/>
      <x:c r="R211" s="38"/>
      <x:c r="S211" s="38"/>
      <x:c r="T211" s="38"/>
      <x:c r="U211" s="38"/>
      <x:c r="V211" s="38"/>
      <x:c r="W211" s="38"/>
      <x:c r="X211" s="38"/>
      <x:c r="Y211" s="38"/>
      <x:c r="Z211" s="38"/>
    </x:row>
    <x:row r="212" ht="18" customHeight="1">
      <x:c r="A212" s="38"/>
      <x:c r="B212" s="38"/>
      <x:c r="C212" s="38"/>
      <x:c r="D212" s="38"/>
      <x:c r="E212" s="38"/>
      <x:c r="F212" s="38"/>
      <x:c r="G212" s="38"/>
      <x:c r="H212" s="38"/>
      <x:c r="I212" s="38"/>
      <x:c r="J212" s="38"/>
      <x:c r="K212" s="38"/>
      <x:c r="L212" s="38"/>
      <x:c r="M212" s="38"/>
      <x:c r="N212" s="38"/>
      <x:c r="O212" s="38"/>
      <x:c r="P212" s="38"/>
      <x:c r="Q212" s="38"/>
      <x:c r="R212" s="38"/>
      <x:c r="S212" s="38"/>
      <x:c r="T212" s="38"/>
      <x:c r="U212" s="38"/>
      <x:c r="V212" s="38"/>
      <x:c r="W212" s="38"/>
      <x:c r="X212" s="38"/>
      <x:c r="Y212" s="38"/>
      <x:c r="Z212" s="38"/>
    </x:row>
    <x:row r="213" ht="18" customHeight="1">
      <x:c r="A213" s="38"/>
      <x:c r="B213" s="38"/>
      <x:c r="C213" s="38"/>
      <x:c r="D213" s="38"/>
      <x:c r="E213" s="38"/>
      <x:c r="F213" s="38"/>
      <x:c r="G213" s="38"/>
      <x:c r="H213" s="38"/>
      <x:c r="I213" s="38"/>
      <x:c r="J213" s="38"/>
      <x:c r="K213" s="38"/>
      <x:c r="L213" s="38"/>
      <x:c r="M213" s="38"/>
      <x:c r="N213" s="38"/>
      <x:c r="O213" s="38"/>
      <x:c r="P213" s="38"/>
      <x:c r="Q213" s="38"/>
      <x:c r="R213" s="38"/>
      <x:c r="S213" s="38"/>
      <x:c r="T213" s="38"/>
      <x:c r="U213" s="38"/>
      <x:c r="V213" s="38"/>
      <x:c r="W213" s="38"/>
      <x:c r="X213" s="38"/>
      <x:c r="Y213" s="38"/>
      <x:c r="Z213" s="38"/>
    </x:row>
    <x:row r="214" ht="18" customHeight="1">
      <x:c r="A214" s="38"/>
      <x:c r="B214" s="38"/>
      <x:c r="C214" s="38"/>
      <x:c r="D214" s="38"/>
      <x:c r="E214" s="38"/>
      <x:c r="F214" s="38"/>
      <x:c r="G214" s="38"/>
      <x:c r="H214" s="38"/>
      <x:c r="I214" s="38"/>
      <x:c r="J214" s="38"/>
      <x:c r="K214" s="38"/>
      <x:c r="L214" s="38"/>
      <x:c r="M214" s="38"/>
      <x:c r="N214" s="38"/>
      <x:c r="O214" s="38"/>
      <x:c r="P214" s="38"/>
      <x:c r="Q214" s="38"/>
      <x:c r="R214" s="38"/>
      <x:c r="S214" s="38"/>
      <x:c r="T214" s="38"/>
      <x:c r="U214" s="38"/>
      <x:c r="V214" s="38"/>
      <x:c r="W214" s="38"/>
      <x:c r="X214" s="38"/>
      <x:c r="Y214" s="38"/>
      <x:c r="Z214" s="38"/>
    </x:row>
    <x:row r="215" ht="18" customHeight="1">
      <x:c r="A215" s="38"/>
      <x:c r="B215" s="38"/>
      <x:c r="C215" s="38"/>
      <x:c r="D215" s="38"/>
      <x:c r="E215" s="38"/>
      <x:c r="F215" s="38"/>
      <x:c r="G215" s="38"/>
      <x:c r="H215" s="38"/>
      <x:c r="I215" s="38"/>
      <x:c r="J215" s="38"/>
      <x:c r="K215" s="38"/>
      <x:c r="L215" s="38"/>
      <x:c r="M215" s="38"/>
      <x:c r="N215" s="38"/>
      <x:c r="O215" s="38"/>
      <x:c r="P215" s="38"/>
      <x:c r="Q215" s="38"/>
      <x:c r="R215" s="38"/>
      <x:c r="S215" s="38"/>
      <x:c r="T215" s="38"/>
      <x:c r="U215" s="38"/>
      <x:c r="V215" s="38"/>
      <x:c r="W215" s="38"/>
      <x:c r="X215" s="38"/>
      <x:c r="Y215" s="38"/>
      <x:c r="Z215" s="38"/>
    </x:row>
    <x:row r="216" ht="18" customHeight="1">
      <x:c r="A216" s="38"/>
      <x:c r="B216" s="38"/>
      <x:c r="C216" s="38"/>
      <x:c r="D216" s="38"/>
      <x:c r="E216" s="38"/>
      <x:c r="F216" s="38"/>
      <x:c r="G216" s="38"/>
      <x:c r="H216" s="38"/>
      <x:c r="I216" s="38"/>
      <x:c r="J216" s="38"/>
      <x:c r="K216" s="38"/>
      <x:c r="L216" s="38"/>
      <x:c r="M216" s="38"/>
      <x:c r="N216" s="38"/>
      <x:c r="O216" s="38"/>
      <x:c r="P216" s="38"/>
      <x:c r="Q216" s="38"/>
      <x:c r="R216" s="38"/>
      <x:c r="S216" s="38"/>
      <x:c r="T216" s="38"/>
      <x:c r="U216" s="38"/>
      <x:c r="V216" s="38"/>
      <x:c r="W216" s="38"/>
      <x:c r="X216" s="38"/>
      <x:c r="Y216" s="38"/>
      <x:c r="Z216" s="38"/>
    </x:row>
    <x:row r="217" ht="18" customHeight="1">
      <x:c r="A217" s="38"/>
      <x:c r="B217" s="38"/>
      <x:c r="C217" s="38"/>
      <x:c r="D217" s="38"/>
      <x:c r="E217" s="38"/>
      <x:c r="F217" s="38"/>
      <x:c r="G217" s="38"/>
      <x:c r="H217" s="38"/>
      <x:c r="I217" s="38"/>
      <x:c r="J217" s="38"/>
      <x:c r="K217" s="38"/>
      <x:c r="L217" s="38"/>
      <x:c r="M217" s="38"/>
      <x:c r="N217" s="38"/>
      <x:c r="O217" s="38"/>
      <x:c r="P217" s="38"/>
      <x:c r="Q217" s="38"/>
      <x:c r="R217" s="38"/>
      <x:c r="S217" s="38"/>
      <x:c r="T217" s="38"/>
      <x:c r="U217" s="38"/>
      <x:c r="V217" s="38"/>
      <x:c r="W217" s="38"/>
      <x:c r="X217" s="38"/>
      <x:c r="Y217" s="38"/>
      <x:c r="Z217" s="38"/>
    </x:row>
    <x:row r="218" ht="18" customHeight="1">
      <x:c r="A218" s="38"/>
      <x:c r="B218" s="38"/>
      <x:c r="C218" s="38"/>
      <x:c r="D218" s="38"/>
      <x:c r="E218" s="38"/>
      <x:c r="F218" s="38"/>
      <x:c r="G218" s="38"/>
      <x:c r="H218" s="38"/>
      <x:c r="I218" s="38"/>
      <x:c r="J218" s="38"/>
      <x:c r="K218" s="38"/>
      <x:c r="L218" s="38"/>
      <x:c r="M218" s="38"/>
      <x:c r="N218" s="38"/>
      <x:c r="O218" s="38"/>
      <x:c r="P218" s="38"/>
      <x:c r="Q218" s="38"/>
      <x:c r="R218" s="38"/>
      <x:c r="S218" s="38"/>
      <x:c r="T218" s="38"/>
      <x:c r="U218" s="38"/>
      <x:c r="V218" s="38"/>
      <x:c r="W218" s="38"/>
      <x:c r="X218" s="38"/>
      <x:c r="Y218" s="38"/>
      <x:c r="Z218" s="38"/>
    </x:row>
    <x:row r="219" ht="18" customHeight="1">
      <x:c r="A219" s="38"/>
      <x:c r="B219" s="38"/>
      <x:c r="C219" s="38"/>
      <x:c r="D219" s="38"/>
      <x:c r="E219" s="38"/>
      <x:c r="F219" s="38"/>
      <x:c r="G219" s="38"/>
      <x:c r="H219" s="38"/>
      <x:c r="I219" s="38"/>
      <x:c r="J219" s="38"/>
      <x:c r="K219" s="38"/>
      <x:c r="L219" s="38"/>
      <x:c r="M219" s="38"/>
      <x:c r="N219" s="38"/>
      <x:c r="O219" s="38"/>
      <x:c r="P219" s="38"/>
      <x:c r="Q219" s="38"/>
      <x:c r="R219" s="38"/>
      <x:c r="S219" s="38"/>
      <x:c r="T219" s="38"/>
      <x:c r="U219" s="38"/>
      <x:c r="V219" s="38"/>
      <x:c r="W219" s="38"/>
      <x:c r="X219" s="38"/>
      <x:c r="Y219" s="38"/>
      <x:c r="Z219" s="38"/>
    </x:row>
    <x:row r="220" ht="18" customHeight="1">
      <x:c r="A220" s="38"/>
      <x:c r="B220" s="38"/>
      <x:c r="C220" s="38"/>
      <x:c r="D220" s="38"/>
      <x:c r="E220" s="38"/>
      <x:c r="F220" s="38"/>
      <x:c r="G220" s="38"/>
      <x:c r="H220" s="38"/>
      <x:c r="I220" s="38"/>
      <x:c r="J220" s="38"/>
      <x:c r="K220" s="38"/>
      <x:c r="L220" s="38"/>
      <x:c r="M220" s="38"/>
      <x:c r="N220" s="38"/>
      <x:c r="O220" s="38"/>
      <x:c r="P220" s="38"/>
      <x:c r="Q220" s="38"/>
      <x:c r="R220" s="38"/>
      <x:c r="S220" s="38"/>
      <x:c r="T220" s="38"/>
      <x:c r="U220" s="38"/>
      <x:c r="V220" s="38"/>
      <x:c r="W220" s="38"/>
      <x:c r="X220" s="38"/>
      <x:c r="Y220" s="38"/>
      <x:c r="Z220" s="38"/>
    </x:row>
    <x:row r="221" ht="18" customHeight="1">
      <x:c r="A221" s="38"/>
      <x:c r="B221" s="38"/>
      <x:c r="C221" s="38"/>
      <x:c r="D221" s="38"/>
      <x:c r="E221" s="38"/>
      <x:c r="F221" s="38"/>
      <x:c r="G221" s="38"/>
      <x:c r="H221" s="38"/>
      <x:c r="I221" s="38"/>
      <x:c r="J221" s="38"/>
      <x:c r="K221" s="38"/>
      <x:c r="L221" s="38"/>
      <x:c r="M221" s="38"/>
      <x:c r="N221" s="38"/>
      <x:c r="O221" s="38"/>
      <x:c r="P221" s="38"/>
      <x:c r="Q221" s="38"/>
      <x:c r="R221" s="38"/>
      <x:c r="S221" s="38"/>
      <x:c r="T221" s="38"/>
      <x:c r="U221" s="38"/>
      <x:c r="V221" s="38"/>
      <x:c r="W221" s="38"/>
      <x:c r="X221" s="38"/>
      <x:c r="Y221" s="38"/>
      <x:c r="Z221" s="38"/>
    </x:row>
    <x:row r="222" ht="18" customHeight="1">
      <x:c r="A222" s="38"/>
      <x:c r="B222" s="38"/>
      <x:c r="C222" s="38"/>
      <x:c r="D222" s="38"/>
      <x:c r="E222" s="38"/>
      <x:c r="F222" s="38"/>
      <x:c r="G222" s="38"/>
      <x:c r="H222" s="38"/>
      <x:c r="I222" s="38"/>
      <x:c r="J222" s="38"/>
      <x:c r="K222" s="38"/>
      <x:c r="L222" s="38"/>
      <x:c r="M222" s="38"/>
      <x:c r="N222" s="38"/>
      <x:c r="O222" s="38"/>
      <x:c r="P222" s="38"/>
      <x:c r="Q222" s="38"/>
      <x:c r="R222" s="38"/>
      <x:c r="S222" s="38"/>
      <x:c r="T222" s="38"/>
      <x:c r="U222" s="38"/>
      <x:c r="V222" s="38"/>
      <x:c r="W222" s="38"/>
      <x:c r="X222" s="38"/>
      <x:c r="Y222" s="38"/>
      <x:c r="Z222" s="38"/>
    </x:row>
    <x:row r="223" ht="18" customHeight="1">
      <x:c r="A223" s="38"/>
      <x:c r="B223" s="38"/>
      <x:c r="C223" s="38"/>
      <x:c r="D223" s="38"/>
      <x:c r="E223" s="38"/>
      <x:c r="F223" s="38"/>
      <x:c r="G223" s="38"/>
      <x:c r="H223" s="38"/>
      <x:c r="I223" s="38"/>
      <x:c r="J223" s="38"/>
      <x:c r="K223" s="38"/>
      <x:c r="L223" s="38"/>
      <x:c r="M223" s="38"/>
      <x:c r="N223" s="38"/>
      <x:c r="O223" s="38"/>
      <x:c r="P223" s="38"/>
      <x:c r="Q223" s="38"/>
      <x:c r="R223" s="38"/>
      <x:c r="S223" s="38"/>
      <x:c r="T223" s="38"/>
      <x:c r="U223" s="38"/>
      <x:c r="V223" s="38"/>
      <x:c r="W223" s="38"/>
      <x:c r="X223" s="38"/>
      <x:c r="Y223" s="38"/>
      <x:c r="Z223" s="38"/>
    </x:row>
    <x:row r="224" ht="18" customHeight="1">
      <x:c r="A224" s="38"/>
      <x:c r="B224" s="38"/>
      <x:c r="C224" s="38"/>
      <x:c r="D224" s="38"/>
      <x:c r="E224" s="38"/>
      <x:c r="F224" s="38"/>
      <x:c r="G224" s="38"/>
      <x:c r="H224" s="38"/>
      <x:c r="I224" s="38"/>
      <x:c r="J224" s="38"/>
      <x:c r="K224" s="38"/>
      <x:c r="L224" s="38"/>
      <x:c r="M224" s="38"/>
      <x:c r="N224" s="38"/>
      <x:c r="O224" s="38"/>
      <x:c r="P224" s="38"/>
      <x:c r="Q224" s="38"/>
      <x:c r="R224" s="38"/>
      <x:c r="S224" s="38"/>
      <x:c r="T224" s="38"/>
      <x:c r="U224" s="38"/>
      <x:c r="V224" s="38"/>
      <x:c r="W224" s="38"/>
      <x:c r="X224" s="38"/>
      <x:c r="Y224" s="38"/>
      <x:c r="Z224" s="38"/>
    </x:row>
    <x:row r="225" ht="18" customHeight="1">
      <x:c r="A225" s="38"/>
      <x:c r="B225" s="38"/>
      <x:c r="C225" s="38"/>
      <x:c r="D225" s="38"/>
      <x:c r="E225" s="38"/>
      <x:c r="F225" s="38"/>
      <x:c r="G225" s="38"/>
      <x:c r="H225" s="38"/>
      <x:c r="I225" s="38"/>
      <x:c r="J225" s="38"/>
      <x:c r="K225" s="38"/>
      <x:c r="L225" s="38"/>
      <x:c r="M225" s="38"/>
      <x:c r="N225" s="38"/>
      <x:c r="O225" s="38"/>
      <x:c r="P225" s="38"/>
      <x:c r="Q225" s="38"/>
      <x:c r="R225" s="38"/>
      <x:c r="S225" s="38"/>
      <x:c r="T225" s="38"/>
      <x:c r="U225" s="38"/>
      <x:c r="V225" s="38"/>
      <x:c r="W225" s="38"/>
      <x:c r="X225" s="38"/>
      <x:c r="Y225" s="38"/>
      <x:c r="Z225" s="38"/>
    </x:row>
    <x:row r="226" ht="18" customHeight="1">
      <x:c r="A226" s="38"/>
      <x:c r="B226" s="38"/>
      <x:c r="C226" s="38"/>
      <x:c r="D226" s="38"/>
      <x:c r="E226" s="38"/>
      <x:c r="F226" s="38"/>
      <x:c r="G226" s="38"/>
      <x:c r="H226" s="38"/>
      <x:c r="I226" s="38"/>
      <x:c r="J226" s="38"/>
      <x:c r="K226" s="38"/>
      <x:c r="L226" s="38"/>
      <x:c r="M226" s="38"/>
      <x:c r="N226" s="38"/>
      <x:c r="O226" s="38"/>
      <x:c r="P226" s="38"/>
      <x:c r="Q226" s="38"/>
      <x:c r="R226" s="38"/>
      <x:c r="S226" s="38"/>
      <x:c r="T226" s="38"/>
      <x:c r="U226" s="38"/>
      <x:c r="V226" s="38"/>
      <x:c r="W226" s="38"/>
      <x:c r="X226" s="38"/>
      <x:c r="Y226" s="38"/>
      <x:c r="Z226" s="38"/>
    </x:row>
    <x:row r="227" ht="18" customHeight="1">
      <x:c r="A227" s="38"/>
      <x:c r="B227" s="38"/>
      <x:c r="C227" s="38"/>
      <x:c r="D227" s="38"/>
      <x:c r="E227" s="38"/>
      <x:c r="F227" s="38"/>
      <x:c r="G227" s="38"/>
      <x:c r="H227" s="38"/>
      <x:c r="I227" s="38"/>
      <x:c r="J227" s="38"/>
      <x:c r="K227" s="38"/>
      <x:c r="L227" s="38"/>
      <x:c r="M227" s="38"/>
      <x:c r="N227" s="38"/>
      <x:c r="O227" s="38"/>
      <x:c r="P227" s="38"/>
      <x:c r="Q227" s="38"/>
      <x:c r="R227" s="38"/>
      <x:c r="S227" s="38"/>
      <x:c r="T227" s="38"/>
      <x:c r="U227" s="38"/>
      <x:c r="V227" s="38"/>
      <x:c r="W227" s="38"/>
      <x:c r="X227" s="38"/>
      <x:c r="Y227" s="38"/>
      <x:c r="Z227" s="38"/>
    </x:row>
    <x:row r="228" ht="18" customHeight="1">
      <x:c r="A228" s="38"/>
      <x:c r="B228" s="38"/>
      <x:c r="C228" s="38"/>
      <x:c r="D228" s="38"/>
      <x:c r="E228" s="38"/>
      <x:c r="F228" s="38"/>
      <x:c r="G228" s="38"/>
      <x:c r="H228" s="38"/>
      <x:c r="I228" s="38"/>
      <x:c r="J228" s="38"/>
      <x:c r="K228" s="38"/>
      <x:c r="L228" s="38"/>
      <x:c r="M228" s="38"/>
      <x:c r="N228" s="38"/>
      <x:c r="O228" s="38"/>
      <x:c r="P228" s="38"/>
      <x:c r="Q228" s="38"/>
      <x:c r="R228" s="38"/>
      <x:c r="S228" s="38"/>
      <x:c r="T228" s="38"/>
      <x:c r="U228" s="38"/>
      <x:c r="V228" s="38"/>
      <x:c r="W228" s="38"/>
      <x:c r="X228" s="38"/>
      <x:c r="Y228" s="38"/>
      <x:c r="Z228" s="38"/>
    </x:row>
    <x:row r="229" ht="18" customHeight="1">
      <x:c r="A229" s="38"/>
      <x:c r="B229" s="38"/>
      <x:c r="C229" s="38"/>
      <x:c r="D229" s="38"/>
      <x:c r="E229" s="38"/>
      <x:c r="F229" s="38"/>
      <x:c r="G229" s="38"/>
      <x:c r="H229" s="38"/>
      <x:c r="I229" s="38"/>
      <x:c r="J229" s="38"/>
      <x:c r="K229" s="38"/>
      <x:c r="L229" s="38"/>
      <x:c r="M229" s="38"/>
      <x:c r="N229" s="38"/>
      <x:c r="O229" s="38"/>
      <x:c r="P229" s="38"/>
      <x:c r="Q229" s="38"/>
      <x:c r="R229" s="38"/>
      <x:c r="S229" s="38"/>
      <x:c r="T229" s="38"/>
      <x:c r="U229" s="38"/>
      <x:c r="V229" s="38"/>
      <x:c r="W229" s="38"/>
      <x:c r="X229" s="38"/>
      <x:c r="Y229" s="38"/>
      <x:c r="Z229" s="38"/>
    </x:row>
    <x:row r="230" ht="18" customHeight="1">
      <x:c r="A230" s="38"/>
      <x:c r="B230" s="38"/>
      <x:c r="C230" s="38"/>
      <x:c r="D230" s="38"/>
      <x:c r="E230" s="38"/>
      <x:c r="F230" s="38"/>
      <x:c r="G230" s="38"/>
      <x:c r="H230" s="38"/>
      <x:c r="I230" s="38"/>
      <x:c r="J230" s="38"/>
      <x:c r="K230" s="38"/>
      <x:c r="L230" s="38"/>
      <x:c r="M230" s="38"/>
      <x:c r="N230" s="38"/>
      <x:c r="O230" s="38"/>
      <x:c r="P230" s="38"/>
      <x:c r="Q230" s="38"/>
      <x:c r="R230" s="38"/>
      <x:c r="S230" s="38"/>
      <x:c r="T230" s="38"/>
      <x:c r="U230" s="38"/>
      <x:c r="V230" s="38"/>
      <x:c r="W230" s="38"/>
      <x:c r="X230" s="38"/>
      <x:c r="Y230" s="38"/>
      <x:c r="Z230" s="38"/>
    </x:row>
    <x:row r="231" ht="18" customHeight="1">
      <x:c r="A231" s="38"/>
      <x:c r="B231" s="38"/>
      <x:c r="C231" s="38"/>
      <x:c r="D231" s="38"/>
      <x:c r="E231" s="38"/>
      <x:c r="F231" s="38"/>
      <x:c r="G231" s="38"/>
      <x:c r="H231" s="38"/>
      <x:c r="I231" s="38"/>
      <x:c r="J231" s="38"/>
      <x:c r="K231" s="38"/>
      <x:c r="L231" s="38"/>
      <x:c r="M231" s="38"/>
      <x:c r="N231" s="38"/>
      <x:c r="O231" s="38"/>
      <x:c r="P231" s="38"/>
      <x:c r="Q231" s="38"/>
      <x:c r="R231" s="38"/>
      <x:c r="S231" s="38"/>
      <x:c r="T231" s="38"/>
      <x:c r="U231" s="38"/>
      <x:c r="V231" s="38"/>
      <x:c r="W231" s="38"/>
      <x:c r="X231" s="38"/>
      <x:c r="Y231" s="38"/>
      <x:c r="Z231" s="38"/>
    </x:row>
    <x:row r="232" ht="18" customHeight="1">
      <x:c r="A232" s="38"/>
      <x:c r="B232" s="38"/>
      <x:c r="C232" s="38"/>
      <x:c r="D232" s="38"/>
      <x:c r="E232" s="38"/>
      <x:c r="F232" s="38"/>
      <x:c r="G232" s="38"/>
      <x:c r="H232" s="38"/>
      <x:c r="I232" s="38"/>
      <x:c r="J232" s="38"/>
      <x:c r="K232" s="38"/>
      <x:c r="L232" s="38"/>
      <x:c r="M232" s="38"/>
      <x:c r="N232" s="38"/>
      <x:c r="O232" s="38"/>
      <x:c r="P232" s="38"/>
      <x:c r="Q232" s="38"/>
      <x:c r="R232" s="38"/>
      <x:c r="S232" s="38"/>
      <x:c r="T232" s="38"/>
      <x:c r="U232" s="38"/>
      <x:c r="V232" s="38"/>
      <x:c r="W232" s="38"/>
      <x:c r="X232" s="38"/>
      <x:c r="Y232" s="38"/>
      <x:c r="Z232" s="38"/>
    </x:row>
    <x:row r="233" ht="18" customHeight="1">
      <x:c r="A233" s="38"/>
      <x:c r="B233" s="38"/>
      <x:c r="C233" s="38"/>
      <x:c r="D233" s="38"/>
      <x:c r="E233" s="38"/>
      <x:c r="F233" s="38"/>
      <x:c r="G233" s="38"/>
      <x:c r="H233" s="38"/>
      <x:c r="I233" s="38"/>
      <x:c r="J233" s="38"/>
      <x:c r="K233" s="38"/>
      <x:c r="L233" s="38"/>
      <x:c r="M233" s="38"/>
      <x:c r="N233" s="38"/>
      <x:c r="O233" s="38"/>
      <x:c r="P233" s="38"/>
      <x:c r="Q233" s="38"/>
      <x:c r="R233" s="38"/>
      <x:c r="S233" s="38"/>
      <x:c r="T233" s="38"/>
      <x:c r="U233" s="38"/>
      <x:c r="V233" s="38"/>
      <x:c r="W233" s="38"/>
      <x:c r="X233" s="38"/>
      <x:c r="Y233" s="38"/>
      <x:c r="Z233" s="38"/>
    </x:row>
    <x:row r="234" ht="18" customHeight="1">
      <x:c r="A234" s="38"/>
      <x:c r="B234" s="38"/>
      <x:c r="C234" s="38"/>
      <x:c r="D234" s="38"/>
      <x:c r="E234" s="38"/>
      <x:c r="F234" s="38"/>
      <x:c r="G234" s="38"/>
      <x:c r="H234" s="38"/>
      <x:c r="I234" s="38"/>
      <x:c r="J234" s="38"/>
      <x:c r="K234" s="38"/>
      <x:c r="L234" s="38"/>
      <x:c r="M234" s="38"/>
      <x:c r="N234" s="38"/>
      <x:c r="O234" s="38"/>
      <x:c r="P234" s="38"/>
      <x:c r="Q234" s="38"/>
      <x:c r="R234" s="38"/>
      <x:c r="S234" s="38"/>
      <x:c r="T234" s="38"/>
      <x:c r="U234" s="38"/>
      <x:c r="V234" s="38"/>
      <x:c r="W234" s="38"/>
      <x:c r="X234" s="38"/>
      <x:c r="Y234" s="38"/>
      <x:c r="Z234" s="38"/>
    </x:row>
    <x:row r="235" ht="18" customHeight="1">
      <x:c r="A235" s="38"/>
      <x:c r="B235" s="38"/>
      <x:c r="C235" s="38"/>
      <x:c r="D235" s="38"/>
      <x:c r="E235" s="38"/>
      <x:c r="F235" s="38"/>
      <x:c r="G235" s="38"/>
      <x:c r="H235" s="38"/>
      <x:c r="I235" s="38"/>
      <x:c r="J235" s="38"/>
      <x:c r="K235" s="38"/>
      <x:c r="L235" s="38"/>
      <x:c r="M235" s="38"/>
      <x:c r="N235" s="38"/>
      <x:c r="O235" s="38"/>
      <x:c r="P235" s="38"/>
      <x:c r="Q235" s="38"/>
      <x:c r="R235" s="38"/>
      <x:c r="S235" s="38"/>
      <x:c r="T235" s="38"/>
      <x:c r="U235" s="38"/>
      <x:c r="V235" s="38"/>
      <x:c r="W235" s="38"/>
      <x:c r="X235" s="38"/>
      <x:c r="Y235" s="38"/>
      <x:c r="Z235" s="38"/>
    </x:row>
    <x:row r="236" ht="18" customHeight="1">
      <x:c r="A236" s="38"/>
      <x:c r="B236" s="38"/>
      <x:c r="C236" s="38"/>
      <x:c r="D236" s="38"/>
      <x:c r="E236" s="38"/>
      <x:c r="F236" s="38"/>
      <x:c r="G236" s="38"/>
      <x:c r="H236" s="38"/>
      <x:c r="I236" s="38"/>
      <x:c r="J236" s="38"/>
      <x:c r="K236" s="38"/>
      <x:c r="L236" s="38"/>
      <x:c r="M236" s="38"/>
      <x:c r="N236" s="38"/>
      <x:c r="O236" s="38"/>
      <x:c r="P236" s="38"/>
      <x:c r="Q236" s="38"/>
      <x:c r="R236" s="38"/>
      <x:c r="S236" s="38"/>
      <x:c r="T236" s="38"/>
      <x:c r="U236" s="38"/>
      <x:c r="V236" s="38"/>
      <x:c r="W236" s="38"/>
      <x:c r="X236" s="38"/>
      <x:c r="Y236" s="38"/>
      <x:c r="Z236" s="38"/>
    </x:row>
    <x:row r="237" ht="18" customHeight="1">
      <x:c r="A237" s="38"/>
      <x:c r="B237" s="38"/>
      <x:c r="C237" s="38"/>
      <x:c r="D237" s="38"/>
      <x:c r="E237" s="38"/>
      <x:c r="F237" s="38"/>
      <x:c r="G237" s="38"/>
      <x:c r="H237" s="38"/>
      <x:c r="I237" s="38"/>
      <x:c r="J237" s="38"/>
      <x:c r="K237" s="38"/>
      <x:c r="L237" s="38"/>
      <x:c r="M237" s="38"/>
      <x:c r="N237" s="38"/>
      <x:c r="O237" s="38"/>
      <x:c r="P237" s="38"/>
      <x:c r="Q237" s="38"/>
      <x:c r="R237" s="38"/>
      <x:c r="S237" s="38"/>
      <x:c r="T237" s="38"/>
      <x:c r="U237" s="38"/>
      <x:c r="V237" s="38"/>
      <x:c r="W237" s="38"/>
      <x:c r="X237" s="38"/>
      <x:c r="Y237" s="38"/>
      <x:c r="Z237" s="38"/>
    </x:row>
    <x:row r="238" ht="18" customHeight="1">
      <x:c r="A238" s="38"/>
      <x:c r="B238" s="38"/>
      <x:c r="C238" s="38"/>
      <x:c r="D238" s="38"/>
      <x:c r="E238" s="38"/>
      <x:c r="F238" s="38"/>
      <x:c r="G238" s="38"/>
      <x:c r="H238" s="38"/>
      <x:c r="I238" s="38"/>
      <x:c r="J238" s="38"/>
      <x:c r="K238" s="38"/>
      <x:c r="L238" s="38"/>
      <x:c r="M238" s="38"/>
      <x:c r="N238" s="38"/>
      <x:c r="O238" s="38"/>
      <x:c r="P238" s="38"/>
      <x:c r="Q238" s="38"/>
      <x:c r="R238" s="38"/>
      <x:c r="S238" s="38"/>
      <x:c r="T238" s="38"/>
      <x:c r="U238" s="38"/>
      <x:c r="V238" s="38"/>
      <x:c r="W238" s="38"/>
      <x:c r="X238" s="38"/>
      <x:c r="Y238" s="38"/>
      <x:c r="Z238" s="38"/>
    </x:row>
    <x:row r="239" ht="18" customHeight="1">
      <x:c r="A239" s="38"/>
      <x:c r="B239" s="38"/>
      <x:c r="C239" s="38"/>
      <x:c r="D239" s="38"/>
      <x:c r="E239" s="38"/>
      <x:c r="F239" s="38"/>
      <x:c r="G239" s="38"/>
      <x:c r="H239" s="38"/>
      <x:c r="I239" s="38"/>
      <x:c r="J239" s="38"/>
      <x:c r="K239" s="38"/>
      <x:c r="L239" s="38"/>
      <x:c r="M239" s="38"/>
      <x:c r="N239" s="38"/>
      <x:c r="O239" s="38"/>
      <x:c r="P239" s="38"/>
      <x:c r="Q239" s="38"/>
      <x:c r="R239" s="38"/>
      <x:c r="S239" s="38"/>
      <x:c r="T239" s="38"/>
      <x:c r="U239" s="38"/>
      <x:c r="V239" s="38"/>
      <x:c r="W239" s="38"/>
      <x:c r="X239" s="38"/>
      <x:c r="Y239" s="38"/>
      <x:c r="Z239" s="38"/>
    </x:row>
    <x:row r="240" ht="18" customHeight="1">
      <x:c r="A240" s="38"/>
      <x:c r="B240" s="38"/>
      <x:c r="C240" s="38"/>
      <x:c r="D240" s="38"/>
      <x:c r="E240" s="38"/>
      <x:c r="F240" s="38"/>
      <x:c r="G240" s="38"/>
      <x:c r="H240" s="38"/>
      <x:c r="I240" s="38"/>
      <x:c r="J240" s="38"/>
      <x:c r="K240" s="38"/>
      <x:c r="L240" s="38"/>
      <x:c r="M240" s="38"/>
      <x:c r="N240" s="38"/>
      <x:c r="O240" s="38"/>
      <x:c r="P240" s="38"/>
      <x:c r="Q240" s="38"/>
      <x:c r="R240" s="38"/>
      <x:c r="S240" s="38"/>
      <x:c r="T240" s="38"/>
      <x:c r="U240" s="38"/>
      <x:c r="V240" s="38"/>
      <x:c r="W240" s="38"/>
      <x:c r="X240" s="38"/>
      <x:c r="Y240" s="38"/>
      <x:c r="Z240" s="38"/>
    </x:row>
    <x:row r="241" ht="18" customHeight="1">
      <x:c r="A241" s="38"/>
      <x:c r="B241" s="38"/>
      <x:c r="C241" s="38"/>
      <x:c r="D241" s="38"/>
      <x:c r="E241" s="38"/>
      <x:c r="F241" s="38"/>
      <x:c r="G241" s="38"/>
      <x:c r="H241" s="38"/>
      <x:c r="I241" s="38"/>
      <x:c r="J241" s="38"/>
      <x:c r="K241" s="38"/>
      <x:c r="L241" s="38"/>
      <x:c r="M241" s="38"/>
      <x:c r="N241" s="38"/>
      <x:c r="O241" s="38"/>
      <x:c r="P241" s="38"/>
      <x:c r="Q241" s="38"/>
      <x:c r="R241" s="38"/>
      <x:c r="S241" s="38"/>
      <x:c r="T241" s="38"/>
      <x:c r="U241" s="38"/>
      <x:c r="V241" s="38"/>
      <x:c r="W241" s="38"/>
      <x:c r="X241" s="38"/>
      <x:c r="Y241" s="38"/>
      <x:c r="Z241" s="38"/>
    </x:row>
    <x:row r="242" ht="18" customHeight="1">
      <x:c r="A242" s="38"/>
      <x:c r="B242" s="38"/>
      <x:c r="C242" s="38"/>
      <x:c r="D242" s="38"/>
      <x:c r="E242" s="38"/>
      <x:c r="F242" s="38"/>
      <x:c r="G242" s="38"/>
      <x:c r="H242" s="38"/>
      <x:c r="I242" s="38"/>
      <x:c r="J242" s="38"/>
      <x:c r="K242" s="38"/>
      <x:c r="L242" s="38"/>
      <x:c r="M242" s="38"/>
      <x:c r="N242" s="38"/>
      <x:c r="O242" s="38"/>
      <x:c r="P242" s="38"/>
      <x:c r="Q242" s="38"/>
      <x:c r="R242" s="38"/>
      <x:c r="S242" s="38"/>
      <x:c r="T242" s="38"/>
      <x:c r="U242" s="38"/>
      <x:c r="V242" s="38"/>
      <x:c r="W242" s="38"/>
      <x:c r="X242" s="38"/>
      <x:c r="Y242" s="38"/>
      <x:c r="Z242" s="38"/>
    </x:row>
    <x:row r="243" ht="18" customHeight="1">
      <x:c r="A243" s="38"/>
      <x:c r="B243" s="38"/>
      <x:c r="C243" s="38"/>
      <x:c r="D243" s="38"/>
      <x:c r="E243" s="38"/>
      <x:c r="F243" s="38"/>
      <x:c r="G243" s="38"/>
      <x:c r="H243" s="38"/>
      <x:c r="I243" s="38"/>
      <x:c r="J243" s="38"/>
      <x:c r="K243" s="38"/>
      <x:c r="L243" s="38"/>
      <x:c r="M243" s="38"/>
      <x:c r="N243" s="38"/>
      <x:c r="O243" s="38"/>
      <x:c r="P243" s="38"/>
      <x:c r="Q243" s="38"/>
      <x:c r="R243" s="38"/>
      <x:c r="S243" s="38"/>
      <x:c r="T243" s="38"/>
      <x:c r="U243" s="38"/>
      <x:c r="V243" s="38"/>
      <x:c r="W243" s="38"/>
      <x:c r="X243" s="38"/>
      <x:c r="Y243" s="38"/>
      <x:c r="Z243" s="38"/>
    </x:row>
    <x:row r="244" ht="18" customHeight="1">
      <x:c r="A244" s="38"/>
      <x:c r="B244" s="38"/>
      <x:c r="C244" s="38"/>
      <x:c r="D244" s="38"/>
      <x:c r="E244" s="38"/>
      <x:c r="F244" s="38"/>
      <x:c r="G244" s="38"/>
      <x:c r="H244" s="38"/>
      <x:c r="I244" s="38"/>
      <x:c r="J244" s="38"/>
      <x:c r="K244" s="38"/>
      <x:c r="L244" s="38"/>
      <x:c r="M244" s="38"/>
      <x:c r="N244" s="38"/>
      <x:c r="O244" s="38"/>
      <x:c r="P244" s="38"/>
      <x:c r="Q244" s="38"/>
      <x:c r="R244" s="38"/>
      <x:c r="S244" s="38"/>
      <x:c r="T244" s="38"/>
      <x:c r="U244" s="38"/>
      <x:c r="V244" s="38"/>
      <x:c r="W244" s="38"/>
      <x:c r="X244" s="38"/>
      <x:c r="Y244" s="38"/>
      <x:c r="Z244" s="38"/>
    </x:row>
    <x:row r="245" ht="18" customHeight="1">
      <x:c r="A245" s="38"/>
      <x:c r="B245" s="38"/>
      <x:c r="C245" s="38"/>
      <x:c r="D245" s="38"/>
      <x:c r="E245" s="38"/>
      <x:c r="F245" s="38"/>
      <x:c r="G245" s="38"/>
      <x:c r="H245" s="38"/>
      <x:c r="I245" s="38"/>
      <x:c r="J245" s="38"/>
      <x:c r="K245" s="38"/>
      <x:c r="L245" s="38"/>
      <x:c r="M245" s="38"/>
      <x:c r="N245" s="38"/>
      <x:c r="O245" s="38"/>
      <x:c r="P245" s="38"/>
      <x:c r="Q245" s="38"/>
      <x:c r="R245" s="38"/>
      <x:c r="S245" s="38"/>
      <x:c r="T245" s="38"/>
      <x:c r="U245" s="38"/>
      <x:c r="V245" s="38"/>
      <x:c r="W245" s="38"/>
      <x:c r="X245" s="38"/>
      <x:c r="Y245" s="38"/>
      <x:c r="Z245" s="38"/>
    </x:row>
    <x:row r="246" ht="18" customHeight="1">
      <x:c r="A246" s="38"/>
      <x:c r="B246" s="38"/>
      <x:c r="C246" s="38"/>
      <x:c r="D246" s="38"/>
      <x:c r="E246" s="38"/>
      <x:c r="F246" s="38"/>
      <x:c r="G246" s="38"/>
      <x:c r="H246" s="38"/>
      <x:c r="I246" s="38"/>
      <x:c r="J246" s="38"/>
      <x:c r="K246" s="38"/>
      <x:c r="L246" s="38"/>
      <x:c r="M246" s="38"/>
      <x:c r="N246" s="38"/>
      <x:c r="O246" s="38"/>
      <x:c r="P246" s="38"/>
      <x:c r="Q246" s="38"/>
      <x:c r="R246" s="38"/>
      <x:c r="S246" s="38"/>
      <x:c r="T246" s="38"/>
      <x:c r="U246" s="38"/>
      <x:c r="V246" s="38"/>
      <x:c r="W246" s="38"/>
      <x:c r="X246" s="38"/>
      <x:c r="Y246" s="38"/>
      <x:c r="Z246" s="38"/>
    </x:row>
    <x:row r="247" ht="18" customHeight="1">
      <x:c r="A247" s="38"/>
      <x:c r="B247" s="38"/>
      <x:c r="C247" s="38"/>
      <x:c r="D247" s="38"/>
      <x:c r="E247" s="38"/>
      <x:c r="F247" s="38"/>
      <x:c r="G247" s="38"/>
      <x:c r="H247" s="38"/>
      <x:c r="I247" s="38"/>
      <x:c r="J247" s="38"/>
      <x:c r="K247" s="38"/>
      <x:c r="L247" s="38"/>
      <x:c r="M247" s="38"/>
      <x:c r="N247" s="38"/>
      <x:c r="O247" s="38"/>
      <x:c r="P247" s="38"/>
      <x:c r="Q247" s="38"/>
      <x:c r="R247" s="38"/>
      <x:c r="S247" s="38"/>
      <x:c r="T247" s="38"/>
      <x:c r="U247" s="38"/>
      <x:c r="V247" s="38"/>
      <x:c r="W247" s="38"/>
      <x:c r="X247" s="38"/>
      <x:c r="Y247" s="38"/>
      <x:c r="Z247" s="38"/>
    </x:row>
    <x:row r="248" ht="18" customHeight="1">
      <x:c r="A248" s="38"/>
      <x:c r="B248" s="38"/>
      <x:c r="C248" s="38"/>
      <x:c r="D248" s="38"/>
      <x:c r="E248" s="38"/>
      <x:c r="F248" s="38"/>
      <x:c r="G248" s="38"/>
      <x:c r="H248" s="38"/>
      <x:c r="I248" s="38"/>
      <x:c r="J248" s="38"/>
      <x:c r="K248" s="38"/>
      <x:c r="L248" s="38"/>
      <x:c r="M248" s="38"/>
      <x:c r="N248" s="38"/>
      <x:c r="O248" s="38"/>
      <x:c r="P248" s="38"/>
      <x:c r="Q248" s="38"/>
      <x:c r="R248" s="38"/>
      <x:c r="S248" s="38"/>
      <x:c r="T248" s="38"/>
      <x:c r="U248" s="38"/>
      <x:c r="V248" s="38"/>
      <x:c r="W248" s="38"/>
      <x:c r="X248" s="38"/>
      <x:c r="Y248" s="38"/>
      <x:c r="Z248" s="38"/>
    </x:row>
    <x:row r="249" ht="18" customHeight="1">
      <x:c r="A249" s="38"/>
      <x:c r="B249" s="38"/>
      <x:c r="C249" s="38"/>
      <x:c r="D249" s="38"/>
      <x:c r="E249" s="38"/>
      <x:c r="F249" s="38"/>
      <x:c r="G249" s="38"/>
      <x:c r="H249" s="38"/>
      <x:c r="I249" s="38"/>
      <x:c r="J249" s="38"/>
      <x:c r="K249" s="38"/>
      <x:c r="L249" s="38"/>
      <x:c r="M249" s="38"/>
      <x:c r="N249" s="38"/>
      <x:c r="O249" s="38"/>
      <x:c r="P249" s="38"/>
      <x:c r="Q249" s="38"/>
      <x:c r="R249" s="38"/>
      <x:c r="S249" s="38"/>
      <x:c r="T249" s="38"/>
      <x:c r="U249" s="38"/>
      <x:c r="V249" s="38"/>
      <x:c r="W249" s="38"/>
      <x:c r="X249" s="38"/>
      <x:c r="Y249" s="38"/>
      <x:c r="Z249" s="38"/>
    </x:row>
    <x:row r="250" ht="18" customHeight="1">
      <x:c r="A250" s="38"/>
      <x:c r="B250" s="38"/>
      <x:c r="C250" s="38"/>
      <x:c r="D250" s="38"/>
      <x:c r="E250" s="38"/>
      <x:c r="F250" s="38"/>
      <x:c r="G250" s="38"/>
      <x:c r="H250" s="38"/>
      <x:c r="I250" s="38"/>
      <x:c r="J250" s="38"/>
      <x:c r="K250" s="38"/>
      <x:c r="L250" s="38"/>
      <x:c r="M250" s="38"/>
      <x:c r="N250" s="38"/>
      <x:c r="O250" s="38"/>
      <x:c r="P250" s="38"/>
      <x:c r="Q250" s="38"/>
      <x:c r="R250" s="38"/>
      <x:c r="S250" s="38"/>
      <x:c r="T250" s="38"/>
      <x:c r="U250" s="38"/>
      <x:c r="V250" s="38"/>
      <x:c r="W250" s="38"/>
      <x:c r="X250" s="38"/>
      <x:c r="Y250" s="38"/>
      <x:c r="Z250" s="38"/>
    </x:row>
    <x:row r="251" ht="18" customHeight="1">
      <x:c r="A251" s="38"/>
      <x:c r="B251" s="38"/>
      <x:c r="C251" s="38"/>
      <x:c r="D251" s="38"/>
      <x:c r="E251" s="38"/>
      <x:c r="F251" s="38"/>
      <x:c r="G251" s="38"/>
      <x:c r="H251" s="38"/>
      <x:c r="I251" s="38"/>
      <x:c r="J251" s="38"/>
      <x:c r="K251" s="38"/>
      <x:c r="L251" s="38"/>
      <x:c r="M251" s="38"/>
      <x:c r="N251" s="38"/>
      <x:c r="O251" s="38"/>
      <x:c r="P251" s="38"/>
      <x:c r="Q251" s="38"/>
      <x:c r="R251" s="38"/>
      <x:c r="S251" s="38"/>
      <x:c r="T251" s="38"/>
      <x:c r="U251" s="38"/>
      <x:c r="V251" s="38"/>
      <x:c r="W251" s="38"/>
      <x:c r="X251" s="38"/>
      <x:c r="Y251" s="38"/>
      <x:c r="Z251" s="38"/>
    </x:row>
    <x:row r="252" ht="18" customHeight="1">
      <x:c r="A252" s="38"/>
      <x:c r="B252" s="38"/>
      <x:c r="C252" s="38"/>
      <x:c r="D252" s="38"/>
      <x:c r="E252" s="38"/>
      <x:c r="F252" s="38"/>
      <x:c r="G252" s="38"/>
      <x:c r="H252" s="38"/>
      <x:c r="I252" s="38"/>
      <x:c r="J252" s="38"/>
      <x:c r="K252" s="38"/>
      <x:c r="L252" s="38"/>
      <x:c r="M252" s="38"/>
      <x:c r="N252" s="38"/>
      <x:c r="O252" s="38"/>
      <x:c r="P252" s="38"/>
      <x:c r="Q252" s="38"/>
      <x:c r="R252" s="38"/>
      <x:c r="S252" s="38"/>
      <x:c r="T252" s="38"/>
      <x:c r="U252" s="38"/>
      <x:c r="V252" s="38"/>
      <x:c r="W252" s="38"/>
      <x:c r="X252" s="38"/>
      <x:c r="Y252" s="38"/>
      <x:c r="Z252" s="38"/>
    </x:row>
    <x:row r="253" ht="18" customHeight="1">
      <x:c r="A253" s="38"/>
      <x:c r="B253" s="38"/>
      <x:c r="C253" s="38"/>
      <x:c r="D253" s="38"/>
      <x:c r="E253" s="38"/>
      <x:c r="F253" s="38"/>
      <x:c r="G253" s="38"/>
      <x:c r="H253" s="38"/>
      <x:c r="I253" s="38"/>
      <x:c r="J253" s="38"/>
      <x:c r="K253" s="38"/>
      <x:c r="L253" s="38"/>
      <x:c r="M253" s="38"/>
      <x:c r="N253" s="38"/>
      <x:c r="O253" s="38"/>
      <x:c r="P253" s="38"/>
      <x:c r="Q253" s="38"/>
      <x:c r="R253" s="38"/>
      <x:c r="S253" s="38"/>
      <x:c r="T253" s="38"/>
      <x:c r="U253" s="38"/>
      <x:c r="V253" s="38"/>
      <x:c r="W253" s="38"/>
      <x:c r="X253" s="38"/>
      <x:c r="Y253" s="38"/>
      <x:c r="Z253" s="38"/>
    </x:row>
    <x:row r="254" ht="18" customHeight="1">
      <x:c r="A254" s="38"/>
      <x:c r="B254" s="38"/>
      <x:c r="C254" s="38"/>
      <x:c r="D254" s="38"/>
      <x:c r="E254" s="38"/>
      <x:c r="F254" s="38"/>
      <x:c r="G254" s="38"/>
      <x:c r="H254" s="38"/>
      <x:c r="I254" s="38"/>
      <x:c r="J254" s="38"/>
      <x:c r="K254" s="38"/>
      <x:c r="L254" s="38"/>
      <x:c r="M254" s="38"/>
      <x:c r="N254" s="38"/>
      <x:c r="O254" s="38"/>
      <x:c r="P254" s="38"/>
      <x:c r="Q254" s="38"/>
      <x:c r="R254" s="38"/>
      <x:c r="S254" s="38"/>
      <x:c r="T254" s="38"/>
      <x:c r="U254" s="38"/>
      <x:c r="V254" s="38"/>
      <x:c r="W254" s="38"/>
      <x:c r="X254" s="38"/>
      <x:c r="Y254" s="38"/>
      <x:c r="Z254" s="38"/>
    </x:row>
    <x:row r="255" ht="18" customHeight="1">
      <x:c r="A255" s="38"/>
      <x:c r="B255" s="38"/>
      <x:c r="C255" s="38"/>
      <x:c r="D255" s="38"/>
      <x:c r="E255" s="38"/>
      <x:c r="F255" s="38"/>
      <x:c r="G255" s="38"/>
      <x:c r="H255" s="38"/>
      <x:c r="I255" s="38"/>
      <x:c r="J255" s="38"/>
      <x:c r="K255" s="38"/>
      <x:c r="L255" s="38"/>
      <x:c r="M255" s="38"/>
      <x:c r="N255" s="38"/>
      <x:c r="O255" s="38"/>
      <x:c r="P255" s="38"/>
      <x:c r="Q255" s="38"/>
      <x:c r="R255" s="38"/>
      <x:c r="S255" s="38"/>
      <x:c r="T255" s="38"/>
      <x:c r="U255" s="38"/>
      <x:c r="V255" s="38"/>
      <x:c r="W255" s="38"/>
      <x:c r="X255" s="38"/>
      <x:c r="Y255" s="38"/>
      <x:c r="Z255" s="38"/>
    </x:row>
    <x:row r="256" ht="18" customHeight="1">
      <x:c r="A256" s="38"/>
      <x:c r="B256" s="38"/>
      <x:c r="C256" s="38"/>
      <x:c r="D256" s="38"/>
      <x:c r="E256" s="38"/>
      <x:c r="F256" s="38"/>
      <x:c r="G256" s="38"/>
      <x:c r="H256" s="38"/>
      <x:c r="I256" s="38"/>
      <x:c r="J256" s="38"/>
      <x:c r="K256" s="38"/>
      <x:c r="L256" s="38"/>
      <x:c r="M256" s="38"/>
      <x:c r="N256" s="38"/>
      <x:c r="O256" s="38"/>
      <x:c r="P256" s="38"/>
      <x:c r="Q256" s="38"/>
      <x:c r="R256" s="38"/>
      <x:c r="S256" s="38"/>
      <x:c r="T256" s="38"/>
      <x:c r="U256" s="38"/>
      <x:c r="V256" s="38"/>
      <x:c r="W256" s="38"/>
      <x:c r="X256" s="38"/>
      <x:c r="Y256" s="38"/>
      <x:c r="Z256" s="38"/>
    </x:row>
    <x:row r="257" ht="18" customHeight="1">
      <x:c r="A257" s="38"/>
      <x:c r="B257" s="38"/>
      <x:c r="C257" s="38"/>
      <x:c r="D257" s="38"/>
      <x:c r="E257" s="38"/>
      <x:c r="F257" s="38"/>
      <x:c r="G257" s="38"/>
      <x:c r="H257" s="38"/>
      <x:c r="I257" s="38"/>
      <x:c r="J257" s="38"/>
      <x:c r="K257" s="38"/>
      <x:c r="L257" s="38"/>
      <x:c r="M257" s="38"/>
      <x:c r="N257" s="38"/>
      <x:c r="O257" s="38"/>
      <x:c r="P257" s="38"/>
      <x:c r="Q257" s="38"/>
      <x:c r="R257" s="38"/>
      <x:c r="S257" s="38"/>
      <x:c r="T257" s="38"/>
      <x:c r="U257" s="38"/>
      <x:c r="V257" s="38"/>
      <x:c r="W257" s="38"/>
      <x:c r="X257" s="38"/>
      <x:c r="Y257" s="38"/>
      <x:c r="Z257" s="38"/>
    </x:row>
    <x:row r="258" ht="18" customHeight="1">
      <x:c r="A258" s="38"/>
      <x:c r="B258" s="38"/>
      <x:c r="C258" s="38"/>
      <x:c r="D258" s="38"/>
      <x:c r="E258" s="38"/>
      <x:c r="F258" s="38"/>
      <x:c r="G258" s="38"/>
      <x:c r="H258" s="38"/>
      <x:c r="I258" s="38"/>
      <x:c r="J258" s="38"/>
      <x:c r="K258" s="38"/>
      <x:c r="L258" s="38"/>
      <x:c r="M258" s="38"/>
      <x:c r="N258" s="38"/>
      <x:c r="O258" s="38"/>
      <x:c r="P258" s="38"/>
      <x:c r="Q258" s="38"/>
      <x:c r="R258" s="38"/>
      <x:c r="S258" s="38"/>
      <x:c r="T258" s="38"/>
      <x:c r="U258" s="38"/>
      <x:c r="V258" s="38"/>
      <x:c r="W258" s="38"/>
      <x:c r="X258" s="38"/>
      <x:c r="Y258" s="38"/>
      <x:c r="Z258" s="38"/>
    </x:row>
    <x:row r="259" ht="18" customHeight="1">
      <x:c r="A259" s="38"/>
      <x:c r="B259" s="38"/>
      <x:c r="C259" s="38"/>
      <x:c r="D259" s="38"/>
      <x:c r="E259" s="38"/>
      <x:c r="F259" s="38"/>
      <x:c r="G259" s="38"/>
      <x:c r="H259" s="38"/>
      <x:c r="I259" s="38"/>
      <x:c r="J259" s="38"/>
      <x:c r="K259" s="38"/>
      <x:c r="L259" s="38"/>
      <x:c r="M259" s="38"/>
      <x:c r="N259" s="38"/>
      <x:c r="O259" s="38"/>
      <x:c r="P259" s="38"/>
      <x:c r="Q259" s="38"/>
      <x:c r="R259" s="38"/>
      <x:c r="S259" s="38"/>
      <x:c r="T259" s="38"/>
      <x:c r="U259" s="38"/>
      <x:c r="V259" s="38"/>
      <x:c r="W259" s="38"/>
      <x:c r="X259" s="38"/>
      <x:c r="Y259" s="38"/>
      <x:c r="Z259" s="38"/>
    </x:row>
    <x:row r="260" ht="18" customHeight="1">
      <x:c r="A260" s="38"/>
      <x:c r="B260" s="38"/>
      <x:c r="C260" s="38"/>
      <x:c r="D260" s="38"/>
      <x:c r="E260" s="38"/>
      <x:c r="F260" s="38"/>
      <x:c r="G260" s="38"/>
      <x:c r="H260" s="38"/>
      <x:c r="I260" s="38"/>
      <x:c r="J260" s="38"/>
      <x:c r="K260" s="38"/>
      <x:c r="L260" s="38"/>
      <x:c r="M260" s="38"/>
      <x:c r="N260" s="38"/>
      <x:c r="O260" s="38"/>
      <x:c r="P260" s="38"/>
      <x:c r="Q260" s="38"/>
      <x:c r="R260" s="38"/>
      <x:c r="S260" s="38"/>
      <x:c r="T260" s="38"/>
      <x:c r="U260" s="38"/>
      <x:c r="V260" s="38"/>
      <x:c r="W260" s="38"/>
      <x:c r="X260" s="38"/>
      <x:c r="Y260" s="38"/>
      <x:c r="Z260" s="38"/>
    </x:row>
    <x:row r="261" ht="18" customHeight="1">
      <x:c r="A261" s="38"/>
      <x:c r="B261" s="38"/>
      <x:c r="C261" s="38"/>
      <x:c r="D261" s="38"/>
      <x:c r="E261" s="38"/>
      <x:c r="F261" s="38"/>
      <x:c r="G261" s="38"/>
      <x:c r="H261" s="38"/>
      <x:c r="I261" s="38"/>
      <x:c r="J261" s="38"/>
      <x:c r="K261" s="38"/>
      <x:c r="L261" s="38"/>
      <x:c r="M261" s="38"/>
      <x:c r="N261" s="38"/>
      <x:c r="O261" s="38"/>
      <x:c r="P261" s="38"/>
      <x:c r="Q261" s="38"/>
      <x:c r="R261" s="38"/>
      <x:c r="S261" s="38"/>
      <x:c r="T261" s="38"/>
      <x:c r="U261" s="38"/>
      <x:c r="V261" s="38"/>
      <x:c r="W261" s="38"/>
      <x:c r="X261" s="38"/>
      <x:c r="Y261" s="38"/>
      <x:c r="Z261" s="38"/>
    </x:row>
    <x:row r="262" ht="18" customHeight="1">
      <x:c r="A262" s="38"/>
      <x:c r="B262" s="38"/>
      <x:c r="C262" s="38"/>
      <x:c r="D262" s="38"/>
      <x:c r="E262" s="38"/>
      <x:c r="F262" s="38"/>
      <x:c r="G262" s="38"/>
      <x:c r="H262" s="38"/>
      <x:c r="I262" s="38"/>
      <x:c r="J262" s="38"/>
      <x:c r="K262" s="38"/>
      <x:c r="L262" s="38"/>
      <x:c r="M262" s="38"/>
      <x:c r="N262" s="38"/>
      <x:c r="O262" s="38"/>
      <x:c r="P262" s="38"/>
      <x:c r="Q262" s="38"/>
      <x:c r="R262" s="38"/>
      <x:c r="S262" s="38"/>
      <x:c r="T262" s="38"/>
      <x:c r="U262" s="38"/>
      <x:c r="V262" s="38"/>
      <x:c r="W262" s="38"/>
      <x:c r="X262" s="38"/>
      <x:c r="Y262" s="38"/>
      <x:c r="Z262" s="38"/>
    </x:row>
    <x:row r="263" ht="18" customHeight="1">
      <x:c r="A263" s="38"/>
      <x:c r="B263" s="38"/>
      <x:c r="C263" s="38"/>
      <x:c r="D263" s="38"/>
      <x:c r="E263" s="38"/>
      <x:c r="F263" s="38"/>
      <x:c r="G263" s="38"/>
      <x:c r="H263" s="38"/>
      <x:c r="I263" s="38"/>
      <x:c r="J263" s="38"/>
      <x:c r="K263" s="38"/>
      <x:c r="L263" s="38"/>
      <x:c r="M263" s="38"/>
      <x:c r="N263" s="38"/>
      <x:c r="O263" s="38"/>
      <x:c r="P263" s="38"/>
      <x:c r="Q263" s="38"/>
      <x:c r="R263" s="38"/>
      <x:c r="S263" s="38"/>
      <x:c r="T263" s="38"/>
      <x:c r="U263" s="38"/>
      <x:c r="V263" s="38"/>
      <x:c r="W263" s="38"/>
      <x:c r="X263" s="38"/>
      <x:c r="Y263" s="38"/>
      <x:c r="Z263" s="38"/>
    </x:row>
    <x:row r="264" ht="18" customHeight="1">
      <x:c r="A264" s="38"/>
      <x:c r="B264" s="38"/>
      <x:c r="C264" s="38"/>
      <x:c r="D264" s="38"/>
      <x:c r="E264" s="38"/>
      <x:c r="F264" s="38"/>
      <x:c r="G264" s="38"/>
      <x:c r="H264" s="38"/>
      <x:c r="I264" s="38"/>
      <x:c r="J264" s="38"/>
      <x:c r="K264" s="38"/>
      <x:c r="L264" s="38"/>
      <x:c r="M264" s="38"/>
      <x:c r="N264" s="38"/>
      <x:c r="O264" s="38"/>
      <x:c r="P264" s="38"/>
      <x:c r="Q264" s="38"/>
      <x:c r="R264" s="38"/>
      <x:c r="S264" s="38"/>
      <x:c r="T264" s="38"/>
      <x:c r="U264" s="38"/>
      <x:c r="V264" s="38"/>
      <x:c r="W264" s="38"/>
      <x:c r="X264" s="38"/>
      <x:c r="Y264" s="38"/>
      <x:c r="Z264" s="38"/>
    </x:row>
    <x:row r="265" ht="18" customHeight="1">
      <x:c r="A265" s="38"/>
      <x:c r="B265" s="38"/>
      <x:c r="C265" s="38"/>
      <x:c r="D265" s="38"/>
      <x:c r="E265" s="38"/>
      <x:c r="F265" s="38"/>
      <x:c r="G265" s="38"/>
      <x:c r="H265" s="38"/>
      <x:c r="I265" s="38"/>
      <x:c r="J265" s="38"/>
      <x:c r="K265" s="38"/>
      <x:c r="L265" s="38"/>
      <x:c r="M265" s="38"/>
      <x:c r="N265" s="38"/>
      <x:c r="O265" s="38"/>
      <x:c r="P265" s="38"/>
      <x:c r="Q265" s="38"/>
      <x:c r="R265" s="38"/>
      <x:c r="S265" s="38"/>
      <x:c r="T265" s="38"/>
      <x:c r="U265" s="38"/>
      <x:c r="V265" s="38"/>
      <x:c r="W265" s="38"/>
      <x:c r="X265" s="38"/>
      <x:c r="Y265" s="38"/>
      <x:c r="Z265" s="38"/>
    </x:row>
    <x:row r="266" ht="18" customHeight="1">
      <x:c r="A266" s="38"/>
      <x:c r="B266" s="38"/>
      <x:c r="C266" s="38"/>
      <x:c r="D266" s="38"/>
      <x:c r="E266" s="38"/>
      <x:c r="F266" s="38"/>
      <x:c r="G266" s="38"/>
      <x:c r="H266" s="38"/>
      <x:c r="I266" s="38"/>
      <x:c r="J266" s="38"/>
      <x:c r="K266" s="38"/>
      <x:c r="L266" s="38"/>
      <x:c r="M266" s="38"/>
      <x:c r="N266" s="38"/>
      <x:c r="O266" s="38"/>
      <x:c r="P266" s="38"/>
      <x:c r="Q266" s="38"/>
      <x:c r="R266" s="38"/>
      <x:c r="S266" s="38"/>
      <x:c r="T266" s="38"/>
      <x:c r="U266" s="38"/>
      <x:c r="V266" s="38"/>
      <x:c r="W266" s="38"/>
      <x:c r="X266" s="38"/>
      <x:c r="Y266" s="38"/>
      <x:c r="Z266" s="38"/>
    </x:row>
    <x:row r="267" ht="18" customHeight="1">
      <x:c r="A267" s="38"/>
      <x:c r="B267" s="38"/>
      <x:c r="C267" s="38"/>
      <x:c r="D267" s="38"/>
      <x:c r="E267" s="38"/>
      <x:c r="F267" s="38"/>
      <x:c r="G267" s="38"/>
      <x:c r="H267" s="38"/>
      <x:c r="I267" s="38"/>
      <x:c r="J267" s="38"/>
      <x:c r="K267" s="38"/>
      <x:c r="L267" s="38"/>
      <x:c r="M267" s="38"/>
      <x:c r="N267" s="38"/>
      <x:c r="O267" s="38"/>
      <x:c r="P267" s="38"/>
      <x:c r="Q267" s="38"/>
      <x:c r="R267" s="38"/>
      <x:c r="S267" s="38"/>
      <x:c r="T267" s="38"/>
      <x:c r="U267" s="38"/>
      <x:c r="V267" s="38"/>
      <x:c r="W267" s="38"/>
      <x:c r="X267" s="38"/>
      <x:c r="Y267" s="38"/>
      <x:c r="Z267" s="38"/>
    </x:row>
    <x:row r="268" ht="18" customHeight="1">
      <x:c r="A268" s="38"/>
      <x:c r="B268" s="38"/>
      <x:c r="C268" s="38"/>
      <x:c r="D268" s="38"/>
      <x:c r="E268" s="38"/>
      <x:c r="F268" s="38"/>
      <x:c r="G268" s="38"/>
      <x:c r="H268" s="38"/>
      <x:c r="I268" s="38"/>
      <x:c r="J268" s="38"/>
      <x:c r="K268" s="38"/>
      <x:c r="L268" s="38"/>
      <x:c r="M268" s="38"/>
      <x:c r="N268" s="38"/>
      <x:c r="O268" s="38"/>
      <x:c r="P268" s="38"/>
      <x:c r="Q268" s="38"/>
      <x:c r="R268" s="38"/>
      <x:c r="S268" s="38"/>
      <x:c r="T268" s="38"/>
      <x:c r="U268" s="38"/>
      <x:c r="V268" s="38"/>
      <x:c r="W268" s="38"/>
      <x:c r="X268" s="38"/>
      <x:c r="Y268" s="38"/>
      <x:c r="Z268" s="38"/>
    </x:row>
    <x:row r="269" ht="18" customHeight="1">
      <x:c r="A269" s="38"/>
      <x:c r="B269" s="38"/>
      <x:c r="C269" s="38"/>
      <x:c r="D269" s="38"/>
      <x:c r="E269" s="38"/>
      <x:c r="F269" s="38"/>
      <x:c r="G269" s="38"/>
      <x:c r="H269" s="38"/>
      <x:c r="I269" s="38"/>
      <x:c r="J269" s="38"/>
      <x:c r="K269" s="38"/>
      <x:c r="L269" s="38"/>
      <x:c r="M269" s="38"/>
      <x:c r="N269" s="38"/>
      <x:c r="O269" s="38"/>
      <x:c r="P269" s="38"/>
      <x:c r="Q269" s="38"/>
      <x:c r="R269" s="38"/>
      <x:c r="S269" s="38"/>
      <x:c r="T269" s="38"/>
      <x:c r="U269" s="38"/>
      <x:c r="V269" s="38"/>
      <x:c r="W269" s="38"/>
      <x:c r="X269" s="38"/>
      <x:c r="Y269" s="38"/>
      <x:c r="Z269" s="38"/>
    </x:row>
    <x:row r="270" ht="18" customHeight="1">
      <x:c r="A270" s="38"/>
      <x:c r="B270" s="38"/>
      <x:c r="C270" s="38"/>
      <x:c r="D270" s="38"/>
      <x:c r="E270" s="38"/>
      <x:c r="F270" s="38"/>
      <x:c r="G270" s="38"/>
      <x:c r="H270" s="38"/>
      <x:c r="I270" s="38"/>
      <x:c r="J270" s="38"/>
      <x:c r="K270" s="38"/>
      <x:c r="L270" s="38"/>
      <x:c r="M270" s="38"/>
      <x:c r="N270" s="38"/>
      <x:c r="O270" s="38"/>
      <x:c r="P270" s="38"/>
      <x:c r="Q270" s="38"/>
      <x:c r="R270" s="38"/>
      <x:c r="S270" s="38"/>
      <x:c r="T270" s="38"/>
      <x:c r="U270" s="38"/>
      <x:c r="V270" s="38"/>
      <x:c r="W270" s="38"/>
      <x:c r="X270" s="38"/>
      <x:c r="Y270" s="38"/>
      <x:c r="Z270" s="38"/>
    </x:row>
    <x:row r="271" ht="18" customHeight="1">
      <x:c r="A271" s="38"/>
      <x:c r="B271" s="38"/>
      <x:c r="C271" s="38"/>
      <x:c r="D271" s="38"/>
      <x:c r="E271" s="38"/>
      <x:c r="F271" s="38"/>
      <x:c r="G271" s="38"/>
      <x:c r="H271" s="38"/>
      <x:c r="I271" s="38"/>
      <x:c r="J271" s="38"/>
      <x:c r="K271" s="38"/>
      <x:c r="L271" s="38"/>
      <x:c r="M271" s="38"/>
      <x:c r="N271" s="38"/>
      <x:c r="O271" s="38"/>
      <x:c r="P271" s="38"/>
      <x:c r="Q271" s="38"/>
      <x:c r="R271" s="38"/>
      <x:c r="S271" s="38"/>
      <x:c r="T271" s="38"/>
      <x:c r="U271" s="38"/>
      <x:c r="V271" s="38"/>
      <x:c r="W271" s="38"/>
      <x:c r="X271" s="38"/>
      <x:c r="Y271" s="38"/>
      <x:c r="Z271" s="38"/>
    </x:row>
    <x:row r="272" ht="18" customHeight="1">
      <x:c r="A272" s="38"/>
      <x:c r="B272" s="38"/>
      <x:c r="C272" s="38"/>
      <x:c r="D272" s="38"/>
      <x:c r="E272" s="38"/>
      <x:c r="F272" s="38"/>
      <x:c r="G272" s="38"/>
      <x:c r="H272" s="38"/>
      <x:c r="I272" s="38"/>
      <x:c r="J272" s="38"/>
      <x:c r="K272" s="38"/>
      <x:c r="L272" s="38"/>
      <x:c r="M272" s="38"/>
      <x:c r="N272" s="38"/>
      <x:c r="O272" s="38"/>
      <x:c r="P272" s="38"/>
      <x:c r="Q272" s="38"/>
      <x:c r="R272" s="38"/>
      <x:c r="S272" s="38"/>
      <x:c r="T272" s="38"/>
      <x:c r="U272" s="38"/>
      <x:c r="V272" s="38"/>
      <x:c r="W272" s="38"/>
      <x:c r="X272" s="38"/>
      <x:c r="Y272" s="38"/>
      <x:c r="Z272" s="38"/>
    </x:row>
    <x:row r="273" ht="18" customHeight="1">
      <x:c r="A273" s="38"/>
      <x:c r="B273" s="38"/>
      <x:c r="C273" s="38"/>
      <x:c r="D273" s="38"/>
      <x:c r="E273" s="38"/>
      <x:c r="F273" s="38"/>
      <x:c r="G273" s="38"/>
      <x:c r="H273" s="38"/>
      <x:c r="I273" s="38"/>
      <x:c r="J273" s="38"/>
      <x:c r="K273" s="38"/>
      <x:c r="L273" s="38"/>
      <x:c r="M273" s="38"/>
      <x:c r="N273" s="38"/>
      <x:c r="O273" s="38"/>
      <x:c r="P273" s="38"/>
      <x:c r="Q273" s="38"/>
      <x:c r="R273" s="38"/>
      <x:c r="S273" s="38"/>
      <x:c r="T273" s="38"/>
      <x:c r="U273" s="38"/>
      <x:c r="V273" s="38"/>
      <x:c r="W273" s="38"/>
      <x:c r="X273" s="38"/>
      <x:c r="Y273" s="38"/>
      <x:c r="Z273" s="38"/>
    </x:row>
    <x:row r="274" ht="18" customHeight="1">
      <x:c r="A274" s="38"/>
      <x:c r="B274" s="38"/>
      <x:c r="C274" s="38"/>
      <x:c r="D274" s="38"/>
      <x:c r="E274" s="38"/>
      <x:c r="F274" s="38"/>
      <x:c r="G274" s="38"/>
      <x:c r="H274" s="38"/>
      <x:c r="I274" s="38"/>
      <x:c r="J274" s="38"/>
      <x:c r="K274" s="38"/>
      <x:c r="L274" s="38"/>
      <x:c r="M274" s="38"/>
      <x:c r="N274" s="38"/>
      <x:c r="O274" s="38"/>
      <x:c r="P274" s="38"/>
      <x:c r="Q274" s="38"/>
      <x:c r="R274" s="38"/>
      <x:c r="S274" s="38"/>
      <x:c r="T274" s="38"/>
      <x:c r="U274" s="38"/>
      <x:c r="V274" s="38"/>
      <x:c r="W274" s="38"/>
      <x:c r="X274" s="38"/>
      <x:c r="Y274" s="38"/>
      <x:c r="Z274" s="38"/>
    </x:row>
    <x:row r="275" ht="18" customHeight="1">
      <x:c r="A275" s="38"/>
      <x:c r="B275" s="38"/>
      <x:c r="C275" s="38"/>
      <x:c r="D275" s="38"/>
      <x:c r="E275" s="38"/>
      <x:c r="F275" s="38"/>
      <x:c r="G275" s="38"/>
      <x:c r="H275" s="38"/>
      <x:c r="I275" s="38"/>
      <x:c r="J275" s="38"/>
      <x:c r="K275" s="38"/>
      <x:c r="L275" s="38"/>
      <x:c r="M275" s="38"/>
      <x:c r="N275" s="38"/>
      <x:c r="O275" s="38"/>
      <x:c r="P275" s="38"/>
      <x:c r="Q275" s="38"/>
      <x:c r="R275" s="38"/>
      <x:c r="S275" s="38"/>
      <x:c r="T275" s="38"/>
      <x:c r="U275" s="38"/>
      <x:c r="V275" s="38"/>
      <x:c r="W275" s="38"/>
      <x:c r="X275" s="38"/>
      <x:c r="Y275" s="38"/>
      <x:c r="Z275" s="38"/>
    </x:row>
    <x:row r="276" ht="18" customHeight="1">
      <x:c r="A276" s="38"/>
      <x:c r="B276" s="38"/>
      <x:c r="C276" s="38"/>
      <x:c r="D276" s="38"/>
      <x:c r="E276" s="38"/>
      <x:c r="F276" s="38"/>
      <x:c r="G276" s="38"/>
      <x:c r="H276" s="38"/>
      <x:c r="I276" s="38"/>
      <x:c r="J276" s="38"/>
      <x:c r="K276" s="38"/>
      <x:c r="L276" s="38"/>
      <x:c r="M276" s="38"/>
      <x:c r="N276" s="38"/>
      <x:c r="O276" s="38"/>
      <x:c r="P276" s="38"/>
      <x:c r="Q276" s="38"/>
      <x:c r="R276" s="38"/>
      <x:c r="S276" s="38"/>
      <x:c r="T276" s="38"/>
      <x:c r="U276" s="38"/>
      <x:c r="V276" s="38"/>
      <x:c r="W276" s="38"/>
      <x:c r="X276" s="38"/>
      <x:c r="Y276" s="38"/>
      <x:c r="Z276" s="38"/>
    </x:row>
    <x:row r="277" ht="18" customHeight="1">
      <x:c r="A277" s="38"/>
      <x:c r="B277" s="38"/>
      <x:c r="C277" s="38"/>
      <x:c r="D277" s="38"/>
      <x:c r="E277" s="38"/>
      <x:c r="F277" s="38"/>
      <x:c r="G277" s="38"/>
      <x:c r="H277" s="38"/>
      <x:c r="I277" s="38"/>
      <x:c r="J277" s="38"/>
      <x:c r="K277" s="38"/>
      <x:c r="L277" s="38"/>
      <x:c r="M277" s="38"/>
      <x:c r="N277" s="38"/>
      <x:c r="O277" s="38"/>
      <x:c r="P277" s="38"/>
      <x:c r="Q277" s="38"/>
      <x:c r="R277" s="38"/>
      <x:c r="S277" s="38"/>
      <x:c r="T277" s="38"/>
      <x:c r="U277" s="38"/>
      <x:c r="V277" s="38"/>
      <x:c r="W277" s="38"/>
      <x:c r="X277" s="38"/>
      <x:c r="Y277" s="38"/>
      <x:c r="Z277" s="38"/>
    </x:row>
    <x:row r="278" ht="18" customHeight="1">
      <x:c r="A278" s="38"/>
      <x:c r="B278" s="38"/>
      <x:c r="C278" s="38"/>
      <x:c r="D278" s="38"/>
      <x:c r="E278" s="38"/>
      <x:c r="F278" s="38"/>
      <x:c r="G278" s="38"/>
      <x:c r="H278" s="38"/>
      <x:c r="I278" s="38"/>
      <x:c r="J278" s="38"/>
      <x:c r="K278" s="38"/>
      <x:c r="L278" s="38"/>
      <x:c r="M278" s="38"/>
      <x:c r="N278" s="38"/>
      <x:c r="O278" s="38"/>
      <x:c r="P278" s="38"/>
      <x:c r="Q278" s="38"/>
      <x:c r="R278" s="38"/>
      <x:c r="S278" s="38"/>
      <x:c r="T278" s="38"/>
      <x:c r="U278" s="38"/>
      <x:c r="V278" s="38"/>
      <x:c r="W278" s="38"/>
      <x:c r="X278" s="38"/>
      <x:c r="Y278" s="38"/>
      <x:c r="Z278" s="38"/>
    </x:row>
    <x:row r="279" ht="18" customHeight="1">
      <x:c r="A279" s="38"/>
      <x:c r="B279" s="38"/>
      <x:c r="C279" s="38"/>
      <x:c r="D279" s="38"/>
      <x:c r="E279" s="38"/>
      <x:c r="F279" s="38"/>
      <x:c r="G279" s="38"/>
      <x:c r="H279" s="38"/>
      <x:c r="I279" s="38"/>
      <x:c r="J279" s="38"/>
      <x:c r="K279" s="38"/>
      <x:c r="L279" s="38"/>
      <x:c r="M279" s="38"/>
      <x:c r="N279" s="38"/>
      <x:c r="O279" s="38"/>
      <x:c r="P279" s="38"/>
      <x:c r="Q279" s="38"/>
      <x:c r="R279" s="38"/>
      <x:c r="S279" s="38"/>
      <x:c r="T279" s="38"/>
      <x:c r="U279" s="38"/>
      <x:c r="V279" s="38"/>
      <x:c r="W279" s="38"/>
      <x:c r="X279" s="38"/>
      <x:c r="Y279" s="38"/>
      <x:c r="Z279" s="38"/>
    </x:row>
    <x:row r="280" ht="18" customHeight="1">
      <x:c r="A280" s="38"/>
      <x:c r="B280" s="38"/>
      <x:c r="C280" s="38"/>
      <x:c r="D280" s="38"/>
      <x:c r="E280" s="38"/>
      <x:c r="F280" s="38"/>
      <x:c r="G280" s="38"/>
      <x:c r="H280" s="38"/>
      <x:c r="I280" s="38"/>
      <x:c r="J280" s="38"/>
      <x:c r="K280" s="38"/>
      <x:c r="L280" s="38"/>
      <x:c r="M280" s="38"/>
      <x:c r="N280" s="38"/>
      <x:c r="O280" s="38"/>
      <x:c r="P280" s="38"/>
      <x:c r="Q280" s="38"/>
      <x:c r="R280" s="38"/>
      <x:c r="S280" s="38"/>
      <x:c r="T280" s="38"/>
      <x:c r="U280" s="38"/>
      <x:c r="V280" s="38"/>
      <x:c r="W280" s="38"/>
      <x:c r="X280" s="38"/>
      <x:c r="Y280" s="38"/>
      <x:c r="Z280" s="38"/>
    </x:row>
    <x:row r="281" ht="18" customHeight="1">
      <x:c r="A281" s="38"/>
      <x:c r="B281" s="38"/>
      <x:c r="C281" s="38"/>
      <x:c r="D281" s="38"/>
      <x:c r="E281" s="38"/>
      <x:c r="F281" s="38"/>
      <x:c r="G281" s="38"/>
      <x:c r="H281" s="38"/>
      <x:c r="I281" s="38"/>
      <x:c r="J281" s="38"/>
      <x:c r="K281" s="38"/>
      <x:c r="L281" s="38"/>
      <x:c r="M281" s="38"/>
      <x:c r="N281" s="38"/>
      <x:c r="O281" s="38"/>
      <x:c r="P281" s="38"/>
      <x:c r="Q281" s="38"/>
      <x:c r="R281" s="38"/>
      <x:c r="S281" s="38"/>
      <x:c r="T281" s="38"/>
      <x:c r="U281" s="38"/>
      <x:c r="V281" s="38"/>
      <x:c r="W281" s="38"/>
      <x:c r="X281" s="38"/>
      <x:c r="Y281" s="38"/>
      <x:c r="Z281" s="38"/>
    </x:row>
    <x:row r="282" ht="18" customHeight="1">
      <x:c r="A282" s="38"/>
      <x:c r="B282" s="38"/>
      <x:c r="C282" s="38"/>
      <x:c r="D282" s="38"/>
      <x:c r="E282" s="38"/>
      <x:c r="F282" s="38"/>
      <x:c r="G282" s="38"/>
      <x:c r="H282" s="38"/>
      <x:c r="I282" s="38"/>
      <x:c r="J282" s="38"/>
      <x:c r="K282" s="38"/>
      <x:c r="L282" s="38"/>
      <x:c r="M282" s="38"/>
      <x:c r="N282" s="38"/>
      <x:c r="O282" s="38"/>
      <x:c r="P282" s="38"/>
      <x:c r="Q282" s="38"/>
      <x:c r="R282" s="38"/>
      <x:c r="S282" s="38"/>
      <x:c r="T282" s="38"/>
      <x:c r="U282" s="38"/>
      <x:c r="V282" s="38"/>
      <x:c r="W282" s="38"/>
      <x:c r="X282" s="38"/>
      <x:c r="Y282" s="38"/>
      <x:c r="Z282" s="38"/>
    </x:row>
    <x:row r="283" ht="18" customHeight="1">
      <x:c r="A283" s="38"/>
      <x:c r="B283" s="38"/>
      <x:c r="C283" s="38"/>
      <x:c r="D283" s="38"/>
      <x:c r="E283" s="38"/>
      <x:c r="F283" s="38"/>
      <x:c r="G283" s="38"/>
      <x:c r="H283" s="38"/>
      <x:c r="I283" s="38"/>
      <x:c r="J283" s="38"/>
      <x:c r="K283" s="38"/>
      <x:c r="L283" s="38"/>
      <x:c r="M283" s="38"/>
      <x:c r="N283" s="38"/>
      <x:c r="O283" s="38"/>
      <x:c r="P283" s="38"/>
      <x:c r="Q283" s="38"/>
      <x:c r="R283" s="38"/>
      <x:c r="S283" s="38"/>
      <x:c r="T283" s="38"/>
      <x:c r="U283" s="38"/>
      <x:c r="V283" s="38"/>
      <x:c r="W283" s="38"/>
      <x:c r="X283" s="38"/>
      <x:c r="Y283" s="38"/>
      <x:c r="Z283" s="38"/>
    </x:row>
    <x:row r="284" ht="18" customHeight="1">
      <x:c r="A284" s="38"/>
      <x:c r="B284" s="38"/>
      <x:c r="C284" s="38"/>
      <x:c r="D284" s="38"/>
      <x:c r="E284" s="38"/>
      <x:c r="F284" s="38"/>
      <x:c r="G284" s="38"/>
      <x:c r="H284" s="38"/>
      <x:c r="I284" s="38"/>
      <x:c r="J284" s="38"/>
      <x:c r="K284" s="38"/>
      <x:c r="L284" s="38"/>
      <x:c r="M284" s="38"/>
      <x:c r="N284" s="38"/>
      <x:c r="O284" s="38"/>
      <x:c r="P284" s="38"/>
      <x:c r="Q284" s="38"/>
      <x:c r="R284" s="38"/>
      <x:c r="S284" s="38"/>
      <x:c r="T284" s="38"/>
      <x:c r="U284" s="38"/>
      <x:c r="V284" s="38"/>
      <x:c r="W284" s="38"/>
      <x:c r="X284" s="38"/>
      <x:c r="Y284" s="38"/>
      <x:c r="Z284" s="38"/>
    </x:row>
    <x:row r="285" ht="18" customHeight="1">
      <x:c r="A285" s="38"/>
      <x:c r="B285" s="38"/>
      <x:c r="C285" s="38"/>
      <x:c r="D285" s="38"/>
      <x:c r="E285" s="38"/>
      <x:c r="F285" s="38"/>
      <x:c r="G285" s="38"/>
      <x:c r="H285" s="38"/>
      <x:c r="I285" s="38"/>
      <x:c r="J285" s="38"/>
      <x:c r="K285" s="38"/>
      <x:c r="L285" s="38"/>
      <x:c r="M285" s="38"/>
      <x:c r="N285" s="38"/>
      <x:c r="O285" s="38"/>
      <x:c r="P285" s="38"/>
      <x:c r="Q285" s="38"/>
      <x:c r="R285" s="38"/>
      <x:c r="S285" s="38"/>
      <x:c r="T285" s="38"/>
      <x:c r="U285" s="38"/>
      <x:c r="V285" s="38"/>
      <x:c r="W285" s="38"/>
      <x:c r="X285" s="38"/>
      <x:c r="Y285" s="38"/>
      <x:c r="Z285" s="38"/>
    </x:row>
    <x:row r="286" ht="18" customHeight="1">
      <x:c r="A286" s="38"/>
      <x:c r="B286" s="38"/>
      <x:c r="C286" s="38"/>
      <x:c r="D286" s="38"/>
      <x:c r="E286" s="38"/>
      <x:c r="F286" s="38"/>
      <x:c r="G286" s="38"/>
      <x:c r="H286" s="38"/>
      <x:c r="I286" s="38"/>
      <x:c r="J286" s="38"/>
      <x:c r="K286" s="38"/>
      <x:c r="L286" s="38"/>
      <x:c r="M286" s="38"/>
      <x:c r="N286" s="38"/>
      <x:c r="O286" s="38"/>
      <x:c r="P286" s="38"/>
      <x:c r="Q286" s="38"/>
      <x:c r="R286" s="38"/>
      <x:c r="S286" s="38"/>
      <x:c r="T286" s="38"/>
      <x:c r="U286" s="38"/>
      <x:c r="V286" s="38"/>
      <x:c r="W286" s="38"/>
      <x:c r="X286" s="38"/>
      <x:c r="Y286" s="38"/>
      <x:c r="Z286" s="38"/>
    </x:row>
    <x:row r="287" ht="18" customHeight="1">
      <x:c r="A287" s="38"/>
      <x:c r="B287" s="38"/>
      <x:c r="C287" s="38"/>
      <x:c r="D287" s="38"/>
      <x:c r="E287" s="38"/>
      <x:c r="F287" s="38"/>
      <x:c r="G287" s="38"/>
      <x:c r="H287" s="38"/>
      <x:c r="I287" s="38"/>
      <x:c r="J287" s="38"/>
      <x:c r="K287" s="38"/>
      <x:c r="L287" s="38"/>
      <x:c r="M287" s="38"/>
      <x:c r="N287" s="38"/>
      <x:c r="O287" s="38"/>
      <x:c r="P287" s="38"/>
      <x:c r="Q287" s="38"/>
      <x:c r="R287" s="38"/>
      <x:c r="S287" s="38"/>
      <x:c r="T287" s="38"/>
      <x:c r="U287" s="38"/>
      <x:c r="V287" s="38"/>
      <x:c r="W287" s="38"/>
      <x:c r="X287" s="38"/>
      <x:c r="Y287" s="38"/>
      <x:c r="Z287" s="38"/>
    </x:row>
    <x:row r="288" ht="18" customHeight="1">
      <x:c r="A288" s="38"/>
      <x:c r="B288" s="38"/>
      <x:c r="C288" s="38"/>
      <x:c r="D288" s="38"/>
      <x:c r="E288" s="38"/>
      <x:c r="F288" s="38"/>
      <x:c r="G288" s="38"/>
      <x:c r="H288" s="38"/>
      <x:c r="I288" s="38"/>
      <x:c r="J288" s="38"/>
      <x:c r="K288" s="38"/>
      <x:c r="L288" s="38"/>
      <x:c r="M288" s="38"/>
      <x:c r="N288" s="38"/>
      <x:c r="O288" s="38"/>
      <x:c r="P288" s="38"/>
      <x:c r="Q288" s="38"/>
      <x:c r="R288" s="38"/>
      <x:c r="S288" s="38"/>
      <x:c r="T288" s="38"/>
      <x:c r="U288" s="38"/>
      <x:c r="V288" s="38"/>
      <x:c r="W288" s="38"/>
      <x:c r="X288" s="38"/>
      <x:c r="Y288" s="38"/>
      <x:c r="Z288" s="38"/>
    </x:row>
    <x:row r="289" ht="18" customHeight="1">
      <x:c r="A289" s="38"/>
      <x:c r="B289" s="38"/>
      <x:c r="C289" s="38"/>
      <x:c r="D289" s="38"/>
      <x:c r="E289" s="38"/>
      <x:c r="F289" s="38"/>
      <x:c r="G289" s="38"/>
      <x:c r="H289" s="38"/>
      <x:c r="I289" s="38"/>
      <x:c r="J289" s="38"/>
      <x:c r="K289" s="38"/>
      <x:c r="L289" s="38"/>
      <x:c r="M289" s="38"/>
      <x:c r="N289" s="38"/>
      <x:c r="O289" s="38"/>
      <x:c r="P289" s="38"/>
      <x:c r="Q289" s="38"/>
      <x:c r="R289" s="38"/>
      <x:c r="S289" s="38"/>
      <x:c r="T289" s="38"/>
      <x:c r="U289" s="38"/>
      <x:c r="V289" s="38"/>
      <x:c r="W289" s="38"/>
      <x:c r="X289" s="38"/>
      <x:c r="Y289" s="38"/>
      <x:c r="Z289" s="38"/>
    </x:row>
    <x:row r="290" ht="18" customHeight="1">
      <x:c r="A290" s="38"/>
      <x:c r="B290" s="38"/>
      <x:c r="C290" s="38"/>
      <x:c r="D290" s="38"/>
      <x:c r="E290" s="38"/>
      <x:c r="F290" s="38"/>
      <x:c r="G290" s="38"/>
      <x:c r="H290" s="38"/>
      <x:c r="I290" s="38"/>
      <x:c r="J290" s="38"/>
      <x:c r="K290" s="38"/>
      <x:c r="L290" s="38"/>
      <x:c r="M290" s="38"/>
      <x:c r="N290" s="38"/>
      <x:c r="O290" s="38"/>
      <x:c r="P290" s="38"/>
      <x:c r="Q290" s="38"/>
      <x:c r="R290" s="38"/>
      <x:c r="S290" s="38"/>
      <x:c r="T290" s="38"/>
      <x:c r="U290" s="38"/>
      <x:c r="V290" s="38"/>
      <x:c r="W290" s="38"/>
      <x:c r="X290" s="38"/>
      <x:c r="Y290" s="38"/>
      <x:c r="Z290" s="38"/>
    </x:row>
    <x:row r="291" ht="18" customHeight="1">
      <x:c r="A291" s="38"/>
      <x:c r="B291" s="38"/>
      <x:c r="C291" s="38"/>
      <x:c r="D291" s="38"/>
      <x:c r="E291" s="38"/>
      <x:c r="F291" s="38"/>
      <x:c r="G291" s="38"/>
      <x:c r="H291" s="38"/>
      <x:c r="I291" s="38"/>
      <x:c r="J291" s="38"/>
      <x:c r="K291" s="38"/>
      <x:c r="L291" s="38"/>
      <x:c r="M291" s="38"/>
      <x:c r="N291" s="38"/>
      <x:c r="O291" s="38"/>
      <x:c r="P291" s="38"/>
      <x:c r="Q291" s="38"/>
      <x:c r="R291" s="38"/>
      <x:c r="S291" s="38"/>
      <x:c r="T291" s="38"/>
      <x:c r="U291" s="38"/>
      <x:c r="V291" s="38"/>
      <x:c r="W291" s="38"/>
      <x:c r="X291" s="38"/>
      <x:c r="Y291" s="38"/>
      <x:c r="Z291" s="38"/>
    </x:row>
    <x:row r="292" ht="18" customHeight="1">
      <x:c r="A292" s="38"/>
      <x:c r="B292" s="38"/>
      <x:c r="C292" s="38"/>
      <x:c r="D292" s="38"/>
      <x:c r="E292" s="38"/>
      <x:c r="F292" s="38"/>
      <x:c r="G292" s="38"/>
      <x:c r="H292" s="38"/>
      <x:c r="I292" s="38"/>
      <x:c r="J292" s="38"/>
      <x:c r="K292" s="38"/>
      <x:c r="L292" s="38"/>
      <x:c r="M292" s="38"/>
      <x:c r="N292" s="38"/>
      <x:c r="O292" s="38"/>
      <x:c r="P292" s="38"/>
      <x:c r="Q292" s="38"/>
      <x:c r="R292" s="38"/>
      <x:c r="S292" s="38"/>
      <x:c r="T292" s="38"/>
      <x:c r="U292" s="38"/>
      <x:c r="V292" s="38"/>
      <x:c r="W292" s="38"/>
      <x:c r="X292" s="38"/>
      <x:c r="Y292" s="38"/>
      <x:c r="Z292" s="38"/>
    </x:row>
    <x:row r="293" ht="18" customHeight="1">
      <x:c r="A293" s="38"/>
      <x:c r="B293" s="38"/>
      <x:c r="C293" s="38"/>
      <x:c r="D293" s="38"/>
      <x:c r="E293" s="38"/>
      <x:c r="F293" s="38"/>
      <x:c r="G293" s="38"/>
      <x:c r="H293" s="38"/>
      <x:c r="I293" s="38"/>
      <x:c r="J293" s="38"/>
      <x:c r="K293" s="38"/>
      <x:c r="L293" s="38"/>
      <x:c r="M293" s="38"/>
      <x:c r="N293" s="38"/>
      <x:c r="O293" s="38"/>
      <x:c r="P293" s="38"/>
      <x:c r="Q293" s="38"/>
      <x:c r="R293" s="38"/>
      <x:c r="S293" s="38"/>
      <x:c r="T293" s="38"/>
      <x:c r="U293" s="38"/>
      <x:c r="V293" s="38"/>
      <x:c r="W293" s="38"/>
      <x:c r="X293" s="38"/>
      <x:c r="Y293" s="38"/>
      <x:c r="Z293" s="38"/>
    </x:row>
    <x:row r="294" ht="18" customHeight="1">
      <x:c r="A294" s="38"/>
      <x:c r="B294" s="38"/>
      <x:c r="C294" s="38"/>
      <x:c r="D294" s="38"/>
      <x:c r="E294" s="38"/>
      <x:c r="F294" s="38"/>
      <x:c r="G294" s="38"/>
      <x:c r="H294" s="38"/>
      <x:c r="I294" s="38"/>
      <x:c r="J294" s="38"/>
      <x:c r="K294" s="38"/>
      <x:c r="L294" s="38"/>
      <x:c r="M294" s="38"/>
      <x:c r="N294" s="38"/>
      <x:c r="O294" s="38"/>
      <x:c r="P294" s="38"/>
      <x:c r="Q294" s="38"/>
      <x:c r="R294" s="38"/>
      <x:c r="S294" s="38"/>
      <x:c r="T294" s="38"/>
      <x:c r="U294" s="38"/>
      <x:c r="V294" s="38"/>
      <x:c r="W294" s="38"/>
      <x:c r="X294" s="38"/>
      <x:c r="Y294" s="38"/>
      <x:c r="Z294" s="38"/>
    </x:row>
    <x:row r="295" ht="18" customHeight="1">
      <x:c r="A295" s="38"/>
      <x:c r="B295" s="38"/>
      <x:c r="C295" s="38"/>
      <x:c r="D295" s="38"/>
      <x:c r="E295" s="38"/>
      <x:c r="F295" s="38"/>
      <x:c r="G295" s="38"/>
      <x:c r="H295" s="38"/>
      <x:c r="I295" s="38"/>
      <x:c r="J295" s="38"/>
      <x:c r="K295" s="38"/>
      <x:c r="L295" s="38"/>
      <x:c r="M295" s="38"/>
      <x:c r="N295" s="38"/>
      <x:c r="O295" s="38"/>
      <x:c r="P295" s="38"/>
      <x:c r="Q295" s="38"/>
      <x:c r="R295" s="38"/>
      <x:c r="S295" s="38"/>
      <x:c r="T295" s="38"/>
      <x:c r="U295" s="38"/>
      <x:c r="V295" s="38"/>
      <x:c r="W295" s="38"/>
      <x:c r="X295" s="38"/>
      <x:c r="Y295" s="38"/>
      <x:c r="Z295" s="38"/>
    </x:row>
    <x:row r="296" ht="18" customHeight="1">
      <x:c r="A296" s="38"/>
      <x:c r="B296" s="38"/>
      <x:c r="C296" s="38"/>
      <x:c r="D296" s="38"/>
      <x:c r="E296" s="38"/>
      <x:c r="F296" s="38"/>
      <x:c r="G296" s="38"/>
      <x:c r="H296" s="38"/>
      <x:c r="I296" s="38"/>
      <x:c r="J296" s="38"/>
      <x:c r="K296" s="38"/>
      <x:c r="L296" s="38"/>
      <x:c r="M296" s="38"/>
      <x:c r="N296" s="38"/>
      <x:c r="O296" s="38"/>
      <x:c r="P296" s="38"/>
      <x:c r="Q296" s="38"/>
      <x:c r="R296" s="38"/>
      <x:c r="S296" s="38"/>
      <x:c r="T296" s="38"/>
      <x:c r="U296" s="38"/>
      <x:c r="V296" s="38"/>
      <x:c r="W296" s="38"/>
      <x:c r="X296" s="38"/>
      <x:c r="Y296" s="38"/>
      <x:c r="Z296" s="38"/>
    </x:row>
    <x:row r="297" ht="18" customHeight="1">
      <x:c r="A297" s="38"/>
      <x:c r="B297" s="38"/>
      <x:c r="C297" s="38"/>
      <x:c r="D297" s="38"/>
      <x:c r="E297" s="38"/>
      <x:c r="F297" s="38"/>
      <x:c r="G297" s="38"/>
      <x:c r="H297" s="38"/>
      <x:c r="I297" s="38"/>
      <x:c r="J297" s="38"/>
      <x:c r="K297" s="38"/>
      <x:c r="L297" s="38"/>
      <x:c r="M297" s="38"/>
      <x:c r="N297" s="38"/>
      <x:c r="O297" s="38"/>
      <x:c r="P297" s="38"/>
      <x:c r="Q297" s="38"/>
      <x:c r="R297" s="38"/>
      <x:c r="S297" s="38"/>
      <x:c r="T297" s="38"/>
      <x:c r="U297" s="38"/>
      <x:c r="V297" s="38"/>
      <x:c r="W297" s="38"/>
      <x:c r="X297" s="38"/>
      <x:c r="Y297" s="38"/>
      <x:c r="Z297" s="38"/>
    </x:row>
    <x:row r="298" ht="18" customHeight="1">
      <x:c r="A298" s="38"/>
      <x:c r="B298" s="38"/>
      <x:c r="C298" s="38"/>
      <x:c r="D298" s="38"/>
      <x:c r="E298" s="38"/>
      <x:c r="F298" s="38"/>
      <x:c r="G298" s="38"/>
      <x:c r="H298" s="38"/>
      <x:c r="I298" s="38"/>
      <x:c r="J298" s="38"/>
      <x:c r="K298" s="38"/>
      <x:c r="L298" s="38"/>
      <x:c r="M298" s="38"/>
      <x:c r="N298" s="38"/>
      <x:c r="O298" s="38"/>
      <x:c r="P298" s="38"/>
      <x:c r="Q298" s="38"/>
      <x:c r="R298" s="38"/>
      <x:c r="S298" s="38"/>
      <x:c r="T298" s="38"/>
      <x:c r="U298" s="38"/>
      <x:c r="V298" s="38"/>
      <x:c r="W298" s="38"/>
      <x:c r="X298" s="38"/>
      <x:c r="Y298" s="38"/>
      <x:c r="Z298" s="38"/>
    </x:row>
    <x:row r="299" ht="18" customHeight="1">
      <x:c r="A299" s="38"/>
      <x:c r="B299" s="38"/>
      <x:c r="C299" s="38"/>
      <x:c r="D299" s="38"/>
      <x:c r="E299" s="38"/>
      <x:c r="F299" s="38"/>
      <x:c r="G299" s="38"/>
      <x:c r="H299" s="38"/>
      <x:c r="I299" s="38"/>
      <x:c r="J299" s="38"/>
      <x:c r="K299" s="38"/>
      <x:c r="L299" s="38"/>
      <x:c r="M299" s="38"/>
      <x:c r="N299" s="38"/>
      <x:c r="O299" s="38"/>
      <x:c r="P299" s="38"/>
      <x:c r="Q299" s="38"/>
      <x:c r="R299" s="38"/>
      <x:c r="S299" s="38"/>
      <x:c r="T299" s="38"/>
      <x:c r="U299" s="38"/>
      <x:c r="V299" s="38"/>
      <x:c r="W299" s="38"/>
      <x:c r="X299" s="38"/>
      <x:c r="Y299" s="38"/>
      <x:c r="Z299" s="38"/>
    </x:row>
    <x:row r="300" ht="18" customHeight="1">
      <x:c r="A300" s="38"/>
      <x:c r="B300" s="38"/>
      <x:c r="C300" s="38"/>
      <x:c r="D300" s="38"/>
      <x:c r="E300" s="38"/>
      <x:c r="F300" s="38"/>
      <x:c r="G300" s="38"/>
      <x:c r="H300" s="38"/>
      <x:c r="I300" s="38"/>
      <x:c r="J300" s="38"/>
      <x:c r="K300" s="38"/>
      <x:c r="L300" s="38"/>
      <x:c r="M300" s="38"/>
      <x:c r="N300" s="38"/>
      <x:c r="O300" s="38"/>
      <x:c r="P300" s="38"/>
      <x:c r="Q300" s="38"/>
      <x:c r="R300" s="38"/>
      <x:c r="S300" s="38"/>
      <x:c r="T300" s="38"/>
      <x:c r="U300" s="38"/>
      <x:c r="V300" s="38"/>
      <x:c r="W300" s="38"/>
      <x:c r="X300" s="38"/>
      <x:c r="Y300" s="38"/>
      <x:c r="Z300" s="38"/>
    </x:row>
    <x:row r="301" ht="18" customHeight="1">
      <x:c r="A301" s="38"/>
      <x:c r="B301" s="38"/>
      <x:c r="C301" s="38"/>
      <x:c r="D301" s="38"/>
      <x:c r="E301" s="38"/>
      <x:c r="F301" s="38"/>
      <x:c r="G301" s="38"/>
      <x:c r="H301" s="38"/>
      <x:c r="I301" s="38"/>
      <x:c r="J301" s="38"/>
      <x:c r="K301" s="38"/>
      <x:c r="L301" s="38"/>
      <x:c r="M301" s="38"/>
      <x:c r="N301" s="38"/>
      <x:c r="O301" s="38"/>
      <x:c r="P301" s="38"/>
      <x:c r="Q301" s="38"/>
      <x:c r="R301" s="38"/>
      <x:c r="S301" s="38"/>
      <x:c r="T301" s="38"/>
      <x:c r="U301" s="38"/>
      <x:c r="V301" s="38"/>
      <x:c r="W301" s="38"/>
      <x:c r="X301" s="38"/>
      <x:c r="Y301" s="38"/>
      <x:c r="Z301" s="38"/>
    </x:row>
    <x:row r="302" ht="18" customHeight="1">
      <x:c r="A302" s="38"/>
      <x:c r="B302" s="38"/>
      <x:c r="C302" s="38"/>
      <x:c r="D302" s="38"/>
      <x:c r="E302" s="38"/>
      <x:c r="F302" s="38"/>
      <x:c r="G302" s="38"/>
      <x:c r="H302" s="38"/>
      <x:c r="I302" s="38"/>
      <x:c r="J302" s="38"/>
      <x:c r="K302" s="38"/>
      <x:c r="L302" s="38"/>
      <x:c r="M302" s="38"/>
      <x:c r="N302" s="38"/>
      <x:c r="O302" s="38"/>
      <x:c r="P302" s="38"/>
      <x:c r="Q302" s="38"/>
      <x:c r="R302" s="38"/>
      <x:c r="S302" s="38"/>
      <x:c r="T302" s="38"/>
      <x:c r="U302" s="38"/>
      <x:c r="V302" s="38"/>
      <x:c r="W302" s="38"/>
      <x:c r="X302" s="38"/>
      <x:c r="Y302" s="38"/>
      <x:c r="Z302" s="38"/>
    </x:row>
    <x:row r="303" ht="18" customHeight="1">
      <x:c r="A303" s="38"/>
      <x:c r="B303" s="38"/>
      <x:c r="C303" s="38"/>
      <x:c r="D303" s="38"/>
      <x:c r="E303" s="38"/>
      <x:c r="F303" s="38"/>
      <x:c r="G303" s="38"/>
      <x:c r="H303" s="38"/>
      <x:c r="I303" s="38"/>
      <x:c r="J303" s="38"/>
      <x:c r="K303" s="38"/>
      <x:c r="L303" s="38"/>
      <x:c r="M303" s="38"/>
      <x:c r="N303" s="38"/>
      <x:c r="O303" s="38"/>
      <x:c r="P303" s="38"/>
      <x:c r="Q303" s="38"/>
      <x:c r="R303" s="38"/>
      <x:c r="S303" s="38"/>
      <x:c r="T303" s="38"/>
      <x:c r="U303" s="38"/>
      <x:c r="V303" s="38"/>
      <x:c r="W303" s="38"/>
      <x:c r="X303" s="38"/>
      <x:c r="Y303" s="38"/>
      <x:c r="Z303" s="38"/>
    </x:row>
    <x:row r="304" ht="18" customHeight="1">
      <x:c r="A304" s="38"/>
      <x:c r="B304" s="38"/>
      <x:c r="C304" s="38"/>
      <x:c r="D304" s="38"/>
      <x:c r="E304" s="38"/>
      <x:c r="F304" s="38"/>
      <x:c r="G304" s="38"/>
      <x:c r="H304" s="38"/>
      <x:c r="I304" s="38"/>
      <x:c r="J304" s="38"/>
      <x:c r="K304" s="38"/>
      <x:c r="L304" s="38"/>
      <x:c r="M304" s="38"/>
      <x:c r="N304" s="38"/>
      <x:c r="O304" s="38"/>
      <x:c r="P304" s="38"/>
      <x:c r="Q304" s="38"/>
      <x:c r="R304" s="38"/>
      <x:c r="S304" s="38"/>
      <x:c r="T304" s="38"/>
      <x:c r="U304" s="38"/>
      <x:c r="V304" s="38"/>
      <x:c r="W304" s="38"/>
      <x:c r="X304" s="38"/>
      <x:c r="Y304" s="38"/>
      <x:c r="Z304" s="38"/>
    </x:row>
    <x:row r="305" ht="18" customHeight="1">
      <x:c r="A305" s="38"/>
      <x:c r="B305" s="38"/>
      <x:c r="C305" s="38"/>
      <x:c r="D305" s="38"/>
      <x:c r="E305" s="38"/>
      <x:c r="F305" s="38"/>
      <x:c r="G305" s="38"/>
      <x:c r="H305" s="38"/>
      <x:c r="I305" s="38"/>
      <x:c r="J305" s="38"/>
      <x:c r="K305" s="38"/>
      <x:c r="L305" s="38"/>
      <x:c r="M305" s="38"/>
      <x:c r="N305" s="38"/>
      <x:c r="O305" s="38"/>
      <x:c r="P305" s="38"/>
      <x:c r="Q305" s="38"/>
      <x:c r="R305" s="38"/>
      <x:c r="S305" s="38"/>
      <x:c r="T305" s="38"/>
      <x:c r="U305" s="38"/>
      <x:c r="V305" s="38"/>
      <x:c r="W305" s="38"/>
      <x:c r="X305" s="38"/>
      <x:c r="Y305" s="38"/>
      <x:c r="Z305" s="38"/>
    </x:row>
    <x:row r="306" ht="18" customHeight="1">
      <x:c r="A306" s="38"/>
      <x:c r="B306" s="38"/>
      <x:c r="C306" s="38"/>
      <x:c r="D306" s="38"/>
      <x:c r="E306" s="38"/>
      <x:c r="F306" s="38"/>
      <x:c r="G306" s="38"/>
      <x:c r="H306" s="38"/>
      <x:c r="I306" s="38"/>
      <x:c r="J306" s="38"/>
      <x:c r="K306" s="38"/>
      <x:c r="L306" s="38"/>
      <x:c r="M306" s="38"/>
      <x:c r="N306" s="38"/>
      <x:c r="O306" s="38"/>
      <x:c r="P306" s="38"/>
      <x:c r="Q306" s="38"/>
      <x:c r="R306" s="38"/>
      <x:c r="S306" s="38"/>
      <x:c r="T306" s="38"/>
      <x:c r="U306" s="38"/>
      <x:c r="V306" s="38"/>
      <x:c r="W306" s="38"/>
      <x:c r="X306" s="38"/>
      <x:c r="Y306" s="38"/>
      <x:c r="Z306" s="38"/>
    </x:row>
    <x:row r="307" ht="18" customHeight="1">
      <x:c r="A307" s="38"/>
      <x:c r="B307" s="38"/>
      <x:c r="C307" s="38"/>
      <x:c r="D307" s="38"/>
      <x:c r="E307" s="38"/>
      <x:c r="F307" s="38"/>
      <x:c r="G307" s="38"/>
      <x:c r="H307" s="38"/>
      <x:c r="I307" s="38"/>
      <x:c r="J307" s="38"/>
      <x:c r="K307" s="38"/>
      <x:c r="L307" s="38"/>
      <x:c r="M307" s="38"/>
      <x:c r="N307" s="38"/>
      <x:c r="O307" s="38"/>
      <x:c r="P307" s="38"/>
      <x:c r="Q307" s="38"/>
      <x:c r="R307" s="38"/>
      <x:c r="S307" s="38"/>
      <x:c r="T307" s="38"/>
      <x:c r="U307" s="38"/>
      <x:c r="V307" s="38"/>
      <x:c r="W307" s="38"/>
      <x:c r="X307" s="38"/>
      <x:c r="Y307" s="38"/>
      <x:c r="Z307" s="38"/>
    </x:row>
    <x:row r="308" ht="18" customHeight="1">
      <x:c r="A308" s="38"/>
      <x:c r="B308" s="38"/>
      <x:c r="C308" s="38"/>
      <x:c r="D308" s="38"/>
      <x:c r="E308" s="38"/>
      <x:c r="F308" s="38"/>
      <x:c r="G308" s="38"/>
      <x:c r="H308" s="38"/>
      <x:c r="I308" s="38"/>
      <x:c r="J308" s="38"/>
      <x:c r="K308" s="38"/>
      <x:c r="L308" s="38"/>
      <x:c r="M308" s="38"/>
      <x:c r="N308" s="38"/>
      <x:c r="O308" s="38"/>
      <x:c r="P308" s="38"/>
      <x:c r="Q308" s="38"/>
      <x:c r="R308" s="38"/>
      <x:c r="S308" s="38"/>
      <x:c r="T308" s="38"/>
      <x:c r="U308" s="38"/>
      <x:c r="V308" s="38"/>
      <x:c r="W308" s="38"/>
      <x:c r="X308" s="38"/>
      <x:c r="Y308" s="38"/>
      <x:c r="Z308" s="38"/>
    </x:row>
    <x:row r="309" ht="18" customHeight="1">
      <x:c r="A309" s="38"/>
      <x:c r="B309" s="38"/>
      <x:c r="C309" s="38"/>
      <x:c r="D309" s="38"/>
      <x:c r="E309" s="38"/>
      <x:c r="F309" s="38"/>
      <x:c r="G309" s="38"/>
      <x:c r="H309" s="38"/>
      <x:c r="I309" s="38"/>
      <x:c r="J309" s="38"/>
      <x:c r="K309" s="38"/>
      <x:c r="L309" s="38"/>
      <x:c r="M309" s="38"/>
      <x:c r="N309" s="38"/>
      <x:c r="O309" s="38"/>
      <x:c r="P309" s="38"/>
      <x:c r="Q309" s="38"/>
      <x:c r="R309" s="38"/>
      <x:c r="S309" s="38"/>
      <x:c r="T309" s="38"/>
      <x:c r="U309" s="38"/>
      <x:c r="V309" s="38"/>
      <x:c r="W309" s="38"/>
      <x:c r="X309" s="38"/>
      <x:c r="Y309" s="38"/>
      <x:c r="Z309" s="38"/>
    </x:row>
    <x:row r="310" ht="18" customHeight="1">
      <x:c r="A310" s="38"/>
      <x:c r="B310" s="38"/>
      <x:c r="C310" s="38"/>
      <x:c r="D310" s="38"/>
      <x:c r="E310" s="38"/>
      <x:c r="F310" s="38"/>
      <x:c r="G310" s="38"/>
      <x:c r="H310" s="38"/>
      <x:c r="I310" s="38"/>
      <x:c r="J310" s="38"/>
      <x:c r="K310" s="38"/>
      <x:c r="L310" s="38"/>
      <x:c r="M310" s="38"/>
      <x:c r="N310" s="38"/>
      <x:c r="O310" s="38"/>
      <x:c r="P310" s="38"/>
      <x:c r="Q310" s="38"/>
      <x:c r="R310" s="38"/>
      <x:c r="S310" s="38"/>
      <x:c r="T310" s="38"/>
      <x:c r="U310" s="38"/>
      <x:c r="V310" s="38"/>
      <x:c r="W310" s="38"/>
      <x:c r="X310" s="38"/>
      <x:c r="Y310" s="38"/>
      <x:c r="Z310" s="38"/>
    </x:row>
    <x:row r="311" ht="18" customHeight="1">
      <x:c r="A311" s="38"/>
      <x:c r="B311" s="38"/>
      <x:c r="C311" s="38"/>
      <x:c r="D311" s="38"/>
      <x:c r="E311" s="38"/>
      <x:c r="F311" s="38"/>
      <x:c r="G311" s="38"/>
      <x:c r="H311" s="38"/>
      <x:c r="I311" s="38"/>
      <x:c r="J311" s="38"/>
      <x:c r="K311" s="38"/>
      <x:c r="L311" s="38"/>
      <x:c r="M311" s="38"/>
      <x:c r="N311" s="38"/>
      <x:c r="O311" s="38"/>
      <x:c r="P311" s="38"/>
      <x:c r="Q311" s="38"/>
      <x:c r="R311" s="38"/>
      <x:c r="S311" s="38"/>
      <x:c r="T311" s="38"/>
      <x:c r="U311" s="38"/>
      <x:c r="V311" s="38"/>
      <x:c r="W311" s="38"/>
      <x:c r="X311" s="38"/>
      <x:c r="Y311" s="38"/>
      <x:c r="Z311" s="38"/>
    </x:row>
    <x:row r="312" ht="18" customHeight="1">
      <x:c r="A312" s="38"/>
      <x:c r="B312" s="38"/>
      <x:c r="C312" s="38"/>
      <x:c r="D312" s="38"/>
      <x:c r="E312" s="38"/>
      <x:c r="F312" s="38"/>
      <x:c r="G312" s="38"/>
      <x:c r="H312" s="38"/>
      <x:c r="I312" s="38"/>
      <x:c r="J312" s="38"/>
      <x:c r="K312" s="38"/>
      <x:c r="L312" s="38"/>
      <x:c r="M312" s="38"/>
      <x:c r="N312" s="38"/>
      <x:c r="O312" s="38"/>
      <x:c r="P312" s="38"/>
      <x:c r="Q312" s="38"/>
      <x:c r="R312" s="38"/>
      <x:c r="S312" s="38"/>
      <x:c r="T312" s="38"/>
      <x:c r="U312" s="38"/>
      <x:c r="V312" s="38"/>
      <x:c r="W312" s="38"/>
      <x:c r="X312" s="38"/>
      <x:c r="Y312" s="38"/>
      <x:c r="Z312" s="38"/>
    </x:row>
    <x:row r="313" ht="18" customHeight="1">
      <x:c r="A313" s="38"/>
      <x:c r="B313" s="38"/>
      <x:c r="C313" s="38"/>
      <x:c r="D313" s="38"/>
      <x:c r="E313" s="38"/>
      <x:c r="F313" s="38"/>
      <x:c r="G313" s="38"/>
      <x:c r="H313" s="38"/>
      <x:c r="I313" s="38"/>
      <x:c r="J313" s="38"/>
      <x:c r="K313" s="38"/>
      <x:c r="L313" s="38"/>
      <x:c r="M313" s="38"/>
      <x:c r="N313" s="38"/>
      <x:c r="O313" s="38"/>
      <x:c r="P313" s="38"/>
      <x:c r="Q313" s="38"/>
      <x:c r="R313" s="38"/>
      <x:c r="S313" s="38"/>
      <x:c r="T313" s="38"/>
      <x:c r="U313" s="38"/>
      <x:c r="V313" s="38"/>
      <x:c r="W313" s="38"/>
      <x:c r="X313" s="38"/>
      <x:c r="Y313" s="38"/>
      <x:c r="Z313" s="38"/>
    </x:row>
    <x:row r="314" ht="18" customHeight="1">
      <x:c r="A314" s="38"/>
      <x:c r="B314" s="38"/>
      <x:c r="C314" s="38"/>
      <x:c r="D314" s="38"/>
      <x:c r="E314" s="38"/>
      <x:c r="F314" s="38"/>
      <x:c r="G314" s="38"/>
      <x:c r="H314" s="38"/>
      <x:c r="I314" s="38"/>
      <x:c r="J314" s="38"/>
      <x:c r="K314" s="38"/>
      <x:c r="L314" s="38"/>
      <x:c r="M314" s="38"/>
      <x:c r="N314" s="38"/>
      <x:c r="O314" s="38"/>
      <x:c r="P314" s="38"/>
      <x:c r="Q314" s="38"/>
      <x:c r="R314" s="38"/>
      <x:c r="S314" s="38"/>
      <x:c r="T314" s="38"/>
      <x:c r="U314" s="38"/>
      <x:c r="V314" s="38"/>
      <x:c r="W314" s="38"/>
      <x:c r="X314" s="38"/>
      <x:c r="Y314" s="38"/>
      <x:c r="Z314" s="38"/>
    </x:row>
    <x:row r="315" ht="18" customHeight="1">
      <x:c r="A315" s="38"/>
      <x:c r="B315" s="38"/>
      <x:c r="C315" s="38"/>
      <x:c r="D315" s="38"/>
      <x:c r="E315" s="38"/>
      <x:c r="F315" s="38"/>
      <x:c r="G315" s="38"/>
      <x:c r="H315" s="38"/>
      <x:c r="I315" s="38"/>
      <x:c r="J315" s="38"/>
      <x:c r="K315" s="38"/>
      <x:c r="L315" s="38"/>
      <x:c r="M315" s="38"/>
      <x:c r="N315" s="38"/>
      <x:c r="O315" s="38"/>
      <x:c r="P315" s="38"/>
      <x:c r="Q315" s="38"/>
      <x:c r="R315" s="38"/>
      <x:c r="S315" s="38"/>
      <x:c r="T315" s="38"/>
      <x:c r="U315" s="38"/>
      <x:c r="V315" s="38"/>
      <x:c r="W315" s="38"/>
      <x:c r="X315" s="38"/>
      <x:c r="Y315" s="38"/>
      <x:c r="Z315" s="38"/>
    </x:row>
    <x:row r="316" ht="18" customHeight="1">
      <x:c r="A316" s="38"/>
      <x:c r="B316" s="38"/>
      <x:c r="C316" s="38"/>
      <x:c r="D316" s="38"/>
      <x:c r="E316" s="38"/>
      <x:c r="F316" s="38"/>
      <x:c r="G316" s="38"/>
      <x:c r="H316" s="38"/>
      <x:c r="I316" s="38"/>
      <x:c r="J316" s="38"/>
      <x:c r="K316" s="38"/>
      <x:c r="L316" s="38"/>
      <x:c r="M316" s="38"/>
      <x:c r="N316" s="38"/>
      <x:c r="O316" s="38"/>
      <x:c r="P316" s="38"/>
      <x:c r="Q316" s="38"/>
      <x:c r="R316" s="38"/>
      <x:c r="S316" s="38"/>
      <x:c r="T316" s="38"/>
      <x:c r="U316" s="38"/>
      <x:c r="V316" s="38"/>
      <x:c r="W316" s="38"/>
      <x:c r="X316" s="38"/>
      <x:c r="Y316" s="38"/>
      <x:c r="Z316" s="38"/>
    </x:row>
    <x:row r="317" ht="18" customHeight="1">
      <x:c r="A317" s="38"/>
      <x:c r="B317" s="38"/>
      <x:c r="C317" s="38"/>
      <x:c r="D317" s="38"/>
      <x:c r="E317" s="38"/>
      <x:c r="F317" s="38"/>
      <x:c r="G317" s="38"/>
      <x:c r="H317" s="38"/>
      <x:c r="I317" s="38"/>
      <x:c r="J317" s="38"/>
      <x:c r="K317" s="38"/>
      <x:c r="L317" s="38"/>
      <x:c r="M317" s="38"/>
      <x:c r="N317" s="38"/>
      <x:c r="O317" s="38"/>
      <x:c r="P317" s="38"/>
      <x:c r="Q317" s="38"/>
      <x:c r="R317" s="38"/>
      <x:c r="S317" s="38"/>
      <x:c r="T317" s="38"/>
      <x:c r="U317" s="38"/>
      <x:c r="V317" s="38"/>
      <x:c r="W317" s="38"/>
      <x:c r="X317" s="38"/>
      <x:c r="Y317" s="38"/>
      <x:c r="Z317" s="38"/>
    </x:row>
    <x:row r="318" ht="18" customHeight="1">
      <x:c r="A318" s="38"/>
      <x:c r="B318" s="38"/>
      <x:c r="C318" s="38"/>
      <x:c r="D318" s="38"/>
      <x:c r="E318" s="38"/>
      <x:c r="F318" s="38"/>
      <x:c r="G318" s="38"/>
      <x:c r="H318" s="38"/>
      <x:c r="I318" s="38"/>
      <x:c r="J318" s="38"/>
      <x:c r="K318" s="38"/>
      <x:c r="L318" s="38"/>
      <x:c r="M318" s="38"/>
      <x:c r="N318" s="38"/>
      <x:c r="O318" s="38"/>
      <x:c r="P318" s="38"/>
      <x:c r="Q318" s="38"/>
      <x:c r="R318" s="38"/>
      <x:c r="S318" s="38"/>
      <x:c r="T318" s="38"/>
      <x:c r="U318" s="38"/>
      <x:c r="V318" s="38"/>
      <x:c r="W318" s="38"/>
      <x:c r="X318" s="38"/>
      <x:c r="Y318" s="38"/>
      <x:c r="Z318" s="38"/>
    </x:row>
    <x:row r="319" ht="18" customHeight="1">
      <x:c r="A319" s="38"/>
      <x:c r="B319" s="38"/>
      <x:c r="C319" s="38"/>
      <x:c r="D319" s="38"/>
      <x:c r="E319" s="38"/>
      <x:c r="F319" s="38"/>
      <x:c r="G319" s="38"/>
      <x:c r="H319" s="38"/>
      <x:c r="I319" s="38"/>
      <x:c r="J319" s="38"/>
      <x:c r="K319" s="38"/>
      <x:c r="L319" s="38"/>
      <x:c r="M319" s="38"/>
      <x:c r="N319" s="38"/>
      <x:c r="O319" s="38"/>
      <x:c r="P319" s="38"/>
      <x:c r="Q319" s="38"/>
      <x:c r="R319" s="38"/>
      <x:c r="S319" s="38"/>
      <x:c r="T319" s="38"/>
      <x:c r="U319" s="38"/>
      <x:c r="V319" s="38"/>
      <x:c r="W319" s="38"/>
      <x:c r="X319" s="38"/>
      <x:c r="Y319" s="38"/>
      <x:c r="Z319" s="38"/>
    </x:row>
    <x:row r="320" ht="18" customHeight="1">
      <x:c r="A320" s="38"/>
      <x:c r="B320" s="38"/>
      <x:c r="C320" s="38"/>
      <x:c r="D320" s="38"/>
      <x:c r="E320" s="38"/>
      <x:c r="F320" s="38"/>
      <x:c r="G320" s="38"/>
      <x:c r="H320" s="38"/>
      <x:c r="I320" s="38"/>
      <x:c r="J320" s="38"/>
      <x:c r="K320" s="38"/>
      <x:c r="L320" s="38"/>
      <x:c r="M320" s="38"/>
      <x:c r="N320" s="38"/>
      <x:c r="O320" s="38"/>
      <x:c r="P320" s="38"/>
      <x:c r="Q320" s="38"/>
      <x:c r="R320" s="38"/>
      <x:c r="S320" s="38"/>
      <x:c r="T320" s="38"/>
      <x:c r="U320" s="38"/>
      <x:c r="V320" s="38"/>
      <x:c r="W320" s="38"/>
      <x:c r="X320" s="38"/>
      <x:c r="Y320" s="38"/>
      <x:c r="Z320" s="38"/>
    </x:row>
    <x:row r="321" ht="18" customHeight="1">
      <x:c r="A321" s="38"/>
      <x:c r="B321" s="38"/>
      <x:c r="C321" s="38"/>
      <x:c r="D321" s="38"/>
      <x:c r="E321" s="38"/>
      <x:c r="F321" s="38"/>
      <x:c r="G321" s="38"/>
      <x:c r="H321" s="38"/>
      <x:c r="I321" s="38"/>
      <x:c r="J321" s="38"/>
      <x:c r="K321" s="38"/>
      <x:c r="L321" s="38"/>
      <x:c r="M321" s="38"/>
      <x:c r="N321" s="38"/>
      <x:c r="O321" s="38"/>
      <x:c r="P321" s="38"/>
      <x:c r="Q321" s="38"/>
      <x:c r="R321" s="38"/>
      <x:c r="S321" s="38"/>
      <x:c r="T321" s="38"/>
      <x:c r="U321" s="38"/>
      <x:c r="V321" s="38"/>
      <x:c r="W321" s="38"/>
      <x:c r="X321" s="38"/>
      <x:c r="Y321" s="38"/>
      <x:c r="Z321" s="38"/>
    </x:row>
    <x:row r="322" ht="18" customHeight="1">
      <x:c r="A322" s="38"/>
      <x:c r="B322" s="38"/>
      <x:c r="C322" s="38"/>
      <x:c r="D322" s="38"/>
      <x:c r="E322" s="38"/>
      <x:c r="F322" s="38"/>
      <x:c r="G322" s="38"/>
      <x:c r="H322" s="38"/>
      <x:c r="I322" s="38"/>
      <x:c r="J322" s="38"/>
      <x:c r="K322" s="38"/>
      <x:c r="L322" s="38"/>
      <x:c r="M322" s="38"/>
      <x:c r="N322" s="38"/>
      <x:c r="O322" s="38"/>
      <x:c r="P322" s="38"/>
      <x:c r="Q322" s="38"/>
      <x:c r="R322" s="38"/>
      <x:c r="S322" s="38"/>
      <x:c r="T322" s="38"/>
      <x:c r="U322" s="38"/>
      <x:c r="V322" s="38"/>
      <x:c r="W322" s="38"/>
      <x:c r="X322" s="38"/>
      <x:c r="Y322" s="38"/>
      <x:c r="Z322" s="38"/>
    </x:row>
    <x:row r="323" ht="18" customHeight="1">
      <x:c r="A323" s="38"/>
      <x:c r="B323" s="38"/>
      <x:c r="C323" s="38"/>
      <x:c r="D323" s="38"/>
      <x:c r="E323" s="38"/>
      <x:c r="F323" s="38"/>
      <x:c r="G323" s="38"/>
      <x:c r="H323" s="38"/>
      <x:c r="I323" s="38"/>
      <x:c r="J323" s="38"/>
      <x:c r="K323" s="38"/>
      <x:c r="L323" s="38"/>
      <x:c r="M323" s="38"/>
      <x:c r="N323" s="38"/>
      <x:c r="O323" s="38"/>
      <x:c r="P323" s="38"/>
      <x:c r="Q323" s="38"/>
      <x:c r="R323" s="38"/>
      <x:c r="S323" s="38"/>
      <x:c r="T323" s="38"/>
      <x:c r="U323" s="38"/>
      <x:c r="V323" s="38"/>
      <x:c r="W323" s="38"/>
      <x:c r="X323" s="38"/>
      <x:c r="Y323" s="38"/>
      <x:c r="Z323" s="38"/>
    </x:row>
    <x:row r="324" ht="18" customHeight="1">
      <x:c r="A324" s="38"/>
      <x:c r="B324" s="38"/>
      <x:c r="C324" s="38"/>
      <x:c r="D324" s="38"/>
      <x:c r="E324" s="38"/>
      <x:c r="F324" s="38"/>
      <x:c r="G324" s="38"/>
      <x:c r="H324" s="38"/>
      <x:c r="I324" s="38"/>
      <x:c r="J324" s="38"/>
      <x:c r="K324" s="38"/>
      <x:c r="L324" s="38"/>
      <x:c r="M324" s="38"/>
      <x:c r="N324" s="38"/>
      <x:c r="O324" s="38"/>
      <x:c r="P324" s="38"/>
      <x:c r="Q324" s="38"/>
      <x:c r="R324" s="38"/>
      <x:c r="S324" s="38"/>
      <x:c r="T324" s="38"/>
      <x:c r="U324" s="38"/>
      <x:c r="V324" s="38"/>
      <x:c r="W324" s="38"/>
      <x:c r="X324" s="38"/>
      <x:c r="Y324" s="38"/>
      <x:c r="Z324" s="38"/>
    </x:row>
    <x:row r="325" ht="18" customHeight="1">
      <x:c r="A325" s="38"/>
      <x:c r="B325" s="38"/>
      <x:c r="C325" s="38"/>
      <x:c r="D325" s="38"/>
      <x:c r="E325" s="38"/>
      <x:c r="F325" s="38"/>
      <x:c r="G325" s="38"/>
      <x:c r="H325" s="38"/>
      <x:c r="I325" s="38"/>
      <x:c r="J325" s="38"/>
      <x:c r="K325" s="38"/>
      <x:c r="L325" s="38"/>
      <x:c r="M325" s="38"/>
      <x:c r="N325" s="38"/>
      <x:c r="O325" s="38"/>
      <x:c r="P325" s="38"/>
      <x:c r="Q325" s="38"/>
      <x:c r="R325" s="38"/>
      <x:c r="S325" s="38"/>
      <x:c r="T325" s="38"/>
      <x:c r="U325" s="38"/>
      <x:c r="V325" s="38"/>
      <x:c r="W325" s="38"/>
      <x:c r="X325" s="38"/>
      <x:c r="Y325" s="38"/>
      <x:c r="Z325" s="38"/>
    </x:row>
    <x:row r="326" ht="18" customHeight="1">
      <x:c r="A326" s="38"/>
      <x:c r="B326" s="38"/>
      <x:c r="C326" s="38"/>
      <x:c r="D326" s="38"/>
      <x:c r="E326" s="38"/>
      <x:c r="F326" s="38"/>
      <x:c r="G326" s="38"/>
      <x:c r="H326" s="38"/>
      <x:c r="I326" s="38"/>
      <x:c r="J326" s="38"/>
      <x:c r="K326" s="38"/>
      <x:c r="L326" s="38"/>
      <x:c r="M326" s="38"/>
      <x:c r="N326" s="38"/>
      <x:c r="O326" s="38"/>
      <x:c r="P326" s="38"/>
      <x:c r="Q326" s="38"/>
      <x:c r="R326" s="38"/>
      <x:c r="S326" s="38"/>
      <x:c r="T326" s="38"/>
      <x:c r="U326" s="38"/>
      <x:c r="V326" s="38"/>
      <x:c r="W326" s="38"/>
      <x:c r="X326" s="38"/>
      <x:c r="Y326" s="38"/>
      <x:c r="Z326" s="38"/>
    </x:row>
    <x:row r="327" ht="18" customHeight="1">
      <x:c r="A327" s="38"/>
      <x:c r="B327" s="38"/>
      <x:c r="C327" s="38"/>
      <x:c r="D327" s="38"/>
      <x:c r="E327" s="38"/>
      <x:c r="F327" s="38"/>
      <x:c r="G327" s="38"/>
      <x:c r="H327" s="38"/>
      <x:c r="I327" s="38"/>
      <x:c r="J327" s="38"/>
      <x:c r="K327" s="38"/>
      <x:c r="L327" s="38"/>
      <x:c r="M327" s="38"/>
      <x:c r="N327" s="38"/>
      <x:c r="O327" s="38"/>
      <x:c r="P327" s="38"/>
      <x:c r="Q327" s="38"/>
      <x:c r="R327" s="38"/>
      <x:c r="S327" s="38"/>
      <x:c r="T327" s="38"/>
      <x:c r="U327" s="38"/>
      <x:c r="V327" s="38"/>
      <x:c r="W327" s="38"/>
      <x:c r="X327" s="38"/>
      <x:c r="Y327" s="38"/>
      <x:c r="Z327" s="38"/>
    </x:row>
    <x:row r="328" ht="18" customHeight="1">
      <x:c r="A328" s="38"/>
      <x:c r="B328" s="38"/>
      <x:c r="C328" s="38"/>
      <x:c r="D328" s="38"/>
      <x:c r="E328" s="38"/>
      <x:c r="F328" s="38"/>
      <x:c r="G328" s="38"/>
      <x:c r="H328" s="38"/>
      <x:c r="I328" s="38"/>
      <x:c r="J328" s="38"/>
      <x:c r="K328" s="38"/>
      <x:c r="L328" s="38"/>
      <x:c r="M328" s="38"/>
      <x:c r="N328" s="38"/>
      <x:c r="O328" s="38"/>
      <x:c r="P328" s="38"/>
      <x:c r="Q328" s="38"/>
      <x:c r="R328" s="38"/>
      <x:c r="S328" s="38"/>
      <x:c r="T328" s="38"/>
      <x:c r="U328" s="38"/>
      <x:c r="V328" s="38"/>
      <x:c r="W328" s="38"/>
      <x:c r="X328" s="38"/>
      <x:c r="Y328" s="38"/>
      <x:c r="Z328" s="38"/>
    </x:row>
    <x:row r="329" ht="18" customHeight="1">
      <x:c r="A329" s="38"/>
      <x:c r="B329" s="38"/>
      <x:c r="C329" s="38"/>
      <x:c r="D329" s="38"/>
      <x:c r="E329" s="38"/>
      <x:c r="F329" s="38"/>
      <x:c r="G329" s="38"/>
      <x:c r="H329" s="38"/>
      <x:c r="I329" s="38"/>
      <x:c r="J329" s="38"/>
      <x:c r="K329" s="38"/>
      <x:c r="L329" s="38"/>
      <x:c r="M329" s="38"/>
      <x:c r="N329" s="38"/>
      <x:c r="O329" s="38"/>
      <x:c r="P329" s="38"/>
      <x:c r="Q329" s="38"/>
      <x:c r="R329" s="38"/>
      <x:c r="S329" s="38"/>
      <x:c r="T329" s="38"/>
      <x:c r="U329" s="38"/>
      <x:c r="V329" s="38"/>
      <x:c r="W329" s="38"/>
      <x:c r="X329" s="38"/>
      <x:c r="Y329" s="38"/>
      <x:c r="Z329" s="38"/>
    </x:row>
    <x:row r="330" ht="18" customHeight="1">
      <x:c r="A330" s="38"/>
      <x:c r="B330" s="38"/>
      <x:c r="C330" s="38"/>
      <x:c r="D330" s="38"/>
      <x:c r="E330" s="38"/>
      <x:c r="F330" s="38"/>
      <x:c r="G330" s="38"/>
      <x:c r="H330" s="38"/>
      <x:c r="I330" s="38"/>
      <x:c r="J330" s="38"/>
      <x:c r="K330" s="38"/>
      <x:c r="L330" s="38"/>
      <x:c r="M330" s="38"/>
      <x:c r="N330" s="38"/>
      <x:c r="O330" s="38"/>
      <x:c r="P330" s="38"/>
      <x:c r="Q330" s="38"/>
      <x:c r="R330" s="38"/>
      <x:c r="S330" s="38"/>
      <x:c r="T330" s="38"/>
      <x:c r="U330" s="38"/>
      <x:c r="V330" s="38"/>
      <x:c r="W330" s="38"/>
      <x:c r="X330" s="38"/>
      <x:c r="Y330" s="38"/>
      <x:c r="Z330" s="38"/>
    </x:row>
    <x:row r="331" ht="18" customHeight="1">
      <x:c r="A331" s="38"/>
      <x:c r="B331" s="38"/>
      <x:c r="C331" s="38"/>
      <x:c r="D331" s="38"/>
      <x:c r="E331" s="38"/>
      <x:c r="F331" s="38"/>
      <x:c r="G331" s="38"/>
      <x:c r="H331" s="38"/>
      <x:c r="I331" s="38"/>
      <x:c r="J331" s="38"/>
      <x:c r="K331" s="38"/>
      <x:c r="L331" s="38"/>
      <x:c r="M331" s="38"/>
      <x:c r="N331" s="38"/>
      <x:c r="O331" s="38"/>
      <x:c r="P331" s="38"/>
      <x:c r="Q331" s="38"/>
      <x:c r="R331" s="38"/>
      <x:c r="S331" s="38"/>
      <x:c r="T331" s="38"/>
      <x:c r="U331" s="38"/>
      <x:c r="V331" s="38"/>
      <x:c r="W331" s="38"/>
      <x:c r="X331" s="38"/>
      <x:c r="Y331" s="38"/>
      <x:c r="Z331" s="38"/>
    </x:row>
    <x:row r="332" ht="18" customHeight="1">
      <x:c r="A332" s="38"/>
      <x:c r="B332" s="38"/>
      <x:c r="C332" s="38"/>
      <x:c r="D332" s="38"/>
      <x:c r="E332" s="38"/>
      <x:c r="F332" s="38"/>
      <x:c r="G332" s="38"/>
      <x:c r="H332" s="38"/>
      <x:c r="I332" s="38"/>
      <x:c r="J332" s="38"/>
      <x:c r="K332" s="38"/>
      <x:c r="L332" s="38"/>
      <x:c r="M332" s="38"/>
      <x:c r="N332" s="38"/>
      <x:c r="O332" s="38"/>
      <x:c r="P332" s="38"/>
      <x:c r="Q332" s="38"/>
      <x:c r="R332" s="38"/>
      <x:c r="S332" s="38"/>
      <x:c r="T332" s="38"/>
      <x:c r="U332" s="38"/>
      <x:c r="V332" s="38"/>
      <x:c r="W332" s="38"/>
      <x:c r="X332" s="38"/>
      <x:c r="Y332" s="38"/>
      <x:c r="Z332" s="38"/>
    </x:row>
    <x:row r="333" ht="18" customHeight="1">
      <x:c r="A333" s="38"/>
      <x:c r="B333" s="38"/>
      <x:c r="C333" s="38"/>
      <x:c r="D333" s="38"/>
      <x:c r="E333" s="38"/>
      <x:c r="F333" s="38"/>
      <x:c r="G333" s="38"/>
      <x:c r="H333" s="38"/>
      <x:c r="I333" s="38"/>
      <x:c r="J333" s="38"/>
      <x:c r="K333" s="38"/>
      <x:c r="L333" s="38"/>
      <x:c r="M333" s="38"/>
      <x:c r="N333" s="38"/>
      <x:c r="O333" s="38"/>
      <x:c r="P333" s="38"/>
      <x:c r="Q333" s="38"/>
      <x:c r="R333" s="38"/>
      <x:c r="S333" s="38"/>
      <x:c r="T333" s="38"/>
      <x:c r="U333" s="38"/>
      <x:c r="V333" s="38"/>
      <x:c r="W333" s="38"/>
      <x:c r="X333" s="38"/>
      <x:c r="Y333" s="38"/>
      <x:c r="Z333" s="38"/>
    </x:row>
    <x:row r="334" ht="18" customHeight="1">
      <x:c r="A334" s="38"/>
      <x:c r="B334" s="38"/>
      <x:c r="C334" s="38"/>
      <x:c r="D334" s="38"/>
      <x:c r="E334" s="38"/>
      <x:c r="F334" s="38"/>
      <x:c r="G334" s="38"/>
      <x:c r="H334" s="38"/>
      <x:c r="I334" s="38"/>
      <x:c r="J334" s="38"/>
      <x:c r="K334" s="38"/>
      <x:c r="L334" s="38"/>
      <x:c r="M334" s="38"/>
      <x:c r="N334" s="38"/>
      <x:c r="O334" s="38"/>
      <x:c r="P334" s="38"/>
      <x:c r="Q334" s="38"/>
      <x:c r="R334" s="38"/>
      <x:c r="S334" s="38"/>
      <x:c r="T334" s="38"/>
      <x:c r="U334" s="38"/>
      <x:c r="V334" s="38"/>
      <x:c r="W334" s="38"/>
      <x:c r="X334" s="38"/>
      <x:c r="Y334" s="38"/>
      <x:c r="Z334" s="38"/>
    </x:row>
    <x:row r="335" ht="18" customHeight="1">
      <x:c r="A335" s="38"/>
      <x:c r="B335" s="38"/>
      <x:c r="C335" s="38"/>
      <x:c r="D335" s="38"/>
      <x:c r="E335" s="38"/>
      <x:c r="F335" s="38"/>
      <x:c r="G335" s="38"/>
      <x:c r="H335" s="38"/>
      <x:c r="I335" s="38"/>
      <x:c r="J335" s="38"/>
      <x:c r="K335" s="38"/>
      <x:c r="L335" s="38"/>
      <x:c r="M335" s="38"/>
      <x:c r="N335" s="38"/>
      <x:c r="O335" s="38"/>
      <x:c r="P335" s="38"/>
      <x:c r="Q335" s="38"/>
      <x:c r="R335" s="38"/>
      <x:c r="S335" s="38"/>
      <x:c r="T335" s="38"/>
      <x:c r="U335" s="38"/>
      <x:c r="V335" s="38"/>
      <x:c r="W335" s="38"/>
      <x:c r="X335" s="38"/>
      <x:c r="Y335" s="38"/>
      <x:c r="Z335" s="38"/>
    </x:row>
    <x:row r="336" ht="18" customHeight="1">
      <x:c r="A336" s="38"/>
      <x:c r="B336" s="38"/>
      <x:c r="C336" s="38"/>
      <x:c r="D336" s="38"/>
      <x:c r="E336" s="38"/>
      <x:c r="F336" s="38"/>
      <x:c r="G336" s="38"/>
      <x:c r="H336" s="38"/>
      <x:c r="I336" s="38"/>
      <x:c r="J336" s="38"/>
      <x:c r="K336" s="38"/>
      <x:c r="L336" s="38"/>
      <x:c r="M336" s="38"/>
      <x:c r="N336" s="38"/>
      <x:c r="O336" s="38"/>
      <x:c r="P336" s="38"/>
      <x:c r="Q336" s="38"/>
      <x:c r="R336" s="38"/>
      <x:c r="S336" s="38"/>
      <x:c r="T336" s="38"/>
      <x:c r="U336" s="38"/>
      <x:c r="V336" s="38"/>
      <x:c r="W336" s="38"/>
      <x:c r="X336" s="38"/>
      <x:c r="Y336" s="38"/>
      <x:c r="Z336" s="38"/>
    </x:row>
    <x:row r="337" ht="18" customHeight="1">
      <x:c r="A337" s="38"/>
      <x:c r="B337" s="38"/>
      <x:c r="C337" s="38"/>
      <x:c r="D337" s="38"/>
      <x:c r="E337" s="38"/>
      <x:c r="F337" s="38"/>
      <x:c r="G337" s="38"/>
      <x:c r="H337" s="38"/>
      <x:c r="I337" s="38"/>
      <x:c r="J337" s="38"/>
      <x:c r="K337" s="38"/>
      <x:c r="L337" s="38"/>
      <x:c r="M337" s="38"/>
      <x:c r="N337" s="38"/>
      <x:c r="O337" s="38"/>
      <x:c r="P337" s="38"/>
      <x:c r="Q337" s="38"/>
      <x:c r="R337" s="38"/>
      <x:c r="S337" s="38"/>
      <x:c r="T337" s="38"/>
      <x:c r="U337" s="38"/>
      <x:c r="V337" s="38"/>
      <x:c r="W337" s="38"/>
      <x:c r="X337" s="38"/>
      <x:c r="Y337" s="38"/>
      <x:c r="Z337" s="38"/>
    </x:row>
    <x:row r="338" ht="18" customHeight="1">
      <x:c r="A338" s="38"/>
      <x:c r="B338" s="38"/>
      <x:c r="C338" s="38"/>
      <x:c r="D338" s="38"/>
      <x:c r="E338" s="38"/>
      <x:c r="F338" s="38"/>
      <x:c r="G338" s="38"/>
      <x:c r="H338" s="38"/>
      <x:c r="I338" s="38"/>
      <x:c r="J338" s="38"/>
      <x:c r="K338" s="38"/>
      <x:c r="L338" s="38"/>
      <x:c r="M338" s="38"/>
      <x:c r="N338" s="38"/>
      <x:c r="O338" s="38"/>
      <x:c r="P338" s="38"/>
      <x:c r="Q338" s="38"/>
      <x:c r="R338" s="38"/>
      <x:c r="S338" s="38"/>
      <x:c r="T338" s="38"/>
      <x:c r="U338" s="38"/>
      <x:c r="V338" s="38"/>
      <x:c r="W338" s="38"/>
      <x:c r="X338" s="38"/>
      <x:c r="Y338" s="38"/>
      <x:c r="Z338" s="38"/>
    </x:row>
    <x:row r="339" ht="18" customHeight="1">
      <x:c r="A339" s="38"/>
      <x:c r="B339" s="38"/>
      <x:c r="C339" s="38"/>
      <x:c r="D339" s="38"/>
      <x:c r="E339" s="38"/>
      <x:c r="F339" s="38"/>
      <x:c r="G339" s="38"/>
      <x:c r="H339" s="38"/>
      <x:c r="I339" s="38"/>
      <x:c r="J339" s="38"/>
      <x:c r="K339" s="38"/>
      <x:c r="L339" s="38"/>
      <x:c r="M339" s="38"/>
      <x:c r="N339" s="38"/>
      <x:c r="O339" s="38"/>
      <x:c r="P339" s="38"/>
      <x:c r="Q339" s="38"/>
      <x:c r="R339" s="38"/>
      <x:c r="S339" s="38"/>
      <x:c r="T339" s="38"/>
      <x:c r="U339" s="38"/>
      <x:c r="V339" s="38"/>
      <x:c r="W339" s="38"/>
      <x:c r="X339" s="38"/>
      <x:c r="Y339" s="38"/>
      <x:c r="Z339" s="38"/>
    </x:row>
    <x:row r="340" ht="18" customHeight="1">
      <x:c r="A340" s="38"/>
      <x:c r="B340" s="38"/>
      <x:c r="C340" s="38"/>
      <x:c r="D340" s="38"/>
      <x:c r="E340" s="38"/>
      <x:c r="F340" s="38"/>
      <x:c r="G340" s="38"/>
      <x:c r="H340" s="38"/>
      <x:c r="I340" s="38"/>
      <x:c r="J340" s="38"/>
      <x:c r="K340" s="38"/>
      <x:c r="L340" s="38"/>
      <x:c r="M340" s="38"/>
      <x:c r="N340" s="38"/>
      <x:c r="O340" s="38"/>
      <x:c r="P340" s="38"/>
      <x:c r="Q340" s="38"/>
      <x:c r="R340" s="38"/>
      <x:c r="S340" s="38"/>
      <x:c r="T340" s="38"/>
      <x:c r="U340" s="38"/>
      <x:c r="V340" s="38"/>
      <x:c r="W340" s="38"/>
      <x:c r="X340" s="38"/>
      <x:c r="Y340" s="38"/>
      <x:c r="Z340" s="38"/>
    </x:row>
    <x:row r="341" ht="18" customHeight="1">
      <x:c r="A341" s="38"/>
      <x:c r="B341" s="38"/>
      <x:c r="C341" s="38"/>
      <x:c r="D341" s="38"/>
      <x:c r="E341" s="38"/>
      <x:c r="F341" s="38"/>
      <x:c r="G341" s="38"/>
      <x:c r="H341" s="38"/>
      <x:c r="I341" s="38"/>
      <x:c r="J341" s="38"/>
      <x:c r="K341" s="38"/>
      <x:c r="L341" s="38"/>
      <x:c r="M341" s="38"/>
      <x:c r="N341" s="38"/>
      <x:c r="O341" s="38"/>
      <x:c r="P341" s="38"/>
      <x:c r="Q341" s="38"/>
      <x:c r="R341" s="38"/>
      <x:c r="S341" s="38"/>
      <x:c r="T341" s="38"/>
      <x:c r="U341" s="38"/>
      <x:c r="V341" s="38"/>
      <x:c r="W341" s="38"/>
      <x:c r="X341" s="38"/>
      <x:c r="Y341" s="38"/>
      <x:c r="Z341" s="38"/>
    </x:row>
    <x:row r="342" ht="18" customHeight="1">
      <x:c r="A342" s="38"/>
      <x:c r="B342" s="38"/>
      <x:c r="C342" s="38"/>
      <x:c r="D342" s="38"/>
      <x:c r="E342" s="38"/>
      <x:c r="F342" s="38"/>
      <x:c r="G342" s="38"/>
      <x:c r="H342" s="38"/>
      <x:c r="I342" s="38"/>
      <x:c r="J342" s="38"/>
      <x:c r="K342" s="38"/>
      <x:c r="L342" s="38"/>
      <x:c r="M342" s="38"/>
      <x:c r="N342" s="38"/>
      <x:c r="O342" s="38"/>
      <x:c r="P342" s="38"/>
      <x:c r="Q342" s="38"/>
      <x:c r="R342" s="38"/>
      <x:c r="S342" s="38"/>
      <x:c r="T342" s="38"/>
      <x:c r="U342" s="38"/>
      <x:c r="V342" s="38"/>
      <x:c r="W342" s="38"/>
      <x:c r="X342" s="38"/>
      <x:c r="Y342" s="38"/>
      <x:c r="Z342" s="38"/>
    </x:row>
    <x:row r="343" ht="18" customHeight="1">
      <x:c r="A343" s="38"/>
      <x:c r="B343" s="38"/>
      <x:c r="C343" s="38"/>
      <x:c r="D343" s="38"/>
      <x:c r="E343" s="38"/>
      <x:c r="F343" s="38"/>
      <x:c r="G343" s="38"/>
      <x:c r="H343" s="38"/>
      <x:c r="I343" s="38"/>
      <x:c r="J343" s="38"/>
      <x:c r="K343" s="38"/>
      <x:c r="L343" s="38"/>
      <x:c r="M343" s="38"/>
      <x:c r="N343" s="38"/>
      <x:c r="O343" s="38"/>
      <x:c r="P343" s="38"/>
      <x:c r="Q343" s="38"/>
      <x:c r="R343" s="38"/>
      <x:c r="S343" s="38"/>
      <x:c r="T343" s="38"/>
      <x:c r="U343" s="38"/>
      <x:c r="V343" s="38"/>
      <x:c r="W343" s="38"/>
      <x:c r="X343" s="38"/>
      <x:c r="Y343" s="38"/>
      <x:c r="Z343" s="38"/>
    </x:row>
    <x:row r="344" ht="18" customHeight="1">
      <x:c r="A344" s="38"/>
      <x:c r="B344" s="38"/>
      <x:c r="C344" s="38"/>
      <x:c r="D344" s="38"/>
      <x:c r="E344" s="38"/>
      <x:c r="F344" s="38"/>
      <x:c r="G344" s="38"/>
      <x:c r="H344" s="38"/>
      <x:c r="I344" s="38"/>
      <x:c r="J344" s="38"/>
      <x:c r="K344" s="38"/>
      <x:c r="L344" s="38"/>
      <x:c r="M344" s="38"/>
      <x:c r="N344" s="38"/>
      <x:c r="O344" s="38"/>
      <x:c r="P344" s="38"/>
      <x:c r="Q344" s="38"/>
      <x:c r="R344" s="38"/>
      <x:c r="S344" s="38"/>
      <x:c r="T344" s="38"/>
      <x:c r="U344" s="38"/>
      <x:c r="V344" s="38"/>
      <x:c r="W344" s="38"/>
      <x:c r="X344" s="38"/>
      <x:c r="Y344" s="38"/>
      <x:c r="Z344" s="38"/>
    </x:row>
    <x:row r="345" ht="18" customHeight="1">
      <x:c r="A345" s="38"/>
      <x:c r="B345" s="38"/>
      <x:c r="C345" s="38"/>
      <x:c r="D345" s="38"/>
      <x:c r="E345" s="38"/>
      <x:c r="F345" s="38"/>
      <x:c r="G345" s="38"/>
      <x:c r="H345" s="38"/>
      <x:c r="I345" s="38"/>
      <x:c r="J345" s="38"/>
      <x:c r="K345" s="38"/>
      <x:c r="L345" s="38"/>
      <x:c r="M345" s="38"/>
      <x:c r="N345" s="38"/>
      <x:c r="O345" s="38"/>
      <x:c r="P345" s="38"/>
      <x:c r="Q345" s="38"/>
      <x:c r="R345" s="38"/>
      <x:c r="S345" s="38"/>
      <x:c r="T345" s="38"/>
      <x:c r="U345" s="38"/>
      <x:c r="V345" s="38"/>
      <x:c r="W345" s="38"/>
      <x:c r="X345" s="38"/>
      <x:c r="Y345" s="38"/>
      <x:c r="Z345" s="38"/>
    </x:row>
    <x:row r="346" ht="18" customHeight="1">
      <x:c r="A346" s="38"/>
      <x:c r="B346" s="38"/>
      <x:c r="C346" s="38"/>
      <x:c r="D346" s="38"/>
      <x:c r="E346" s="38"/>
      <x:c r="F346" s="38"/>
      <x:c r="G346" s="38"/>
      <x:c r="H346" s="38"/>
      <x:c r="I346" s="38"/>
      <x:c r="J346" s="38"/>
      <x:c r="K346" s="38"/>
      <x:c r="L346" s="38"/>
      <x:c r="M346" s="38"/>
      <x:c r="N346" s="38"/>
      <x:c r="O346" s="38"/>
      <x:c r="P346" s="38"/>
      <x:c r="Q346" s="38"/>
      <x:c r="R346" s="38"/>
      <x:c r="S346" s="38"/>
      <x:c r="T346" s="38"/>
      <x:c r="U346" s="38"/>
      <x:c r="V346" s="38"/>
      <x:c r="W346" s="38"/>
      <x:c r="X346" s="38"/>
      <x:c r="Y346" s="38"/>
      <x:c r="Z346" s="38"/>
    </x:row>
    <x:row r="347" ht="18" customHeight="1">
      <x:c r="A347" s="38"/>
      <x:c r="B347" s="38"/>
      <x:c r="C347" s="38"/>
      <x:c r="D347" s="38"/>
      <x:c r="E347" s="38"/>
      <x:c r="F347" s="38"/>
      <x:c r="G347" s="38"/>
      <x:c r="H347" s="38"/>
      <x:c r="I347" s="38"/>
      <x:c r="J347" s="38"/>
      <x:c r="K347" s="38"/>
      <x:c r="L347" s="38"/>
      <x:c r="M347" s="38"/>
      <x:c r="N347" s="38"/>
      <x:c r="O347" s="38"/>
      <x:c r="P347" s="38"/>
      <x:c r="Q347" s="38"/>
      <x:c r="R347" s="38"/>
      <x:c r="S347" s="38"/>
      <x:c r="T347" s="38"/>
      <x:c r="U347" s="38"/>
      <x:c r="V347" s="38"/>
      <x:c r="W347" s="38"/>
      <x:c r="X347" s="38"/>
      <x:c r="Y347" s="38"/>
      <x:c r="Z347" s="38"/>
    </x:row>
    <x:row r="348" ht="18" customHeight="1">
      <x:c r="A348" s="38"/>
      <x:c r="B348" s="38"/>
      <x:c r="C348" s="38"/>
      <x:c r="D348" s="38"/>
      <x:c r="E348" s="38"/>
      <x:c r="F348" s="38"/>
      <x:c r="G348" s="38"/>
      <x:c r="H348" s="38"/>
      <x:c r="I348" s="38"/>
      <x:c r="J348" s="38"/>
      <x:c r="K348" s="38"/>
      <x:c r="L348" s="38"/>
      <x:c r="M348" s="38"/>
      <x:c r="N348" s="38"/>
      <x:c r="O348" s="38"/>
      <x:c r="P348" s="38"/>
      <x:c r="Q348" s="38"/>
      <x:c r="R348" s="38"/>
      <x:c r="S348" s="38"/>
      <x:c r="T348" s="38"/>
      <x:c r="U348" s="38"/>
      <x:c r="V348" s="38"/>
      <x:c r="W348" s="38"/>
      <x:c r="X348" s="38"/>
      <x:c r="Y348" s="38"/>
      <x:c r="Z348" s="38"/>
    </x:row>
    <x:row r="349" ht="18" customHeight="1">
      <x:c r="A349" s="38"/>
      <x:c r="B349" s="38"/>
      <x:c r="C349" s="38"/>
      <x:c r="D349" s="38"/>
      <x:c r="E349" s="38"/>
      <x:c r="F349" s="38"/>
      <x:c r="G349" s="38"/>
      <x:c r="H349" s="38"/>
      <x:c r="I349" s="38"/>
      <x:c r="J349" s="38"/>
      <x:c r="K349" s="38"/>
      <x:c r="L349" s="38"/>
      <x:c r="M349" s="38"/>
      <x:c r="N349" s="38"/>
      <x:c r="O349" s="38"/>
      <x:c r="P349" s="38"/>
      <x:c r="Q349" s="38"/>
      <x:c r="R349" s="38"/>
      <x:c r="S349" s="38"/>
      <x:c r="T349" s="38"/>
      <x:c r="U349" s="38"/>
      <x:c r="V349" s="38"/>
      <x:c r="W349" s="38"/>
      <x:c r="X349" s="38"/>
      <x:c r="Y349" s="38"/>
      <x:c r="Z349" s="38"/>
    </x:row>
    <x:row r="350" ht="18" customHeight="1">
      <x:c r="A350" s="38"/>
      <x:c r="B350" s="38"/>
      <x:c r="C350" s="38"/>
      <x:c r="D350" s="38"/>
      <x:c r="E350" s="38"/>
      <x:c r="F350" s="38"/>
      <x:c r="G350" s="38"/>
      <x:c r="H350" s="38"/>
      <x:c r="I350" s="38"/>
      <x:c r="J350" s="38"/>
      <x:c r="K350" s="38"/>
      <x:c r="L350" s="38"/>
      <x:c r="M350" s="38"/>
      <x:c r="N350" s="38"/>
      <x:c r="O350" s="38"/>
      <x:c r="P350" s="38"/>
      <x:c r="Q350" s="38"/>
      <x:c r="R350" s="38"/>
      <x:c r="S350" s="38"/>
      <x:c r="T350" s="38"/>
      <x:c r="U350" s="38"/>
      <x:c r="V350" s="38"/>
      <x:c r="W350" s="38"/>
      <x:c r="X350" s="38"/>
      <x:c r="Y350" s="38"/>
      <x:c r="Z350" s="38"/>
    </x:row>
  </x:sheetData>
  <x:mergeCells>
    <x:mergeCell ref="A1:L1"/>
    <x:mergeCell ref="A2:L2"/>
  </x:mergeCells>
  <x:dataValidations count="6">
    <x:dataValidation type="list" sqref="B5:B500">
      <x:formula1>"PC-VCENTER,PC-ESXI,PC-VSAN,PC-NSX,PC-SDDC-MGR,PC-ARIA-OPS,PC-ARIA-LOGS,PC-ARIA-AUTO,PC-HCX,PC-TANZU,PC-IAM,PC-DATA-PROTECTION"</x:formula1>
    </x:dataValidation>
    <x:dataValidation type="list" sqref="F5:F500">
      <x:formula1>"Feature,Functionality"</x:formula1>
    </x:dataValidation>
    <x:dataValidation type="list" sqref="G5:G500">
      <x:formula1>"Yes,No"</x:formula1>
    </x:dataValidation>
    <x:dataValidation type="list" sqref="H5:H500">
      <x:formula1>"Low,Medium,High,Critical"</x:formula1>
    </x:dataValidation>
    <x:dataValidation type="list" sqref="I5:I500">
      <x:formula1>"None,Low,Medium,High"</x:formula1>
    </x:dataValidation>
    <x:dataValidation type="list" sqref="K5:K500">
      <x:formula1>"Draft,Review,Approved,Deprecated"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20de7c427e842b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0" hidden="0" customWidth="1"/>
    <x:col min="4" max="4" width="32" hidden="0" customWidth="1"/>
    <x:col min="5" max="5" width="54" hidden="0" customWidth="1"/>
    <x:col min="6" max="6" width="44" hidden="0" customWidth="1"/>
    <x:col min="7" max="7" width="44" hidden="0" customWidth="1"/>
    <x:col min="8" max="8" width="54" hidden="0" customWidth="1"/>
    <x:col min="9" max="9" width="24" hidden="0" customWidth="1"/>
    <x:col min="10" max="10" width="26" hidden="0" customWidth="1"/>
    <x:col min="11" max="11" width="18" hidden="0" customWidth="1"/>
    <x:col min="12" max="12" width="22" hidden="0" customWidth="1"/>
    <x:col min="13" max="13" width="42" hidden="0" customWidth="1"/>
    <x:col min="14" max="14" width="48" hidden="0" customWidth="1"/>
    <x:col min="15" max="15" width="18" hidden="0" customWidth="1"/>
    <x:col min="16" max="16" width="12" hidden="0" customWidth="1"/>
    <x:col min="17" max="17" width="14" hidden="0" customWidth="1"/>
    <x:col min="18" max="18" width="40" hidden="0" customWidth="1"/>
  </x:cols>
  <x:sheetData>
    <x:row r="1" ht="28" customHeight="1">
      <x:c r="A1" s="5" t="str">
        <x:v>03 — Major Functionalities</x:v>
      </x:c>
    </x:row>
    <x:row r="2" ht="32" customHeight="1">
      <x:c r="A2" s="14" t="str">
        <x:v>Governed analysis-level records. Target volume: about 240 rows. Functionality_ID is the scoring and parity control key.</x:v>
      </x:c>
    </x:row>
    <x:row r="4" ht="36" customHeight="1">
      <x:c r="A4" s="24" t="str">
        <x:v>Functionality_ID</x:v>
      </x:c>
      <x:c r="B4" s="24" t="str">
        <x:v>Feature_ID</x:v>
      </x:c>
      <x:c r="C4" s="24" t="str">
        <x:v>Product_ID</x:v>
      </x:c>
      <x:c r="D4" s="24" t="str">
        <x:v>Functionality_Name</x:v>
      </x:c>
      <x:c r="E4" s="24" t="str">
        <x:v>Functionality_Description</x:v>
      </x:c>
      <x:c r="F4" s="24" t="str">
        <x:v>Includes</x:v>
      </x:c>
      <x:c r="G4" s="24" t="str">
        <x:v>Excludes</x:v>
      </x:c>
      <x:c r="H4" s="24" t="str">
        <x:v>Comparator_Evaluation_Question</x:v>
      </x:c>
      <x:c r="I4" s="24" t="str">
        <x:v>Primary_Analysis_Domain</x:v>
      </x:c>
      <x:c r="J4" s="24" t="str">
        <x:v>Capability_Group</x:v>
      </x:c>
      <x:c r="K4" s="24" t="str">
        <x:v>Default_Criticality</x:v>
      </x:c>
      <x:c r="L4" s="24" t="str">
        <x:v>Sovereignty_Relevance</x:v>
      </x:c>
      <x:c r="M4" s="24" t="str">
        <x:v>Evidence_Expectation</x:v>
      </x:c>
      <x:c r="N4" s="24" t="str">
        <x:v>AI_Seed_Search_Terms</x:v>
      </x:c>
      <x:c r="O4" s="24" t="str">
        <x:v>Assessment_Enabled</x:v>
      </x:c>
      <x:c r="P4" s="24" t="str">
        <x:v>Sort_Order</x:v>
      </x:c>
      <x:c r="Q4" s="24" t="str">
        <x:v>Status</x:v>
      </x:c>
      <x:c r="R4" s="24" t="str">
        <x:v>Notes</x:v>
      </x:c>
      <x:c r="S4" s="38"/>
      <x:c r="T4" s="38"/>
      <x:c r="U4" s="38"/>
      <x:c r="V4" s="38"/>
      <x:c r="W4" s="38"/>
      <x:c r="X4" s="38"/>
      <x:c r="Y4" s="38"/>
      <x:c r="Z4" s="38"/>
    </x:row>
    <x:row r="5" ht="18" customHeight="1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  <x:c r="S5" s="38"/>
      <x:c r="T5" s="38"/>
      <x:c r="U5" s="38"/>
      <x:c r="V5" s="38"/>
      <x:c r="W5" s="38"/>
      <x:c r="X5" s="38"/>
      <x:c r="Y5" s="38"/>
      <x:c r="Z5" s="38"/>
    </x:row>
    <x:row r="6" ht="18" customHeight="1">
      <x:c r="A6" s="32"/>
      <x:c r="B6" s="32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  <x:c r="O6" s="32"/>
      <x:c r="P6" s="32"/>
      <x:c r="Q6" s="32"/>
      <x:c r="R6" s="32"/>
      <x:c r="S6" s="38"/>
      <x:c r="T6" s="38"/>
      <x:c r="U6" s="38"/>
      <x:c r="V6" s="38"/>
      <x:c r="W6" s="38"/>
      <x:c r="X6" s="38"/>
      <x:c r="Y6" s="38"/>
      <x:c r="Z6" s="38"/>
    </x:row>
    <x:row r="7" ht="18" customHeight="1">
      <x:c r="A7" s="32"/>
      <x:c r="B7" s="32"/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  <x:c r="S7" s="38"/>
      <x:c r="T7" s="38"/>
      <x:c r="U7" s="38"/>
      <x:c r="V7" s="38"/>
      <x:c r="W7" s="38"/>
      <x:c r="X7" s="38"/>
      <x:c r="Y7" s="38"/>
      <x:c r="Z7" s="38"/>
    </x:row>
    <x:row r="8" ht="18" customHeight="1">
      <x:c r="A8" s="32"/>
      <x:c r="B8" s="32"/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  <x:c r="S8" s="38"/>
      <x:c r="T8" s="38"/>
      <x:c r="U8" s="38"/>
      <x:c r="V8" s="38"/>
      <x:c r="W8" s="38"/>
      <x:c r="X8" s="38"/>
      <x:c r="Y8" s="38"/>
      <x:c r="Z8" s="38"/>
    </x:row>
    <x:row r="9" ht="18" customHeight="1">
      <x:c r="A9" s="32"/>
      <x:c r="B9" s="32"/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  <x:c r="S9" s="38"/>
      <x:c r="T9" s="38"/>
      <x:c r="U9" s="38"/>
      <x:c r="V9" s="38"/>
      <x:c r="W9" s="38"/>
      <x:c r="X9" s="38"/>
      <x:c r="Y9" s="38"/>
      <x:c r="Z9" s="38"/>
    </x:row>
    <x:row r="10" ht="18" customHeight="1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  <x:c r="S10" s="38"/>
      <x:c r="T10" s="38"/>
      <x:c r="U10" s="38"/>
      <x:c r="V10" s="38"/>
      <x:c r="W10" s="38"/>
      <x:c r="X10" s="38"/>
      <x:c r="Y10" s="38"/>
      <x:c r="Z10" s="38"/>
    </x:row>
    <x:row r="11" ht="18" customHeight="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  <x:c r="S11" s="38"/>
      <x:c r="T11" s="38"/>
      <x:c r="U11" s="38"/>
      <x:c r="V11" s="38"/>
      <x:c r="W11" s="38"/>
      <x:c r="X11" s="38"/>
      <x:c r="Y11" s="38"/>
      <x:c r="Z11" s="38"/>
    </x:row>
    <x:row r="12" ht="18" customHeight="1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  <x:c r="S12" s="38"/>
      <x:c r="T12" s="38"/>
      <x:c r="U12" s="38"/>
      <x:c r="V12" s="38"/>
      <x:c r="W12" s="38"/>
      <x:c r="X12" s="38"/>
      <x:c r="Y12" s="38"/>
      <x:c r="Z12" s="38"/>
    </x:row>
    <x:row r="13" ht="18" customHeight="1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  <x:c r="S13" s="38"/>
      <x:c r="T13" s="38"/>
      <x:c r="U13" s="38"/>
      <x:c r="V13" s="38"/>
      <x:c r="W13" s="38"/>
      <x:c r="X13" s="38"/>
      <x:c r="Y13" s="38"/>
      <x:c r="Z13" s="38"/>
    </x:row>
    <x:row r="14" ht="18" customHeight="1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  <x:c r="S14" s="38"/>
      <x:c r="T14" s="38"/>
      <x:c r="U14" s="38"/>
      <x:c r="V14" s="38"/>
      <x:c r="W14" s="38"/>
      <x:c r="X14" s="38"/>
      <x:c r="Y14" s="38"/>
      <x:c r="Z14" s="38"/>
    </x:row>
    <x:row r="15" ht="18" customHeight="1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  <x:c r="S15" s="38"/>
      <x:c r="T15" s="38"/>
      <x:c r="U15" s="38"/>
      <x:c r="V15" s="38"/>
      <x:c r="W15" s="38"/>
      <x:c r="X15" s="38"/>
      <x:c r="Y15" s="38"/>
      <x:c r="Z15" s="38"/>
    </x:row>
    <x:row r="16" ht="18" customHeight="1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  <x:c r="S16" s="38"/>
      <x:c r="T16" s="38"/>
      <x:c r="U16" s="38"/>
      <x:c r="V16" s="38"/>
      <x:c r="W16" s="38"/>
      <x:c r="X16" s="38"/>
      <x:c r="Y16" s="38"/>
      <x:c r="Z16" s="38"/>
    </x:row>
    <x:row r="17" ht="18" customHeight="1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  <x:c r="L17" s="32"/>
      <x:c r="M17" s="32"/>
      <x:c r="N17" s="32"/>
      <x:c r="O17" s="32"/>
      <x:c r="P17" s="32"/>
      <x:c r="Q17" s="32"/>
      <x:c r="R17" s="32"/>
      <x:c r="S17" s="38"/>
      <x:c r="T17" s="38"/>
      <x:c r="U17" s="38"/>
      <x:c r="V17" s="38"/>
      <x:c r="W17" s="38"/>
      <x:c r="X17" s="38"/>
      <x:c r="Y17" s="38"/>
      <x:c r="Z17" s="38"/>
    </x:row>
    <x:row r="18" ht="18" customHeight="1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  <x:c r="N18" s="32"/>
      <x:c r="O18" s="32"/>
      <x:c r="P18" s="32"/>
      <x:c r="Q18" s="32"/>
      <x:c r="R18" s="32"/>
      <x:c r="S18" s="38"/>
      <x:c r="T18" s="38"/>
      <x:c r="U18" s="38"/>
      <x:c r="V18" s="38"/>
      <x:c r="W18" s="38"/>
      <x:c r="X18" s="38"/>
      <x:c r="Y18" s="38"/>
      <x:c r="Z18" s="38"/>
    </x:row>
    <x:row r="19" ht="18" customHeight="1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  <x:c r="N19" s="32"/>
      <x:c r="O19" s="32"/>
      <x:c r="P19" s="32"/>
      <x:c r="Q19" s="32"/>
      <x:c r="R19" s="32"/>
      <x:c r="S19" s="38"/>
      <x:c r="T19" s="38"/>
      <x:c r="U19" s="38"/>
      <x:c r="V19" s="38"/>
      <x:c r="W19" s="38"/>
      <x:c r="X19" s="38"/>
      <x:c r="Y19" s="38"/>
      <x:c r="Z19" s="38"/>
    </x:row>
    <x:row r="20" ht="18" customHeight="1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  <x:c r="N20" s="32"/>
      <x:c r="O20" s="32"/>
      <x:c r="P20" s="32"/>
      <x:c r="Q20" s="32"/>
      <x:c r="R20" s="32"/>
      <x:c r="S20" s="38"/>
      <x:c r="T20" s="38"/>
      <x:c r="U20" s="38"/>
      <x:c r="V20" s="38"/>
      <x:c r="W20" s="38"/>
      <x:c r="X20" s="38"/>
      <x:c r="Y20" s="38"/>
      <x:c r="Z20" s="38"/>
    </x:row>
    <x:row r="21" ht="18" customHeight="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  <x:c r="N21" s="32"/>
      <x:c r="O21" s="32"/>
      <x:c r="P21" s="32"/>
      <x:c r="Q21" s="32"/>
      <x:c r="R21" s="32"/>
      <x:c r="S21" s="38"/>
      <x:c r="T21" s="38"/>
      <x:c r="U21" s="38"/>
      <x:c r="V21" s="38"/>
      <x:c r="W21" s="38"/>
      <x:c r="X21" s="38"/>
      <x:c r="Y21" s="38"/>
      <x:c r="Z21" s="38"/>
    </x:row>
    <x:row r="22" ht="18" customHeight="1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  <x:c r="O22" s="32"/>
      <x:c r="P22" s="32"/>
      <x:c r="Q22" s="32"/>
      <x:c r="R22" s="32"/>
      <x:c r="S22" s="38"/>
      <x:c r="T22" s="38"/>
      <x:c r="U22" s="38"/>
      <x:c r="V22" s="38"/>
      <x:c r="W22" s="38"/>
      <x:c r="X22" s="38"/>
      <x:c r="Y22" s="38"/>
      <x:c r="Z22" s="38"/>
    </x:row>
    <x:row r="23" ht="18" customHeight="1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  <x:c r="O23" s="32"/>
      <x:c r="P23" s="32"/>
      <x:c r="Q23" s="32"/>
      <x:c r="R23" s="32"/>
      <x:c r="S23" s="38"/>
      <x:c r="T23" s="38"/>
      <x:c r="U23" s="38"/>
      <x:c r="V23" s="38"/>
      <x:c r="W23" s="38"/>
      <x:c r="X23" s="38"/>
      <x:c r="Y23" s="38"/>
      <x:c r="Z23" s="38"/>
    </x:row>
    <x:row r="24" ht="18" customHeight="1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  <x:c r="R24" s="32"/>
      <x:c r="S24" s="38"/>
      <x:c r="T24" s="38"/>
      <x:c r="U24" s="38"/>
      <x:c r="V24" s="38"/>
      <x:c r="W24" s="38"/>
      <x:c r="X24" s="38"/>
      <x:c r="Y24" s="38"/>
      <x:c r="Z24" s="38"/>
    </x:row>
    <x:row r="25" ht="18" customHeight="1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  <x:c r="O25" s="32"/>
      <x:c r="P25" s="32"/>
      <x:c r="Q25" s="32"/>
      <x:c r="R25" s="32"/>
      <x:c r="S25" s="38"/>
      <x:c r="T25" s="38"/>
      <x:c r="U25" s="38"/>
      <x:c r="V25" s="38"/>
      <x:c r="W25" s="38"/>
      <x:c r="X25" s="38"/>
      <x:c r="Y25" s="38"/>
      <x:c r="Z25" s="38"/>
    </x:row>
    <x:row r="26" ht="18" customHeight="1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  <x:c r="O26" s="32"/>
      <x:c r="P26" s="32"/>
      <x:c r="Q26" s="32"/>
      <x:c r="R26" s="32"/>
      <x:c r="S26" s="38"/>
      <x:c r="T26" s="38"/>
      <x:c r="U26" s="38"/>
      <x:c r="V26" s="38"/>
      <x:c r="W26" s="38"/>
      <x:c r="X26" s="38"/>
      <x:c r="Y26" s="38"/>
      <x:c r="Z26" s="38"/>
    </x:row>
    <x:row r="27" ht="18" customHeight="1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  <x:c r="O27" s="32"/>
      <x:c r="P27" s="32"/>
      <x:c r="Q27" s="32"/>
      <x:c r="R27" s="32"/>
      <x:c r="S27" s="38"/>
      <x:c r="T27" s="38"/>
      <x:c r="U27" s="38"/>
      <x:c r="V27" s="38"/>
      <x:c r="W27" s="38"/>
      <x:c r="X27" s="38"/>
      <x:c r="Y27" s="38"/>
      <x:c r="Z27" s="38"/>
    </x:row>
    <x:row r="28" ht="18" customHeight="1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  <x:c r="O28" s="32"/>
      <x:c r="P28" s="32"/>
      <x:c r="Q28" s="32"/>
      <x:c r="R28" s="32"/>
      <x:c r="S28" s="38"/>
      <x:c r="T28" s="38"/>
      <x:c r="U28" s="38"/>
      <x:c r="V28" s="38"/>
      <x:c r="W28" s="38"/>
      <x:c r="X28" s="38"/>
      <x:c r="Y28" s="38"/>
      <x:c r="Z28" s="38"/>
    </x:row>
    <x:row r="29" ht="18" customHeight="1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  <x:c r="O29" s="32"/>
      <x:c r="P29" s="32"/>
      <x:c r="Q29" s="32"/>
      <x:c r="R29" s="32"/>
      <x:c r="S29" s="38"/>
      <x:c r="T29" s="38"/>
      <x:c r="U29" s="38"/>
      <x:c r="V29" s="38"/>
      <x:c r="W29" s="38"/>
      <x:c r="X29" s="38"/>
      <x:c r="Y29" s="38"/>
      <x:c r="Z29" s="38"/>
    </x:row>
    <x:row r="30" ht="18" customHeight="1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  <x:c r="O30" s="32"/>
      <x:c r="P30" s="32"/>
      <x:c r="Q30" s="32"/>
      <x:c r="R30" s="32"/>
      <x:c r="S30" s="38"/>
      <x:c r="T30" s="38"/>
      <x:c r="U30" s="38"/>
      <x:c r="V30" s="38"/>
      <x:c r="W30" s="38"/>
      <x:c r="X30" s="38"/>
      <x:c r="Y30" s="38"/>
      <x:c r="Z30" s="38"/>
    </x:row>
    <x:row r="31" ht="18" customHeight="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  <x:c r="O31" s="32"/>
      <x:c r="P31" s="32"/>
      <x:c r="Q31" s="32"/>
      <x:c r="R31" s="32"/>
      <x:c r="S31" s="38"/>
      <x:c r="T31" s="38"/>
      <x:c r="U31" s="38"/>
      <x:c r="V31" s="38"/>
      <x:c r="W31" s="38"/>
      <x:c r="X31" s="38"/>
      <x:c r="Y31" s="38"/>
      <x:c r="Z31" s="38"/>
    </x:row>
    <x:row r="32" ht="18" customHeight="1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8"/>
      <x:c r="T32" s="38"/>
      <x:c r="U32" s="38"/>
      <x:c r="V32" s="38"/>
      <x:c r="W32" s="38"/>
      <x:c r="X32" s="38"/>
      <x:c r="Y32" s="38"/>
      <x:c r="Z32" s="38"/>
    </x:row>
    <x:row r="33" ht="18" customHeight="1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  <x:c r="O33" s="32"/>
      <x:c r="P33" s="32"/>
      <x:c r="Q33" s="32"/>
      <x:c r="R33" s="32"/>
      <x:c r="S33" s="38"/>
      <x:c r="T33" s="38"/>
      <x:c r="U33" s="38"/>
      <x:c r="V33" s="38"/>
      <x:c r="W33" s="38"/>
      <x:c r="X33" s="38"/>
      <x:c r="Y33" s="38"/>
      <x:c r="Z33" s="38"/>
    </x:row>
    <x:row r="34" ht="18" customHeight="1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  <x:c r="O34" s="32"/>
      <x:c r="P34" s="32"/>
      <x:c r="Q34" s="32"/>
      <x:c r="R34" s="32"/>
      <x:c r="S34" s="38"/>
      <x:c r="T34" s="38"/>
      <x:c r="U34" s="38"/>
      <x:c r="V34" s="38"/>
      <x:c r="W34" s="38"/>
      <x:c r="X34" s="38"/>
      <x:c r="Y34" s="38"/>
      <x:c r="Z34" s="38"/>
    </x:row>
    <x:row r="35" ht="18" customHeight="1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  <x:c r="P35" s="32"/>
      <x:c r="Q35" s="32"/>
      <x:c r="R35" s="32"/>
      <x:c r="S35" s="38"/>
      <x:c r="T35" s="38"/>
      <x:c r="U35" s="38"/>
      <x:c r="V35" s="38"/>
      <x:c r="W35" s="38"/>
      <x:c r="X35" s="38"/>
      <x:c r="Y35" s="38"/>
      <x:c r="Z35" s="38"/>
    </x:row>
    <x:row r="36" ht="18" customHeight="1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  <x:c r="O36" s="32"/>
      <x:c r="P36" s="32"/>
      <x:c r="Q36" s="32"/>
      <x:c r="R36" s="32"/>
      <x:c r="S36" s="38"/>
      <x:c r="T36" s="38"/>
      <x:c r="U36" s="38"/>
      <x:c r="V36" s="38"/>
      <x:c r="W36" s="38"/>
      <x:c r="X36" s="38"/>
      <x:c r="Y36" s="38"/>
      <x:c r="Z36" s="38"/>
    </x:row>
    <x:row r="37" ht="18" customHeight="1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  <x:c r="S37" s="38"/>
      <x:c r="T37" s="38"/>
      <x:c r="U37" s="38"/>
      <x:c r="V37" s="38"/>
      <x:c r="W37" s="38"/>
      <x:c r="X37" s="38"/>
      <x:c r="Y37" s="38"/>
      <x:c r="Z37" s="38"/>
    </x:row>
    <x:row r="38" ht="18" customHeight="1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  <x:c r="S38" s="38"/>
      <x:c r="T38" s="38"/>
      <x:c r="U38" s="38"/>
      <x:c r="V38" s="38"/>
      <x:c r="W38" s="38"/>
      <x:c r="X38" s="38"/>
      <x:c r="Y38" s="38"/>
      <x:c r="Z38" s="38"/>
    </x:row>
    <x:row r="39" ht="18" customHeight="1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  <x:c r="S39" s="38"/>
      <x:c r="T39" s="38"/>
      <x:c r="U39" s="38"/>
      <x:c r="V39" s="38"/>
      <x:c r="W39" s="38"/>
      <x:c r="X39" s="38"/>
      <x:c r="Y39" s="38"/>
      <x:c r="Z39" s="38"/>
    </x:row>
    <x:row r="40" ht="18" customHeight="1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  <x:c r="S40" s="38"/>
      <x:c r="T40" s="38"/>
      <x:c r="U40" s="38"/>
      <x:c r="V40" s="38"/>
      <x:c r="W40" s="38"/>
      <x:c r="X40" s="38"/>
      <x:c r="Y40" s="38"/>
      <x:c r="Z40" s="38"/>
    </x:row>
    <x:row r="41" ht="18" customHeight="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  <x:c r="S41" s="38"/>
      <x:c r="T41" s="38"/>
      <x:c r="U41" s="38"/>
      <x:c r="V41" s="38"/>
      <x:c r="W41" s="38"/>
      <x:c r="X41" s="38"/>
      <x:c r="Y41" s="38"/>
      <x:c r="Z41" s="38"/>
    </x:row>
    <x:row r="42" ht="18" customHeight="1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  <x:c r="S42" s="38"/>
      <x:c r="T42" s="38"/>
      <x:c r="U42" s="38"/>
      <x:c r="V42" s="38"/>
      <x:c r="W42" s="38"/>
      <x:c r="X42" s="38"/>
      <x:c r="Y42" s="38"/>
      <x:c r="Z42" s="38"/>
    </x:row>
    <x:row r="43" ht="18" customHeight="1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  <x:c r="S43" s="38"/>
      <x:c r="T43" s="38"/>
      <x:c r="U43" s="38"/>
      <x:c r="V43" s="38"/>
      <x:c r="W43" s="38"/>
      <x:c r="X43" s="38"/>
      <x:c r="Y43" s="38"/>
      <x:c r="Z43" s="38"/>
    </x:row>
    <x:row r="44" ht="18" customHeight="1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  <x:c r="S44" s="38"/>
      <x:c r="T44" s="38"/>
      <x:c r="U44" s="38"/>
      <x:c r="V44" s="38"/>
      <x:c r="W44" s="38"/>
      <x:c r="X44" s="38"/>
      <x:c r="Y44" s="38"/>
      <x:c r="Z44" s="38"/>
    </x:row>
    <x:row r="45" ht="18" customHeight="1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  <x:c r="S45" s="38"/>
      <x:c r="T45" s="38"/>
      <x:c r="U45" s="38"/>
      <x:c r="V45" s="38"/>
      <x:c r="W45" s="38"/>
      <x:c r="X45" s="38"/>
      <x:c r="Y45" s="38"/>
      <x:c r="Z45" s="38"/>
    </x:row>
    <x:row r="46" ht="18" customHeight="1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  <x:c r="S46" s="38"/>
      <x:c r="T46" s="38"/>
      <x:c r="U46" s="38"/>
      <x:c r="V46" s="38"/>
      <x:c r="W46" s="38"/>
      <x:c r="X46" s="38"/>
      <x:c r="Y46" s="38"/>
      <x:c r="Z46" s="38"/>
    </x:row>
    <x:row r="47" ht="18" customHeight="1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  <x:c r="S47" s="38"/>
      <x:c r="T47" s="38"/>
      <x:c r="U47" s="38"/>
      <x:c r="V47" s="38"/>
      <x:c r="W47" s="38"/>
      <x:c r="X47" s="38"/>
      <x:c r="Y47" s="38"/>
      <x:c r="Z47" s="38"/>
    </x:row>
    <x:row r="48" ht="18" customHeight="1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  <x:c r="S48" s="38"/>
      <x:c r="T48" s="38"/>
      <x:c r="U48" s="38"/>
      <x:c r="V48" s="38"/>
      <x:c r="W48" s="38"/>
      <x:c r="X48" s="38"/>
      <x:c r="Y48" s="38"/>
      <x:c r="Z48" s="38"/>
    </x:row>
    <x:row r="49" ht="18" customHeight="1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  <x:c r="S49" s="38"/>
      <x:c r="T49" s="38"/>
      <x:c r="U49" s="38"/>
      <x:c r="V49" s="38"/>
      <x:c r="W49" s="38"/>
      <x:c r="X49" s="38"/>
      <x:c r="Y49" s="38"/>
      <x:c r="Z49" s="38"/>
    </x:row>
    <x:row r="50" ht="18" customHeight="1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  <x:c r="S50" s="38"/>
      <x:c r="T50" s="38"/>
      <x:c r="U50" s="38"/>
      <x:c r="V50" s="38"/>
      <x:c r="W50" s="38"/>
      <x:c r="X50" s="38"/>
      <x:c r="Y50" s="38"/>
      <x:c r="Z50" s="38"/>
    </x:row>
    <x:row r="51" ht="18" customHeight="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  <x:c r="S51" s="38"/>
      <x:c r="T51" s="38"/>
      <x:c r="U51" s="38"/>
      <x:c r="V51" s="38"/>
      <x:c r="W51" s="38"/>
      <x:c r="X51" s="38"/>
      <x:c r="Y51" s="38"/>
      <x:c r="Z51" s="38"/>
    </x:row>
    <x:row r="52" ht="18" customHeight="1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  <x:c r="S52" s="38"/>
      <x:c r="T52" s="38"/>
      <x:c r="U52" s="38"/>
      <x:c r="V52" s="38"/>
      <x:c r="W52" s="38"/>
      <x:c r="X52" s="38"/>
      <x:c r="Y52" s="38"/>
      <x:c r="Z52" s="38"/>
    </x:row>
    <x:row r="53" ht="18" customHeight="1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  <x:c r="S53" s="38"/>
      <x:c r="T53" s="38"/>
      <x:c r="U53" s="38"/>
      <x:c r="V53" s="38"/>
      <x:c r="W53" s="38"/>
      <x:c r="X53" s="38"/>
      <x:c r="Y53" s="38"/>
      <x:c r="Z53" s="38"/>
    </x:row>
    <x:row r="54" ht="18" customHeight="1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  <x:c r="S54" s="38"/>
      <x:c r="T54" s="38"/>
      <x:c r="U54" s="38"/>
      <x:c r="V54" s="38"/>
      <x:c r="W54" s="38"/>
      <x:c r="X54" s="38"/>
      <x:c r="Y54" s="38"/>
      <x:c r="Z54" s="38"/>
    </x:row>
    <x:row r="55" ht="18" customHeight="1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  <x:c r="S55" s="38"/>
      <x:c r="T55" s="38"/>
      <x:c r="U55" s="38"/>
      <x:c r="V55" s="38"/>
      <x:c r="W55" s="38"/>
      <x:c r="X55" s="38"/>
      <x:c r="Y55" s="38"/>
      <x:c r="Z55" s="38"/>
    </x:row>
    <x:row r="56" ht="18" customHeight="1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  <x:c r="S56" s="38"/>
      <x:c r="T56" s="38"/>
      <x:c r="U56" s="38"/>
      <x:c r="V56" s="38"/>
      <x:c r="W56" s="38"/>
      <x:c r="X56" s="38"/>
      <x:c r="Y56" s="38"/>
      <x:c r="Z56" s="38"/>
    </x:row>
    <x:row r="57" ht="18" customHeight="1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  <x:c r="S57" s="38"/>
      <x:c r="T57" s="38"/>
      <x:c r="U57" s="38"/>
      <x:c r="V57" s="38"/>
      <x:c r="W57" s="38"/>
      <x:c r="X57" s="38"/>
      <x:c r="Y57" s="38"/>
      <x:c r="Z57" s="38"/>
    </x:row>
    <x:row r="58" ht="18" customHeight="1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  <x:c r="S58" s="38"/>
      <x:c r="T58" s="38"/>
      <x:c r="U58" s="38"/>
      <x:c r="V58" s="38"/>
      <x:c r="W58" s="38"/>
      <x:c r="X58" s="38"/>
      <x:c r="Y58" s="38"/>
      <x:c r="Z58" s="38"/>
    </x:row>
    <x:row r="59" ht="18" customHeight="1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  <x:c r="L59" s="32"/>
      <x:c r="M59" s="32"/>
      <x:c r="N59" s="32"/>
      <x:c r="O59" s="32"/>
      <x:c r="P59" s="32"/>
      <x:c r="Q59" s="32"/>
      <x:c r="R59" s="32"/>
      <x:c r="S59" s="38"/>
      <x:c r="T59" s="38"/>
      <x:c r="U59" s="38"/>
      <x:c r="V59" s="38"/>
      <x:c r="W59" s="38"/>
      <x:c r="X59" s="38"/>
      <x:c r="Y59" s="38"/>
      <x:c r="Z59" s="38"/>
    </x:row>
    <x:row r="60" ht="18" customHeight="1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  <x:c r="L60" s="32"/>
      <x:c r="M60" s="32"/>
      <x:c r="N60" s="32"/>
      <x:c r="O60" s="32"/>
      <x:c r="P60" s="32"/>
      <x:c r="Q60" s="32"/>
      <x:c r="R60" s="32"/>
      <x:c r="S60" s="38"/>
      <x:c r="T60" s="38"/>
      <x:c r="U60" s="38"/>
      <x:c r="V60" s="38"/>
      <x:c r="W60" s="38"/>
      <x:c r="X60" s="38"/>
      <x:c r="Y60" s="38"/>
      <x:c r="Z60" s="38"/>
    </x:row>
    <x:row r="61" ht="18" customHeight="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  <x:c r="L61" s="32"/>
      <x:c r="M61" s="32"/>
      <x:c r="N61" s="32"/>
      <x:c r="O61" s="32"/>
      <x:c r="P61" s="32"/>
      <x:c r="Q61" s="32"/>
      <x:c r="R61" s="32"/>
      <x:c r="S61" s="38"/>
      <x:c r="T61" s="38"/>
      <x:c r="U61" s="38"/>
      <x:c r="V61" s="38"/>
      <x:c r="W61" s="38"/>
      <x:c r="X61" s="38"/>
      <x:c r="Y61" s="38"/>
      <x:c r="Z61" s="38"/>
    </x:row>
    <x:row r="62" ht="18" customHeight="1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  <x:c r="L62" s="32"/>
      <x:c r="M62" s="32"/>
      <x:c r="N62" s="32"/>
      <x:c r="O62" s="32"/>
      <x:c r="P62" s="32"/>
      <x:c r="Q62" s="32"/>
      <x:c r="R62" s="32"/>
      <x:c r="S62" s="38"/>
      <x:c r="T62" s="38"/>
      <x:c r="U62" s="38"/>
      <x:c r="V62" s="38"/>
      <x:c r="W62" s="38"/>
      <x:c r="X62" s="38"/>
      <x:c r="Y62" s="38"/>
      <x:c r="Z62" s="38"/>
    </x:row>
    <x:row r="63" ht="18" customHeight="1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  <x:c r="L63" s="32"/>
      <x:c r="M63" s="32"/>
      <x:c r="N63" s="32"/>
      <x:c r="O63" s="32"/>
      <x:c r="P63" s="32"/>
      <x:c r="Q63" s="32"/>
      <x:c r="R63" s="32"/>
      <x:c r="S63" s="38"/>
      <x:c r="T63" s="38"/>
      <x:c r="U63" s="38"/>
      <x:c r="V63" s="38"/>
      <x:c r="W63" s="38"/>
      <x:c r="X63" s="38"/>
      <x:c r="Y63" s="38"/>
      <x:c r="Z63" s="38"/>
    </x:row>
    <x:row r="64" ht="18" customHeight="1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  <x:c r="L64" s="32"/>
      <x:c r="M64" s="32"/>
      <x:c r="N64" s="32"/>
      <x:c r="O64" s="32"/>
      <x:c r="P64" s="32"/>
      <x:c r="Q64" s="32"/>
      <x:c r="R64" s="32"/>
      <x:c r="S64" s="38"/>
      <x:c r="T64" s="38"/>
      <x:c r="U64" s="38"/>
      <x:c r="V64" s="38"/>
      <x:c r="W64" s="38"/>
      <x:c r="X64" s="38"/>
      <x:c r="Y64" s="38"/>
      <x:c r="Z64" s="38"/>
    </x:row>
    <x:row r="65" ht="18" customHeight="1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  <x:c r="L65" s="32"/>
      <x:c r="M65" s="32"/>
      <x:c r="N65" s="32"/>
      <x:c r="O65" s="32"/>
      <x:c r="P65" s="32"/>
      <x:c r="Q65" s="32"/>
      <x:c r="R65" s="32"/>
      <x:c r="S65" s="38"/>
      <x:c r="T65" s="38"/>
      <x:c r="U65" s="38"/>
      <x:c r="V65" s="38"/>
      <x:c r="W65" s="38"/>
      <x:c r="X65" s="38"/>
      <x:c r="Y65" s="38"/>
      <x:c r="Z65" s="38"/>
    </x:row>
    <x:row r="66" ht="18" customHeight="1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/>
      <x:c r="M66" s="32"/>
      <x:c r="N66" s="32"/>
      <x:c r="O66" s="32"/>
      <x:c r="P66" s="32"/>
      <x:c r="Q66" s="32"/>
      <x:c r="R66" s="32"/>
      <x:c r="S66" s="38"/>
      <x:c r="T66" s="38"/>
      <x:c r="U66" s="38"/>
      <x:c r="V66" s="38"/>
      <x:c r="W66" s="38"/>
      <x:c r="X66" s="38"/>
      <x:c r="Y66" s="38"/>
      <x:c r="Z66" s="38"/>
    </x:row>
    <x:row r="67" ht="18" customHeight="1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  <x:c r="L67" s="32"/>
      <x:c r="M67" s="32"/>
      <x:c r="N67" s="32"/>
      <x:c r="O67" s="32"/>
      <x:c r="P67" s="32"/>
      <x:c r="Q67" s="32"/>
      <x:c r="R67" s="32"/>
      <x:c r="S67" s="38"/>
      <x:c r="T67" s="38"/>
      <x:c r="U67" s="38"/>
      <x:c r="V67" s="38"/>
      <x:c r="W67" s="38"/>
      <x:c r="X67" s="38"/>
      <x:c r="Y67" s="38"/>
      <x:c r="Z67" s="38"/>
    </x:row>
    <x:row r="68" ht="18" customHeight="1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  <x:c r="L68" s="32"/>
      <x:c r="M68" s="32"/>
      <x:c r="N68" s="32"/>
      <x:c r="O68" s="32"/>
      <x:c r="P68" s="32"/>
      <x:c r="Q68" s="32"/>
      <x:c r="R68" s="32"/>
      <x:c r="S68" s="38"/>
      <x:c r="T68" s="38"/>
      <x:c r="U68" s="38"/>
      <x:c r="V68" s="38"/>
      <x:c r="W68" s="38"/>
      <x:c r="X68" s="38"/>
      <x:c r="Y68" s="38"/>
      <x:c r="Z68" s="38"/>
    </x:row>
    <x:row r="69" ht="18" customHeight="1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  <x:c r="L69" s="32"/>
      <x:c r="M69" s="32"/>
      <x:c r="N69" s="32"/>
      <x:c r="O69" s="32"/>
      <x:c r="P69" s="32"/>
      <x:c r="Q69" s="32"/>
      <x:c r="R69" s="32"/>
      <x:c r="S69" s="38"/>
      <x:c r="T69" s="38"/>
      <x:c r="U69" s="38"/>
      <x:c r="V69" s="38"/>
      <x:c r="W69" s="38"/>
      <x:c r="X69" s="38"/>
      <x:c r="Y69" s="38"/>
      <x:c r="Z69" s="38"/>
    </x:row>
    <x:row r="70" ht="18" customHeight="1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  <x:c r="L70" s="32"/>
      <x:c r="M70" s="32"/>
      <x:c r="N70" s="32"/>
      <x:c r="O70" s="32"/>
      <x:c r="P70" s="32"/>
      <x:c r="Q70" s="32"/>
      <x:c r="R70" s="32"/>
      <x:c r="S70" s="38"/>
      <x:c r="T70" s="38"/>
      <x:c r="U70" s="38"/>
      <x:c r="V70" s="38"/>
      <x:c r="W70" s="38"/>
      <x:c r="X70" s="38"/>
      <x:c r="Y70" s="38"/>
      <x:c r="Z70" s="38"/>
    </x:row>
    <x:row r="71" ht="18" customHeight="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  <x:c r="L71" s="32"/>
      <x:c r="M71" s="32"/>
      <x:c r="N71" s="32"/>
      <x:c r="O71" s="32"/>
      <x:c r="P71" s="32"/>
      <x:c r="Q71" s="32"/>
      <x:c r="R71" s="32"/>
      <x:c r="S71" s="38"/>
      <x:c r="T71" s="38"/>
      <x:c r="U71" s="38"/>
      <x:c r="V71" s="38"/>
      <x:c r="W71" s="38"/>
      <x:c r="X71" s="38"/>
      <x:c r="Y71" s="38"/>
      <x:c r="Z71" s="38"/>
    </x:row>
    <x:row r="72" ht="18" customHeight="1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  <x:c r="L72" s="32"/>
      <x:c r="M72" s="32"/>
      <x:c r="N72" s="32"/>
      <x:c r="O72" s="32"/>
      <x:c r="P72" s="32"/>
      <x:c r="Q72" s="32"/>
      <x:c r="R72" s="32"/>
      <x:c r="S72" s="38"/>
      <x:c r="T72" s="38"/>
      <x:c r="U72" s="38"/>
      <x:c r="V72" s="38"/>
      <x:c r="W72" s="38"/>
      <x:c r="X72" s="38"/>
      <x:c r="Y72" s="38"/>
      <x:c r="Z72" s="38"/>
    </x:row>
    <x:row r="73" ht="18" customHeight="1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  <x:c r="L73" s="32"/>
      <x:c r="M73" s="32"/>
      <x:c r="N73" s="32"/>
      <x:c r="O73" s="32"/>
      <x:c r="P73" s="32"/>
      <x:c r="Q73" s="32"/>
      <x:c r="R73" s="32"/>
      <x:c r="S73" s="38"/>
      <x:c r="T73" s="38"/>
      <x:c r="U73" s="38"/>
      <x:c r="V73" s="38"/>
      <x:c r="W73" s="38"/>
      <x:c r="X73" s="38"/>
      <x:c r="Y73" s="38"/>
      <x:c r="Z73" s="38"/>
    </x:row>
    <x:row r="74" ht="18" customHeight="1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  <x:c r="L74" s="32"/>
      <x:c r="M74" s="32"/>
      <x:c r="N74" s="32"/>
      <x:c r="O74" s="32"/>
      <x:c r="P74" s="32"/>
      <x:c r="Q74" s="32"/>
      <x:c r="R74" s="32"/>
      <x:c r="S74" s="38"/>
      <x:c r="T74" s="38"/>
      <x:c r="U74" s="38"/>
      <x:c r="V74" s="38"/>
      <x:c r="W74" s="38"/>
      <x:c r="X74" s="38"/>
      <x:c r="Y74" s="38"/>
      <x:c r="Z74" s="38"/>
    </x:row>
    <x:row r="75" ht="18" customHeight="1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  <x:c r="L75" s="32"/>
      <x:c r="M75" s="32"/>
      <x:c r="N75" s="32"/>
      <x:c r="O75" s="32"/>
      <x:c r="P75" s="32"/>
      <x:c r="Q75" s="32"/>
      <x:c r="R75" s="32"/>
      <x:c r="S75" s="38"/>
      <x:c r="T75" s="38"/>
      <x:c r="U75" s="38"/>
      <x:c r="V75" s="38"/>
      <x:c r="W75" s="38"/>
      <x:c r="X75" s="38"/>
      <x:c r="Y75" s="38"/>
      <x:c r="Z75" s="38"/>
    </x:row>
    <x:row r="76" ht="18" customHeight="1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  <x:c r="L76" s="32"/>
      <x:c r="M76" s="32"/>
      <x:c r="N76" s="32"/>
      <x:c r="O76" s="32"/>
      <x:c r="P76" s="32"/>
      <x:c r="Q76" s="32"/>
      <x:c r="R76" s="32"/>
      <x:c r="S76" s="38"/>
      <x:c r="T76" s="38"/>
      <x:c r="U76" s="38"/>
      <x:c r="V76" s="38"/>
      <x:c r="W76" s="38"/>
      <x:c r="X76" s="38"/>
      <x:c r="Y76" s="38"/>
      <x:c r="Z76" s="38"/>
    </x:row>
    <x:row r="77" ht="18" customHeight="1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  <x:c r="L77" s="32"/>
      <x:c r="M77" s="32"/>
      <x:c r="N77" s="32"/>
      <x:c r="O77" s="32"/>
      <x:c r="P77" s="32"/>
      <x:c r="Q77" s="32"/>
      <x:c r="R77" s="32"/>
      <x:c r="S77" s="38"/>
      <x:c r="T77" s="38"/>
      <x:c r="U77" s="38"/>
      <x:c r="V77" s="38"/>
      <x:c r="W77" s="38"/>
      <x:c r="X77" s="38"/>
      <x:c r="Y77" s="38"/>
      <x:c r="Z77" s="38"/>
    </x:row>
    <x:row r="78" ht="18" customHeight="1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  <x:c r="L78" s="32"/>
      <x:c r="M78" s="32"/>
      <x:c r="N78" s="32"/>
      <x:c r="O78" s="32"/>
      <x:c r="P78" s="32"/>
      <x:c r="Q78" s="32"/>
      <x:c r="R78" s="32"/>
      <x:c r="S78" s="38"/>
      <x:c r="T78" s="38"/>
      <x:c r="U78" s="38"/>
      <x:c r="V78" s="38"/>
      <x:c r="W78" s="38"/>
      <x:c r="X78" s="38"/>
      <x:c r="Y78" s="38"/>
      <x:c r="Z78" s="38"/>
    </x:row>
    <x:row r="79" ht="18" customHeight="1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  <x:c r="L79" s="32"/>
      <x:c r="M79" s="32"/>
      <x:c r="N79" s="32"/>
      <x:c r="O79" s="32"/>
      <x:c r="P79" s="32"/>
      <x:c r="Q79" s="32"/>
      <x:c r="R79" s="32"/>
      <x:c r="S79" s="38"/>
      <x:c r="T79" s="38"/>
      <x:c r="U79" s="38"/>
      <x:c r="V79" s="38"/>
      <x:c r="W79" s="38"/>
      <x:c r="X79" s="38"/>
      <x:c r="Y79" s="38"/>
      <x:c r="Z79" s="38"/>
    </x:row>
    <x:row r="80" ht="18" customHeight="1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  <x:c r="L80" s="32"/>
      <x:c r="M80" s="32"/>
      <x:c r="N80" s="32"/>
      <x:c r="O80" s="32"/>
      <x:c r="P80" s="32"/>
      <x:c r="Q80" s="32"/>
      <x:c r="R80" s="32"/>
      <x:c r="S80" s="38"/>
      <x:c r="T80" s="38"/>
      <x:c r="U80" s="38"/>
      <x:c r="V80" s="38"/>
      <x:c r="W80" s="38"/>
      <x:c r="X80" s="38"/>
      <x:c r="Y80" s="38"/>
      <x:c r="Z80" s="38"/>
    </x:row>
    <x:row r="81" ht="18" customHeight="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  <x:c r="L81" s="32"/>
      <x:c r="M81" s="32"/>
      <x:c r="N81" s="32"/>
      <x:c r="O81" s="32"/>
      <x:c r="P81" s="32"/>
      <x:c r="Q81" s="32"/>
      <x:c r="R81" s="32"/>
      <x:c r="S81" s="38"/>
      <x:c r="T81" s="38"/>
      <x:c r="U81" s="38"/>
      <x:c r="V81" s="38"/>
      <x:c r="W81" s="38"/>
      <x:c r="X81" s="38"/>
      <x:c r="Y81" s="38"/>
      <x:c r="Z81" s="38"/>
    </x:row>
    <x:row r="82" ht="18" customHeight="1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  <x:c r="L82" s="32"/>
      <x:c r="M82" s="32"/>
      <x:c r="N82" s="32"/>
      <x:c r="O82" s="32"/>
      <x:c r="P82" s="32"/>
      <x:c r="Q82" s="32"/>
      <x:c r="R82" s="32"/>
      <x:c r="S82" s="38"/>
      <x:c r="T82" s="38"/>
      <x:c r="U82" s="38"/>
      <x:c r="V82" s="38"/>
      <x:c r="W82" s="38"/>
      <x:c r="X82" s="38"/>
      <x:c r="Y82" s="38"/>
      <x:c r="Z82" s="38"/>
    </x:row>
    <x:row r="83" ht="18" customHeight="1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  <x:c r="L83" s="32"/>
      <x:c r="M83" s="32"/>
      <x:c r="N83" s="32"/>
      <x:c r="O83" s="32"/>
      <x:c r="P83" s="32"/>
      <x:c r="Q83" s="32"/>
      <x:c r="R83" s="32"/>
      <x:c r="S83" s="38"/>
      <x:c r="T83" s="38"/>
      <x:c r="U83" s="38"/>
      <x:c r="V83" s="38"/>
      <x:c r="W83" s="38"/>
      <x:c r="X83" s="38"/>
      <x:c r="Y83" s="38"/>
      <x:c r="Z83" s="38"/>
    </x:row>
    <x:row r="84" ht="18" customHeight="1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  <x:c r="L84" s="32"/>
      <x:c r="M84" s="32"/>
      <x:c r="N84" s="32"/>
      <x:c r="O84" s="32"/>
      <x:c r="P84" s="32"/>
      <x:c r="Q84" s="32"/>
      <x:c r="R84" s="32"/>
      <x:c r="S84" s="38"/>
      <x:c r="T84" s="38"/>
      <x:c r="U84" s="38"/>
      <x:c r="V84" s="38"/>
      <x:c r="W84" s="38"/>
      <x:c r="X84" s="38"/>
      <x:c r="Y84" s="38"/>
      <x:c r="Z84" s="38"/>
    </x:row>
    <x:row r="85" ht="18" customHeight="1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  <x:c r="L85" s="32"/>
      <x:c r="M85" s="32"/>
      <x:c r="N85" s="32"/>
      <x:c r="O85" s="32"/>
      <x:c r="P85" s="32"/>
      <x:c r="Q85" s="32"/>
      <x:c r="R85" s="32"/>
      <x:c r="S85" s="38"/>
      <x:c r="T85" s="38"/>
      <x:c r="U85" s="38"/>
      <x:c r="V85" s="38"/>
      <x:c r="W85" s="38"/>
      <x:c r="X85" s="38"/>
      <x:c r="Y85" s="38"/>
      <x:c r="Z85" s="38"/>
    </x:row>
    <x:row r="86" ht="18" customHeight="1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  <x:c r="L86" s="32"/>
      <x:c r="M86" s="32"/>
      <x:c r="N86" s="32"/>
      <x:c r="O86" s="32"/>
      <x:c r="P86" s="32"/>
      <x:c r="Q86" s="32"/>
      <x:c r="R86" s="32"/>
      <x:c r="S86" s="38"/>
      <x:c r="T86" s="38"/>
      <x:c r="U86" s="38"/>
      <x:c r="V86" s="38"/>
      <x:c r="W86" s="38"/>
      <x:c r="X86" s="38"/>
      <x:c r="Y86" s="38"/>
      <x:c r="Z86" s="38"/>
    </x:row>
    <x:row r="87" ht="18" customHeight="1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  <x:c r="L87" s="32"/>
      <x:c r="M87" s="32"/>
      <x:c r="N87" s="32"/>
      <x:c r="O87" s="32"/>
      <x:c r="P87" s="32"/>
      <x:c r="Q87" s="32"/>
      <x:c r="R87" s="32"/>
      <x:c r="S87" s="38"/>
      <x:c r="T87" s="38"/>
      <x:c r="U87" s="38"/>
      <x:c r="V87" s="38"/>
      <x:c r="W87" s="38"/>
      <x:c r="X87" s="38"/>
      <x:c r="Y87" s="38"/>
      <x:c r="Z87" s="38"/>
    </x:row>
    <x:row r="88" ht="18" customHeight="1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  <x:c r="L88" s="32"/>
      <x:c r="M88" s="32"/>
      <x:c r="N88" s="32"/>
      <x:c r="O88" s="32"/>
      <x:c r="P88" s="32"/>
      <x:c r="Q88" s="32"/>
      <x:c r="R88" s="32"/>
      <x:c r="S88" s="38"/>
      <x:c r="T88" s="38"/>
      <x:c r="U88" s="38"/>
      <x:c r="V88" s="38"/>
      <x:c r="W88" s="38"/>
      <x:c r="X88" s="38"/>
      <x:c r="Y88" s="38"/>
      <x:c r="Z88" s="38"/>
    </x:row>
    <x:row r="89" ht="18" customHeight="1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  <x:c r="L89" s="32"/>
      <x:c r="M89" s="32"/>
      <x:c r="N89" s="32"/>
      <x:c r="O89" s="32"/>
      <x:c r="P89" s="32"/>
      <x:c r="Q89" s="32"/>
      <x:c r="R89" s="32"/>
      <x:c r="S89" s="38"/>
      <x:c r="T89" s="38"/>
      <x:c r="U89" s="38"/>
      <x:c r="V89" s="38"/>
      <x:c r="W89" s="38"/>
      <x:c r="X89" s="38"/>
      <x:c r="Y89" s="38"/>
      <x:c r="Z89" s="38"/>
    </x:row>
    <x:row r="90" ht="18" customHeight="1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  <x:c r="L90" s="32"/>
      <x:c r="M90" s="32"/>
      <x:c r="N90" s="32"/>
      <x:c r="O90" s="32"/>
      <x:c r="P90" s="32"/>
      <x:c r="Q90" s="32"/>
      <x:c r="R90" s="32"/>
      <x:c r="S90" s="38"/>
      <x:c r="T90" s="38"/>
      <x:c r="U90" s="38"/>
      <x:c r="V90" s="38"/>
      <x:c r="W90" s="38"/>
      <x:c r="X90" s="38"/>
      <x:c r="Y90" s="38"/>
      <x:c r="Z90" s="38"/>
    </x:row>
    <x:row r="91" ht="18" customHeight="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  <x:c r="L91" s="32"/>
      <x:c r="M91" s="32"/>
      <x:c r="N91" s="32"/>
      <x:c r="O91" s="32"/>
      <x:c r="P91" s="32"/>
      <x:c r="Q91" s="32"/>
      <x:c r="R91" s="32"/>
      <x:c r="S91" s="38"/>
      <x:c r="T91" s="38"/>
      <x:c r="U91" s="38"/>
      <x:c r="V91" s="38"/>
      <x:c r="W91" s="38"/>
      <x:c r="X91" s="38"/>
      <x:c r="Y91" s="38"/>
      <x:c r="Z91" s="38"/>
    </x:row>
    <x:row r="92" ht="18" customHeight="1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  <x:c r="L92" s="32"/>
      <x:c r="M92" s="32"/>
      <x:c r="N92" s="32"/>
      <x:c r="O92" s="32"/>
      <x:c r="P92" s="32"/>
      <x:c r="Q92" s="32"/>
      <x:c r="R92" s="32"/>
      <x:c r="S92" s="38"/>
      <x:c r="T92" s="38"/>
      <x:c r="U92" s="38"/>
      <x:c r="V92" s="38"/>
      <x:c r="W92" s="38"/>
      <x:c r="X92" s="38"/>
      <x:c r="Y92" s="38"/>
      <x:c r="Z92" s="38"/>
    </x:row>
    <x:row r="93" ht="18" customHeight="1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  <x:c r="L93" s="32"/>
      <x:c r="M93" s="32"/>
      <x:c r="N93" s="32"/>
      <x:c r="O93" s="32"/>
      <x:c r="P93" s="32"/>
      <x:c r="Q93" s="32"/>
      <x:c r="R93" s="32"/>
      <x:c r="S93" s="38"/>
      <x:c r="T93" s="38"/>
      <x:c r="U93" s="38"/>
      <x:c r="V93" s="38"/>
      <x:c r="W93" s="38"/>
      <x:c r="X93" s="38"/>
      <x:c r="Y93" s="38"/>
      <x:c r="Z93" s="38"/>
    </x:row>
    <x:row r="94" ht="18" customHeight="1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  <x:c r="L94" s="32"/>
      <x:c r="M94" s="32"/>
      <x:c r="N94" s="32"/>
      <x:c r="O94" s="32"/>
      <x:c r="P94" s="32"/>
      <x:c r="Q94" s="32"/>
      <x:c r="R94" s="32"/>
      <x:c r="S94" s="38"/>
      <x:c r="T94" s="38"/>
      <x:c r="U94" s="38"/>
      <x:c r="V94" s="38"/>
      <x:c r="W94" s="38"/>
      <x:c r="X94" s="38"/>
      <x:c r="Y94" s="38"/>
      <x:c r="Z94" s="38"/>
    </x:row>
    <x:row r="95" ht="18" customHeight="1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  <x:c r="L95" s="32"/>
      <x:c r="M95" s="32"/>
      <x:c r="N95" s="32"/>
      <x:c r="O95" s="32"/>
      <x:c r="P95" s="32"/>
      <x:c r="Q95" s="32"/>
      <x:c r="R95" s="32"/>
      <x:c r="S95" s="38"/>
      <x:c r="T95" s="38"/>
      <x:c r="U95" s="38"/>
      <x:c r="V95" s="38"/>
      <x:c r="W95" s="38"/>
      <x:c r="X95" s="38"/>
      <x:c r="Y95" s="38"/>
      <x:c r="Z95" s="38"/>
    </x:row>
    <x:row r="96" ht="18" customHeight="1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  <x:c r="L96" s="32"/>
      <x:c r="M96" s="32"/>
      <x:c r="N96" s="32"/>
      <x:c r="O96" s="32"/>
      <x:c r="P96" s="32"/>
      <x:c r="Q96" s="32"/>
      <x:c r="R96" s="32"/>
      <x:c r="S96" s="38"/>
      <x:c r="T96" s="38"/>
      <x:c r="U96" s="38"/>
      <x:c r="V96" s="38"/>
      <x:c r="W96" s="38"/>
      <x:c r="X96" s="38"/>
      <x:c r="Y96" s="38"/>
      <x:c r="Z96" s="38"/>
    </x:row>
    <x:row r="97" ht="18" customHeight="1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  <x:c r="L97" s="32"/>
      <x:c r="M97" s="32"/>
      <x:c r="N97" s="32"/>
      <x:c r="O97" s="32"/>
      <x:c r="P97" s="32"/>
      <x:c r="Q97" s="32"/>
      <x:c r="R97" s="32"/>
      <x:c r="S97" s="38"/>
      <x:c r="T97" s="38"/>
      <x:c r="U97" s="38"/>
      <x:c r="V97" s="38"/>
      <x:c r="W97" s="38"/>
      <x:c r="X97" s="38"/>
      <x:c r="Y97" s="38"/>
      <x:c r="Z97" s="38"/>
    </x:row>
    <x:row r="98" ht="18" customHeight="1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  <x:c r="L98" s="32"/>
      <x:c r="M98" s="32"/>
      <x:c r="N98" s="32"/>
      <x:c r="O98" s="32"/>
      <x:c r="P98" s="32"/>
      <x:c r="Q98" s="32"/>
      <x:c r="R98" s="32"/>
      <x:c r="S98" s="38"/>
      <x:c r="T98" s="38"/>
      <x:c r="U98" s="38"/>
      <x:c r="V98" s="38"/>
      <x:c r="W98" s="38"/>
      <x:c r="X98" s="38"/>
      <x:c r="Y98" s="38"/>
      <x:c r="Z98" s="38"/>
    </x:row>
    <x:row r="99" ht="18" customHeight="1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  <x:c r="L99" s="32"/>
      <x:c r="M99" s="32"/>
      <x:c r="N99" s="32"/>
      <x:c r="O99" s="32"/>
      <x:c r="P99" s="32"/>
      <x:c r="Q99" s="32"/>
      <x:c r="R99" s="32"/>
      <x:c r="S99" s="38"/>
      <x:c r="T99" s="38"/>
      <x:c r="U99" s="38"/>
      <x:c r="V99" s="38"/>
      <x:c r="W99" s="38"/>
      <x:c r="X99" s="38"/>
      <x:c r="Y99" s="38"/>
      <x:c r="Z99" s="38"/>
    </x:row>
    <x:row r="100" ht="18" customHeight="1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  <x:c r="L100" s="32"/>
      <x:c r="M100" s="32"/>
      <x:c r="N100" s="32"/>
      <x:c r="O100" s="32"/>
      <x:c r="P100" s="32"/>
      <x:c r="Q100" s="32"/>
      <x:c r="R100" s="32"/>
      <x:c r="S100" s="38"/>
      <x:c r="T100" s="38"/>
      <x:c r="U100" s="38"/>
      <x:c r="V100" s="38"/>
      <x:c r="W100" s="38"/>
      <x:c r="X100" s="38"/>
      <x:c r="Y100" s="38"/>
      <x:c r="Z100" s="38"/>
    </x:row>
    <x:row r="101" ht="18" customHeight="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  <x:c r="L101" s="32"/>
      <x:c r="M101" s="32"/>
      <x:c r="N101" s="32"/>
      <x:c r="O101" s="32"/>
      <x:c r="P101" s="32"/>
      <x:c r="Q101" s="32"/>
      <x:c r="R101" s="32"/>
      <x:c r="S101" s="38"/>
      <x:c r="T101" s="38"/>
      <x:c r="U101" s="38"/>
      <x:c r="V101" s="38"/>
      <x:c r="W101" s="38"/>
      <x:c r="X101" s="38"/>
      <x:c r="Y101" s="38"/>
      <x:c r="Z101" s="38"/>
    </x:row>
    <x:row r="102" ht="18" customHeight="1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  <x:c r="L102" s="32"/>
      <x:c r="M102" s="32"/>
      <x:c r="N102" s="32"/>
      <x:c r="O102" s="32"/>
      <x:c r="P102" s="32"/>
      <x:c r="Q102" s="32"/>
      <x:c r="R102" s="32"/>
      <x:c r="S102" s="38"/>
      <x:c r="T102" s="38"/>
      <x:c r="U102" s="38"/>
      <x:c r="V102" s="38"/>
      <x:c r="W102" s="38"/>
      <x:c r="X102" s="38"/>
      <x:c r="Y102" s="38"/>
      <x:c r="Z102" s="38"/>
    </x:row>
    <x:row r="103" ht="18" customHeight="1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  <x:c r="L103" s="32"/>
      <x:c r="M103" s="32"/>
      <x:c r="N103" s="32"/>
      <x:c r="O103" s="32"/>
      <x:c r="P103" s="32"/>
      <x:c r="Q103" s="32"/>
      <x:c r="R103" s="32"/>
      <x:c r="S103" s="38"/>
      <x:c r="T103" s="38"/>
      <x:c r="U103" s="38"/>
      <x:c r="V103" s="38"/>
      <x:c r="W103" s="38"/>
      <x:c r="X103" s="38"/>
      <x:c r="Y103" s="38"/>
      <x:c r="Z103" s="38"/>
    </x:row>
    <x:row r="104" ht="18" customHeight="1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  <x:c r="L104" s="32"/>
      <x:c r="M104" s="32"/>
      <x:c r="N104" s="32"/>
      <x:c r="O104" s="32"/>
      <x:c r="P104" s="32"/>
      <x:c r="Q104" s="32"/>
      <x:c r="R104" s="32"/>
      <x:c r="S104" s="38"/>
      <x:c r="T104" s="38"/>
      <x:c r="U104" s="38"/>
      <x:c r="V104" s="38"/>
      <x:c r="W104" s="38"/>
      <x:c r="X104" s="38"/>
      <x:c r="Y104" s="38"/>
      <x:c r="Z104" s="38"/>
    </x:row>
    <x:row r="105" ht="18" customHeight="1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  <x:c r="L105" s="32"/>
      <x:c r="M105" s="32"/>
      <x:c r="N105" s="32"/>
      <x:c r="O105" s="32"/>
      <x:c r="P105" s="32"/>
      <x:c r="Q105" s="32"/>
      <x:c r="R105" s="32"/>
      <x:c r="S105" s="38"/>
      <x:c r="T105" s="38"/>
      <x:c r="U105" s="38"/>
      <x:c r="V105" s="38"/>
      <x:c r="W105" s="38"/>
      <x:c r="X105" s="38"/>
      <x:c r="Y105" s="38"/>
      <x:c r="Z105" s="38"/>
    </x:row>
    <x:row r="106" ht="18" customHeight="1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  <x:c r="L106" s="32"/>
      <x:c r="M106" s="32"/>
      <x:c r="N106" s="32"/>
      <x:c r="O106" s="32"/>
      <x:c r="P106" s="32"/>
      <x:c r="Q106" s="32"/>
      <x:c r="R106" s="32"/>
      <x:c r="S106" s="38"/>
      <x:c r="T106" s="38"/>
      <x:c r="U106" s="38"/>
      <x:c r="V106" s="38"/>
      <x:c r="W106" s="38"/>
      <x:c r="X106" s="38"/>
      <x:c r="Y106" s="38"/>
      <x:c r="Z106" s="38"/>
    </x:row>
    <x:row r="107" ht="18" customHeight="1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  <x:c r="L107" s="32"/>
      <x:c r="M107" s="32"/>
      <x:c r="N107" s="32"/>
      <x:c r="O107" s="32"/>
      <x:c r="P107" s="32"/>
      <x:c r="Q107" s="32"/>
      <x:c r="R107" s="32"/>
      <x:c r="S107" s="38"/>
      <x:c r="T107" s="38"/>
      <x:c r="U107" s="38"/>
      <x:c r="V107" s="38"/>
      <x:c r="W107" s="38"/>
      <x:c r="X107" s="38"/>
      <x:c r="Y107" s="38"/>
      <x:c r="Z107" s="38"/>
    </x:row>
    <x:row r="108" ht="18" customHeight="1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  <x:c r="L108" s="32"/>
      <x:c r="M108" s="32"/>
      <x:c r="N108" s="32"/>
      <x:c r="O108" s="32"/>
      <x:c r="P108" s="32"/>
      <x:c r="Q108" s="32"/>
      <x:c r="R108" s="32"/>
      <x:c r="S108" s="38"/>
      <x:c r="T108" s="38"/>
      <x:c r="U108" s="38"/>
      <x:c r="V108" s="38"/>
      <x:c r="W108" s="38"/>
      <x:c r="X108" s="38"/>
      <x:c r="Y108" s="38"/>
      <x:c r="Z108" s="38"/>
    </x:row>
    <x:row r="109" ht="18" customHeight="1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  <x:c r="L109" s="32"/>
      <x:c r="M109" s="32"/>
      <x:c r="N109" s="32"/>
      <x:c r="O109" s="32"/>
      <x:c r="P109" s="32"/>
      <x:c r="Q109" s="32"/>
      <x:c r="R109" s="32"/>
      <x:c r="S109" s="38"/>
      <x:c r="T109" s="38"/>
      <x:c r="U109" s="38"/>
      <x:c r="V109" s="38"/>
      <x:c r="W109" s="38"/>
      <x:c r="X109" s="38"/>
      <x:c r="Y109" s="38"/>
      <x:c r="Z109" s="38"/>
    </x:row>
    <x:row r="110" ht="18" customHeight="1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  <x:c r="L110" s="32"/>
      <x:c r="M110" s="32"/>
      <x:c r="N110" s="32"/>
      <x:c r="O110" s="32"/>
      <x:c r="P110" s="32"/>
      <x:c r="Q110" s="32"/>
      <x:c r="R110" s="32"/>
      <x:c r="S110" s="38"/>
      <x:c r="T110" s="38"/>
      <x:c r="U110" s="38"/>
      <x:c r="V110" s="38"/>
      <x:c r="W110" s="38"/>
      <x:c r="X110" s="38"/>
      <x:c r="Y110" s="38"/>
      <x:c r="Z110" s="38"/>
    </x:row>
    <x:row r="111" ht="18" customHeight="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  <x:c r="L111" s="32"/>
      <x:c r="M111" s="32"/>
      <x:c r="N111" s="32"/>
      <x:c r="O111" s="32"/>
      <x:c r="P111" s="32"/>
      <x:c r="Q111" s="32"/>
      <x:c r="R111" s="32"/>
      <x:c r="S111" s="38"/>
      <x:c r="T111" s="38"/>
      <x:c r="U111" s="38"/>
      <x:c r="V111" s="38"/>
      <x:c r="W111" s="38"/>
      <x:c r="X111" s="38"/>
      <x:c r="Y111" s="38"/>
      <x:c r="Z111" s="38"/>
    </x:row>
    <x:row r="112" ht="18" customHeight="1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  <x:c r="L112" s="32"/>
      <x:c r="M112" s="32"/>
      <x:c r="N112" s="32"/>
      <x:c r="O112" s="32"/>
      <x:c r="P112" s="32"/>
      <x:c r="Q112" s="32"/>
      <x:c r="R112" s="32"/>
      <x:c r="S112" s="38"/>
      <x:c r="T112" s="38"/>
      <x:c r="U112" s="38"/>
      <x:c r="V112" s="38"/>
      <x:c r="W112" s="38"/>
      <x:c r="X112" s="38"/>
      <x:c r="Y112" s="38"/>
      <x:c r="Z112" s="38"/>
    </x:row>
    <x:row r="113" ht="18" customHeight="1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  <x:c r="L113" s="32"/>
      <x:c r="M113" s="32"/>
      <x:c r="N113" s="32"/>
      <x:c r="O113" s="32"/>
      <x:c r="P113" s="32"/>
      <x:c r="Q113" s="32"/>
      <x:c r="R113" s="32"/>
      <x:c r="S113" s="38"/>
      <x:c r="T113" s="38"/>
      <x:c r="U113" s="38"/>
      <x:c r="V113" s="38"/>
      <x:c r="W113" s="38"/>
      <x:c r="X113" s="38"/>
      <x:c r="Y113" s="38"/>
      <x:c r="Z113" s="38"/>
    </x:row>
    <x:row r="114" ht="18" customHeight="1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  <x:c r="L114" s="32"/>
      <x:c r="M114" s="32"/>
      <x:c r="N114" s="32"/>
      <x:c r="O114" s="32"/>
      <x:c r="P114" s="32"/>
      <x:c r="Q114" s="32"/>
      <x:c r="R114" s="32"/>
      <x:c r="S114" s="38"/>
      <x:c r="T114" s="38"/>
      <x:c r="U114" s="38"/>
      <x:c r="V114" s="38"/>
      <x:c r="W114" s="38"/>
      <x:c r="X114" s="38"/>
      <x:c r="Y114" s="38"/>
      <x:c r="Z114" s="38"/>
    </x:row>
    <x:row r="115" ht="18" customHeight="1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  <x:c r="L115" s="32"/>
      <x:c r="M115" s="32"/>
      <x:c r="N115" s="32"/>
      <x:c r="O115" s="32"/>
      <x:c r="P115" s="32"/>
      <x:c r="Q115" s="32"/>
      <x:c r="R115" s="32"/>
      <x:c r="S115" s="38"/>
      <x:c r="T115" s="38"/>
      <x:c r="U115" s="38"/>
      <x:c r="V115" s="38"/>
      <x:c r="W115" s="38"/>
      <x:c r="X115" s="38"/>
      <x:c r="Y115" s="38"/>
      <x:c r="Z115" s="38"/>
    </x:row>
    <x:row r="116" ht="18" customHeight="1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  <x:c r="L116" s="32"/>
      <x:c r="M116" s="32"/>
      <x:c r="N116" s="32"/>
      <x:c r="O116" s="32"/>
      <x:c r="P116" s="32"/>
      <x:c r="Q116" s="32"/>
      <x:c r="R116" s="32"/>
      <x:c r="S116" s="38"/>
      <x:c r="T116" s="38"/>
      <x:c r="U116" s="38"/>
      <x:c r="V116" s="38"/>
      <x:c r="W116" s="38"/>
      <x:c r="X116" s="38"/>
      <x:c r="Y116" s="38"/>
      <x:c r="Z116" s="38"/>
    </x:row>
    <x:row r="117" ht="18" customHeight="1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  <x:c r="L117" s="32"/>
      <x:c r="M117" s="32"/>
      <x:c r="N117" s="32"/>
      <x:c r="O117" s="32"/>
      <x:c r="P117" s="32"/>
      <x:c r="Q117" s="32"/>
      <x:c r="R117" s="32"/>
      <x:c r="S117" s="38"/>
      <x:c r="T117" s="38"/>
      <x:c r="U117" s="38"/>
      <x:c r="V117" s="38"/>
      <x:c r="W117" s="38"/>
      <x:c r="X117" s="38"/>
      <x:c r="Y117" s="38"/>
      <x:c r="Z117" s="38"/>
    </x:row>
    <x:row r="118" ht="18" customHeight="1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  <x:c r="L118" s="32"/>
      <x:c r="M118" s="32"/>
      <x:c r="N118" s="32"/>
      <x:c r="O118" s="32"/>
      <x:c r="P118" s="32"/>
      <x:c r="Q118" s="32"/>
      <x:c r="R118" s="32"/>
      <x:c r="S118" s="38"/>
      <x:c r="T118" s="38"/>
      <x:c r="U118" s="38"/>
      <x:c r="V118" s="38"/>
      <x:c r="W118" s="38"/>
      <x:c r="X118" s="38"/>
      <x:c r="Y118" s="38"/>
      <x:c r="Z118" s="38"/>
    </x:row>
    <x:row r="119" ht="18" customHeight="1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  <x:c r="L119" s="32"/>
      <x:c r="M119" s="32"/>
      <x:c r="N119" s="32"/>
      <x:c r="O119" s="32"/>
      <x:c r="P119" s="32"/>
      <x:c r="Q119" s="32"/>
      <x:c r="R119" s="32"/>
      <x:c r="S119" s="38"/>
      <x:c r="T119" s="38"/>
      <x:c r="U119" s="38"/>
      <x:c r="V119" s="38"/>
      <x:c r="W119" s="38"/>
      <x:c r="X119" s="38"/>
      <x:c r="Y119" s="38"/>
      <x:c r="Z119" s="38"/>
    </x:row>
    <x:row r="120" ht="18" customHeight="1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  <x:c r="L120" s="32"/>
      <x:c r="M120" s="32"/>
      <x:c r="N120" s="32"/>
      <x:c r="O120" s="32"/>
      <x:c r="P120" s="32"/>
      <x:c r="Q120" s="32"/>
      <x:c r="R120" s="32"/>
      <x:c r="S120" s="38"/>
      <x:c r="T120" s="38"/>
      <x:c r="U120" s="38"/>
      <x:c r="V120" s="38"/>
      <x:c r="W120" s="38"/>
      <x:c r="X120" s="38"/>
      <x:c r="Y120" s="38"/>
      <x:c r="Z120" s="38"/>
    </x:row>
    <x:row r="121" ht="18" customHeight="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  <x:c r="L121" s="32"/>
      <x:c r="M121" s="32"/>
      <x:c r="N121" s="32"/>
      <x:c r="O121" s="32"/>
      <x:c r="P121" s="32"/>
      <x:c r="Q121" s="32"/>
      <x:c r="R121" s="32"/>
      <x:c r="S121" s="38"/>
      <x:c r="T121" s="38"/>
      <x:c r="U121" s="38"/>
      <x:c r="V121" s="38"/>
      <x:c r="W121" s="38"/>
      <x:c r="X121" s="38"/>
      <x:c r="Y121" s="38"/>
      <x:c r="Z121" s="38"/>
    </x:row>
    <x:row r="122" ht="18" customHeight="1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  <x:c r="L122" s="32"/>
      <x:c r="M122" s="32"/>
      <x:c r="N122" s="32"/>
      <x:c r="O122" s="32"/>
      <x:c r="P122" s="32"/>
      <x:c r="Q122" s="32"/>
      <x:c r="R122" s="32"/>
      <x:c r="S122" s="38"/>
      <x:c r="T122" s="38"/>
      <x:c r="U122" s="38"/>
      <x:c r="V122" s="38"/>
      <x:c r="W122" s="38"/>
      <x:c r="X122" s="38"/>
      <x:c r="Y122" s="38"/>
      <x:c r="Z122" s="38"/>
    </x:row>
    <x:row r="123" ht="18" customHeight="1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  <x:c r="L123" s="32"/>
      <x:c r="M123" s="32"/>
      <x:c r="N123" s="32"/>
      <x:c r="O123" s="32"/>
      <x:c r="P123" s="32"/>
      <x:c r="Q123" s="32"/>
      <x:c r="R123" s="32"/>
      <x:c r="S123" s="38"/>
      <x:c r="T123" s="38"/>
      <x:c r="U123" s="38"/>
      <x:c r="V123" s="38"/>
      <x:c r="W123" s="38"/>
      <x:c r="X123" s="38"/>
      <x:c r="Y123" s="38"/>
      <x:c r="Z123" s="38"/>
    </x:row>
    <x:row r="124" ht="18" customHeight="1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  <x:c r="L124" s="32"/>
      <x:c r="M124" s="32"/>
      <x:c r="N124" s="32"/>
      <x:c r="O124" s="32"/>
      <x:c r="P124" s="32"/>
      <x:c r="Q124" s="32"/>
      <x:c r="R124" s="32"/>
      <x:c r="S124" s="38"/>
      <x:c r="T124" s="38"/>
      <x:c r="U124" s="38"/>
      <x:c r="V124" s="38"/>
      <x:c r="W124" s="38"/>
      <x:c r="X124" s="38"/>
      <x:c r="Y124" s="38"/>
      <x:c r="Z124" s="38"/>
    </x:row>
    <x:row r="125" ht="18" customHeight="1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  <x:c r="L125" s="32"/>
      <x:c r="M125" s="32"/>
      <x:c r="N125" s="32"/>
      <x:c r="O125" s="32"/>
      <x:c r="P125" s="32"/>
      <x:c r="Q125" s="32"/>
      <x:c r="R125" s="32"/>
      <x:c r="S125" s="38"/>
      <x:c r="T125" s="38"/>
      <x:c r="U125" s="38"/>
      <x:c r="V125" s="38"/>
      <x:c r="W125" s="38"/>
      <x:c r="X125" s="38"/>
      <x:c r="Y125" s="38"/>
      <x:c r="Z125" s="38"/>
    </x:row>
    <x:row r="126" ht="18" customHeight="1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  <x:c r="L126" s="32"/>
      <x:c r="M126" s="32"/>
      <x:c r="N126" s="32"/>
      <x:c r="O126" s="32"/>
      <x:c r="P126" s="32"/>
      <x:c r="Q126" s="32"/>
      <x:c r="R126" s="32"/>
      <x:c r="S126" s="38"/>
      <x:c r="T126" s="38"/>
      <x:c r="U126" s="38"/>
      <x:c r="V126" s="38"/>
      <x:c r="W126" s="38"/>
      <x:c r="X126" s="38"/>
      <x:c r="Y126" s="38"/>
      <x:c r="Z126" s="38"/>
    </x:row>
    <x:row r="127" ht="18" customHeight="1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  <x:c r="L127" s="32"/>
      <x:c r="M127" s="32"/>
      <x:c r="N127" s="32"/>
      <x:c r="O127" s="32"/>
      <x:c r="P127" s="32"/>
      <x:c r="Q127" s="32"/>
      <x:c r="R127" s="32"/>
      <x:c r="S127" s="38"/>
      <x:c r="T127" s="38"/>
      <x:c r="U127" s="38"/>
      <x:c r="V127" s="38"/>
      <x:c r="W127" s="38"/>
      <x:c r="X127" s="38"/>
      <x:c r="Y127" s="38"/>
      <x:c r="Z127" s="38"/>
    </x:row>
    <x:row r="128" ht="18" customHeight="1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  <x:c r="L128" s="32"/>
      <x:c r="M128" s="32"/>
      <x:c r="N128" s="32"/>
      <x:c r="O128" s="32"/>
      <x:c r="P128" s="32"/>
      <x:c r="Q128" s="32"/>
      <x:c r="R128" s="32"/>
      <x:c r="S128" s="38"/>
      <x:c r="T128" s="38"/>
      <x:c r="U128" s="38"/>
      <x:c r="V128" s="38"/>
      <x:c r="W128" s="38"/>
      <x:c r="X128" s="38"/>
      <x:c r="Y128" s="38"/>
      <x:c r="Z128" s="38"/>
    </x:row>
    <x:row r="129" ht="18" customHeight="1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  <x:c r="L129" s="32"/>
      <x:c r="M129" s="32"/>
      <x:c r="N129" s="32"/>
      <x:c r="O129" s="32"/>
      <x:c r="P129" s="32"/>
      <x:c r="Q129" s="32"/>
      <x:c r="R129" s="32"/>
      <x:c r="S129" s="38"/>
      <x:c r="T129" s="38"/>
      <x:c r="U129" s="38"/>
      <x:c r="V129" s="38"/>
      <x:c r="W129" s="38"/>
      <x:c r="X129" s="38"/>
      <x:c r="Y129" s="38"/>
      <x:c r="Z129" s="38"/>
    </x:row>
    <x:row r="130" ht="18" customHeight="1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  <x:c r="L130" s="32"/>
      <x:c r="M130" s="32"/>
      <x:c r="N130" s="32"/>
      <x:c r="O130" s="32"/>
      <x:c r="P130" s="32"/>
      <x:c r="Q130" s="32"/>
      <x:c r="R130" s="32"/>
      <x:c r="S130" s="38"/>
      <x:c r="T130" s="38"/>
      <x:c r="U130" s="38"/>
      <x:c r="V130" s="38"/>
      <x:c r="W130" s="38"/>
      <x:c r="X130" s="38"/>
      <x:c r="Y130" s="38"/>
      <x:c r="Z130" s="38"/>
    </x:row>
    <x:row r="131" ht="18" customHeight="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  <x:c r="L131" s="32"/>
      <x:c r="M131" s="32"/>
      <x:c r="N131" s="32"/>
      <x:c r="O131" s="32"/>
      <x:c r="P131" s="32"/>
      <x:c r="Q131" s="32"/>
      <x:c r="R131" s="32"/>
      <x:c r="S131" s="38"/>
      <x:c r="T131" s="38"/>
      <x:c r="U131" s="38"/>
      <x:c r="V131" s="38"/>
      <x:c r="W131" s="38"/>
      <x:c r="X131" s="38"/>
      <x:c r="Y131" s="38"/>
      <x:c r="Z131" s="38"/>
    </x:row>
    <x:row r="132" ht="18" customHeight="1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  <x:c r="L132" s="32"/>
      <x:c r="M132" s="32"/>
      <x:c r="N132" s="32"/>
      <x:c r="O132" s="32"/>
      <x:c r="P132" s="32"/>
      <x:c r="Q132" s="32"/>
      <x:c r="R132" s="32"/>
      <x:c r="S132" s="38"/>
      <x:c r="T132" s="38"/>
      <x:c r="U132" s="38"/>
      <x:c r="V132" s="38"/>
      <x:c r="W132" s="38"/>
      <x:c r="X132" s="38"/>
      <x:c r="Y132" s="38"/>
      <x:c r="Z132" s="38"/>
    </x:row>
    <x:row r="133" ht="18" customHeight="1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  <x:c r="L133" s="32"/>
      <x:c r="M133" s="32"/>
      <x:c r="N133" s="32"/>
      <x:c r="O133" s="32"/>
      <x:c r="P133" s="32"/>
      <x:c r="Q133" s="32"/>
      <x:c r="R133" s="32"/>
      <x:c r="S133" s="38"/>
      <x:c r="T133" s="38"/>
      <x:c r="U133" s="38"/>
      <x:c r="V133" s="38"/>
      <x:c r="W133" s="38"/>
      <x:c r="X133" s="38"/>
      <x:c r="Y133" s="38"/>
      <x:c r="Z133" s="38"/>
    </x:row>
    <x:row r="134" ht="18" customHeight="1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  <x:c r="L134" s="32"/>
      <x:c r="M134" s="32"/>
      <x:c r="N134" s="32"/>
      <x:c r="O134" s="32"/>
      <x:c r="P134" s="32"/>
      <x:c r="Q134" s="32"/>
      <x:c r="R134" s="32"/>
      <x:c r="S134" s="38"/>
      <x:c r="T134" s="38"/>
      <x:c r="U134" s="38"/>
      <x:c r="V134" s="38"/>
      <x:c r="W134" s="38"/>
      <x:c r="X134" s="38"/>
      <x:c r="Y134" s="38"/>
      <x:c r="Z134" s="38"/>
    </x:row>
    <x:row r="135" ht="18" customHeight="1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  <x:c r="L135" s="32"/>
      <x:c r="M135" s="32"/>
      <x:c r="N135" s="32"/>
      <x:c r="O135" s="32"/>
      <x:c r="P135" s="32"/>
      <x:c r="Q135" s="32"/>
      <x:c r="R135" s="32"/>
      <x:c r="S135" s="38"/>
      <x:c r="T135" s="38"/>
      <x:c r="U135" s="38"/>
      <x:c r="V135" s="38"/>
      <x:c r="W135" s="38"/>
      <x:c r="X135" s="38"/>
      <x:c r="Y135" s="38"/>
      <x:c r="Z135" s="38"/>
    </x:row>
    <x:row r="136" ht="18" customHeight="1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  <x:c r="L136" s="32"/>
      <x:c r="M136" s="32"/>
      <x:c r="N136" s="32"/>
      <x:c r="O136" s="32"/>
      <x:c r="P136" s="32"/>
      <x:c r="Q136" s="32"/>
      <x:c r="R136" s="32"/>
      <x:c r="S136" s="38"/>
      <x:c r="T136" s="38"/>
      <x:c r="U136" s="38"/>
      <x:c r="V136" s="38"/>
      <x:c r="W136" s="38"/>
      <x:c r="X136" s="38"/>
      <x:c r="Y136" s="38"/>
      <x:c r="Z136" s="38"/>
    </x:row>
    <x:row r="137" ht="18" customHeight="1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  <x:c r="L137" s="32"/>
      <x:c r="M137" s="32"/>
      <x:c r="N137" s="32"/>
      <x:c r="O137" s="32"/>
      <x:c r="P137" s="32"/>
      <x:c r="Q137" s="32"/>
      <x:c r="R137" s="32"/>
      <x:c r="S137" s="38"/>
      <x:c r="T137" s="38"/>
      <x:c r="U137" s="38"/>
      <x:c r="V137" s="38"/>
      <x:c r="W137" s="38"/>
      <x:c r="X137" s="38"/>
      <x:c r="Y137" s="38"/>
      <x:c r="Z137" s="38"/>
    </x:row>
    <x:row r="138" ht="18" customHeight="1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  <x:c r="L138" s="32"/>
      <x:c r="M138" s="32"/>
      <x:c r="N138" s="32"/>
      <x:c r="O138" s="32"/>
      <x:c r="P138" s="32"/>
      <x:c r="Q138" s="32"/>
      <x:c r="R138" s="32"/>
      <x:c r="S138" s="38"/>
      <x:c r="T138" s="38"/>
      <x:c r="U138" s="38"/>
      <x:c r="V138" s="38"/>
      <x:c r="W138" s="38"/>
      <x:c r="X138" s="38"/>
      <x:c r="Y138" s="38"/>
      <x:c r="Z138" s="38"/>
    </x:row>
    <x:row r="139" ht="18" customHeight="1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  <x:c r="L139" s="32"/>
      <x:c r="M139" s="32"/>
      <x:c r="N139" s="32"/>
      <x:c r="O139" s="32"/>
      <x:c r="P139" s="32"/>
      <x:c r="Q139" s="32"/>
      <x:c r="R139" s="32"/>
      <x:c r="S139" s="38"/>
      <x:c r="T139" s="38"/>
      <x:c r="U139" s="38"/>
      <x:c r="V139" s="38"/>
      <x:c r="W139" s="38"/>
      <x:c r="X139" s="38"/>
      <x:c r="Y139" s="38"/>
      <x:c r="Z139" s="38"/>
    </x:row>
    <x:row r="140" ht="18" customHeight="1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  <x:c r="L140" s="32"/>
      <x:c r="M140" s="32"/>
      <x:c r="N140" s="32"/>
      <x:c r="O140" s="32"/>
      <x:c r="P140" s="32"/>
      <x:c r="Q140" s="32"/>
      <x:c r="R140" s="32"/>
      <x:c r="S140" s="38"/>
      <x:c r="T140" s="38"/>
      <x:c r="U140" s="38"/>
      <x:c r="V140" s="38"/>
      <x:c r="W140" s="38"/>
      <x:c r="X140" s="38"/>
      <x:c r="Y140" s="38"/>
      <x:c r="Z140" s="38"/>
    </x:row>
    <x:row r="141" ht="18" customHeight="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  <x:c r="L141" s="32"/>
      <x:c r="M141" s="32"/>
      <x:c r="N141" s="32"/>
      <x:c r="O141" s="32"/>
      <x:c r="P141" s="32"/>
      <x:c r="Q141" s="32"/>
      <x:c r="R141" s="32"/>
      <x:c r="S141" s="38"/>
      <x:c r="T141" s="38"/>
      <x:c r="U141" s="38"/>
      <x:c r="V141" s="38"/>
      <x:c r="W141" s="38"/>
      <x:c r="X141" s="38"/>
      <x:c r="Y141" s="38"/>
      <x:c r="Z141" s="38"/>
    </x:row>
    <x:row r="142" ht="18" customHeight="1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  <x:c r="L142" s="32"/>
      <x:c r="M142" s="32"/>
      <x:c r="N142" s="32"/>
      <x:c r="O142" s="32"/>
      <x:c r="P142" s="32"/>
      <x:c r="Q142" s="32"/>
      <x:c r="R142" s="32"/>
      <x:c r="S142" s="38"/>
      <x:c r="T142" s="38"/>
      <x:c r="U142" s="38"/>
      <x:c r="V142" s="38"/>
      <x:c r="W142" s="38"/>
      <x:c r="X142" s="38"/>
      <x:c r="Y142" s="38"/>
      <x:c r="Z142" s="38"/>
    </x:row>
    <x:row r="143" ht="18" customHeight="1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  <x:c r="L143" s="32"/>
      <x:c r="M143" s="32"/>
      <x:c r="N143" s="32"/>
      <x:c r="O143" s="32"/>
      <x:c r="P143" s="32"/>
      <x:c r="Q143" s="32"/>
      <x:c r="R143" s="32"/>
      <x:c r="S143" s="38"/>
      <x:c r="T143" s="38"/>
      <x:c r="U143" s="38"/>
      <x:c r="V143" s="38"/>
      <x:c r="W143" s="38"/>
      <x:c r="X143" s="38"/>
      <x:c r="Y143" s="38"/>
      <x:c r="Z143" s="38"/>
    </x:row>
    <x:row r="144" ht="18" customHeight="1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  <x:c r="L144" s="32"/>
      <x:c r="M144" s="32"/>
      <x:c r="N144" s="32"/>
      <x:c r="O144" s="32"/>
      <x:c r="P144" s="32"/>
      <x:c r="Q144" s="32"/>
      <x:c r="R144" s="32"/>
      <x:c r="S144" s="38"/>
      <x:c r="T144" s="38"/>
      <x:c r="U144" s="38"/>
      <x:c r="V144" s="38"/>
      <x:c r="W144" s="38"/>
      <x:c r="X144" s="38"/>
      <x:c r="Y144" s="38"/>
      <x:c r="Z144" s="38"/>
    </x:row>
    <x:row r="145" ht="18" customHeight="1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  <x:c r="L145" s="32"/>
      <x:c r="M145" s="32"/>
      <x:c r="N145" s="32"/>
      <x:c r="O145" s="32"/>
      <x:c r="P145" s="32"/>
      <x:c r="Q145" s="32"/>
      <x:c r="R145" s="32"/>
      <x:c r="S145" s="38"/>
      <x:c r="T145" s="38"/>
      <x:c r="U145" s="38"/>
      <x:c r="V145" s="38"/>
      <x:c r="W145" s="38"/>
      <x:c r="X145" s="38"/>
      <x:c r="Y145" s="38"/>
      <x:c r="Z145" s="38"/>
    </x:row>
    <x:row r="146" ht="18" customHeight="1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  <x:c r="L146" s="32"/>
      <x:c r="M146" s="32"/>
      <x:c r="N146" s="32"/>
      <x:c r="O146" s="32"/>
      <x:c r="P146" s="32"/>
      <x:c r="Q146" s="32"/>
      <x:c r="R146" s="32"/>
      <x:c r="S146" s="38"/>
      <x:c r="T146" s="38"/>
      <x:c r="U146" s="38"/>
      <x:c r="V146" s="38"/>
      <x:c r="W146" s="38"/>
      <x:c r="X146" s="38"/>
      <x:c r="Y146" s="38"/>
      <x:c r="Z146" s="38"/>
    </x:row>
    <x:row r="147" ht="18" customHeight="1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  <x:c r="L147" s="32"/>
      <x:c r="M147" s="32"/>
      <x:c r="N147" s="32"/>
      <x:c r="O147" s="32"/>
      <x:c r="P147" s="32"/>
      <x:c r="Q147" s="32"/>
      <x:c r="R147" s="32"/>
      <x:c r="S147" s="38"/>
      <x:c r="T147" s="38"/>
      <x:c r="U147" s="38"/>
      <x:c r="V147" s="38"/>
      <x:c r="W147" s="38"/>
      <x:c r="X147" s="38"/>
      <x:c r="Y147" s="38"/>
      <x:c r="Z147" s="38"/>
    </x:row>
    <x:row r="148" ht="18" customHeight="1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  <x:c r="L148" s="32"/>
      <x:c r="M148" s="32"/>
      <x:c r="N148" s="32"/>
      <x:c r="O148" s="32"/>
      <x:c r="P148" s="32"/>
      <x:c r="Q148" s="32"/>
      <x:c r="R148" s="32"/>
      <x:c r="S148" s="38"/>
      <x:c r="T148" s="38"/>
      <x:c r="U148" s="38"/>
      <x:c r="V148" s="38"/>
      <x:c r="W148" s="38"/>
      <x:c r="X148" s="38"/>
      <x:c r="Y148" s="38"/>
      <x:c r="Z148" s="38"/>
    </x:row>
    <x:row r="149" ht="18" customHeight="1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  <x:c r="L149" s="32"/>
      <x:c r="M149" s="32"/>
      <x:c r="N149" s="32"/>
      <x:c r="O149" s="32"/>
      <x:c r="P149" s="32"/>
      <x:c r="Q149" s="32"/>
      <x:c r="R149" s="32"/>
      <x:c r="S149" s="38"/>
      <x:c r="T149" s="38"/>
      <x:c r="U149" s="38"/>
      <x:c r="V149" s="38"/>
      <x:c r="W149" s="38"/>
      <x:c r="X149" s="38"/>
      <x:c r="Y149" s="38"/>
      <x:c r="Z149" s="38"/>
    </x:row>
    <x:row r="150" ht="18" customHeight="1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  <x:c r="L150" s="32"/>
      <x:c r="M150" s="32"/>
      <x:c r="N150" s="32"/>
      <x:c r="O150" s="32"/>
      <x:c r="P150" s="32"/>
      <x:c r="Q150" s="32"/>
      <x:c r="R150" s="32"/>
      <x:c r="S150" s="38"/>
      <x:c r="T150" s="38"/>
      <x:c r="U150" s="38"/>
      <x:c r="V150" s="38"/>
      <x:c r="W150" s="38"/>
      <x:c r="X150" s="38"/>
      <x:c r="Y150" s="38"/>
      <x:c r="Z150" s="38"/>
    </x:row>
    <x:row r="151" ht="18" customHeight="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  <x:c r="L151" s="32"/>
      <x:c r="M151" s="32"/>
      <x:c r="N151" s="32"/>
      <x:c r="O151" s="32"/>
      <x:c r="P151" s="32"/>
      <x:c r="Q151" s="32"/>
      <x:c r="R151" s="32"/>
      <x:c r="S151" s="38"/>
      <x:c r="T151" s="38"/>
      <x:c r="U151" s="38"/>
      <x:c r="V151" s="38"/>
      <x:c r="W151" s="38"/>
      <x:c r="X151" s="38"/>
      <x:c r="Y151" s="38"/>
      <x:c r="Z151" s="38"/>
    </x:row>
    <x:row r="152" ht="18" customHeight="1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  <x:c r="L152" s="32"/>
      <x:c r="M152" s="32"/>
      <x:c r="N152" s="32"/>
      <x:c r="O152" s="32"/>
      <x:c r="P152" s="32"/>
      <x:c r="Q152" s="32"/>
      <x:c r="R152" s="32"/>
      <x:c r="S152" s="38"/>
      <x:c r="T152" s="38"/>
      <x:c r="U152" s="38"/>
      <x:c r="V152" s="38"/>
      <x:c r="W152" s="38"/>
      <x:c r="X152" s="38"/>
      <x:c r="Y152" s="38"/>
      <x:c r="Z152" s="38"/>
    </x:row>
    <x:row r="153" ht="18" customHeight="1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  <x:c r="L153" s="32"/>
      <x:c r="M153" s="32"/>
      <x:c r="N153" s="32"/>
      <x:c r="O153" s="32"/>
      <x:c r="P153" s="32"/>
      <x:c r="Q153" s="32"/>
      <x:c r="R153" s="32"/>
      <x:c r="S153" s="38"/>
      <x:c r="T153" s="38"/>
      <x:c r="U153" s="38"/>
      <x:c r="V153" s="38"/>
      <x:c r="W153" s="38"/>
      <x:c r="X153" s="38"/>
      <x:c r="Y153" s="38"/>
      <x:c r="Z153" s="38"/>
    </x:row>
    <x:row r="154" ht="18" customHeight="1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  <x:c r="L154" s="32"/>
      <x:c r="M154" s="32"/>
      <x:c r="N154" s="32"/>
      <x:c r="O154" s="32"/>
      <x:c r="P154" s="32"/>
      <x:c r="Q154" s="32"/>
      <x:c r="R154" s="32"/>
      <x:c r="S154" s="38"/>
      <x:c r="T154" s="38"/>
      <x:c r="U154" s="38"/>
      <x:c r="V154" s="38"/>
      <x:c r="W154" s="38"/>
      <x:c r="X154" s="38"/>
      <x:c r="Y154" s="38"/>
      <x:c r="Z154" s="38"/>
    </x:row>
    <x:row r="155" ht="18" customHeight="1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  <x:c r="L155" s="32"/>
      <x:c r="M155" s="32"/>
      <x:c r="N155" s="32"/>
      <x:c r="O155" s="32"/>
      <x:c r="P155" s="32"/>
      <x:c r="Q155" s="32"/>
      <x:c r="R155" s="32"/>
      <x:c r="S155" s="38"/>
      <x:c r="T155" s="38"/>
      <x:c r="U155" s="38"/>
      <x:c r="V155" s="38"/>
      <x:c r="W155" s="38"/>
      <x:c r="X155" s="38"/>
      <x:c r="Y155" s="38"/>
      <x:c r="Z155" s="38"/>
    </x:row>
    <x:row r="156" ht="18" customHeight="1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  <x:c r="L156" s="32"/>
      <x:c r="M156" s="32"/>
      <x:c r="N156" s="32"/>
      <x:c r="O156" s="32"/>
      <x:c r="P156" s="32"/>
      <x:c r="Q156" s="32"/>
      <x:c r="R156" s="32"/>
      <x:c r="S156" s="38"/>
      <x:c r="T156" s="38"/>
      <x:c r="U156" s="38"/>
      <x:c r="V156" s="38"/>
      <x:c r="W156" s="38"/>
      <x:c r="X156" s="38"/>
      <x:c r="Y156" s="38"/>
      <x:c r="Z156" s="38"/>
    </x:row>
    <x:row r="157" ht="18" customHeight="1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  <x:c r="L157" s="32"/>
      <x:c r="M157" s="32"/>
      <x:c r="N157" s="32"/>
      <x:c r="O157" s="32"/>
      <x:c r="P157" s="32"/>
      <x:c r="Q157" s="32"/>
      <x:c r="R157" s="32"/>
      <x:c r="S157" s="38"/>
      <x:c r="T157" s="38"/>
      <x:c r="U157" s="38"/>
      <x:c r="V157" s="38"/>
      <x:c r="W157" s="38"/>
      <x:c r="X157" s="38"/>
      <x:c r="Y157" s="38"/>
      <x:c r="Z157" s="38"/>
    </x:row>
    <x:row r="158" ht="18" customHeight="1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  <x:c r="L158" s="32"/>
      <x:c r="M158" s="32"/>
      <x:c r="N158" s="32"/>
      <x:c r="O158" s="32"/>
      <x:c r="P158" s="32"/>
      <x:c r="Q158" s="32"/>
      <x:c r="R158" s="32"/>
      <x:c r="S158" s="38"/>
      <x:c r="T158" s="38"/>
      <x:c r="U158" s="38"/>
      <x:c r="V158" s="38"/>
      <x:c r="W158" s="38"/>
      <x:c r="X158" s="38"/>
      <x:c r="Y158" s="38"/>
      <x:c r="Z158" s="38"/>
    </x:row>
    <x:row r="159" ht="18" customHeight="1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  <x:c r="L159" s="32"/>
      <x:c r="M159" s="32"/>
      <x:c r="N159" s="32"/>
      <x:c r="O159" s="32"/>
      <x:c r="P159" s="32"/>
      <x:c r="Q159" s="32"/>
      <x:c r="R159" s="32"/>
      <x:c r="S159" s="38"/>
      <x:c r="T159" s="38"/>
      <x:c r="U159" s="38"/>
      <x:c r="V159" s="38"/>
      <x:c r="W159" s="38"/>
      <x:c r="X159" s="38"/>
      <x:c r="Y159" s="38"/>
      <x:c r="Z159" s="38"/>
    </x:row>
    <x:row r="160" ht="18" customHeight="1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  <x:c r="L160" s="32"/>
      <x:c r="M160" s="32"/>
      <x:c r="N160" s="32"/>
      <x:c r="O160" s="32"/>
      <x:c r="P160" s="32"/>
      <x:c r="Q160" s="32"/>
      <x:c r="R160" s="32"/>
      <x:c r="S160" s="38"/>
      <x:c r="T160" s="38"/>
      <x:c r="U160" s="38"/>
      <x:c r="V160" s="38"/>
      <x:c r="W160" s="38"/>
      <x:c r="X160" s="38"/>
      <x:c r="Y160" s="38"/>
      <x:c r="Z160" s="38"/>
    </x:row>
    <x:row r="161" ht="18" customHeight="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  <x:c r="L161" s="32"/>
      <x:c r="M161" s="32"/>
      <x:c r="N161" s="32"/>
      <x:c r="O161" s="32"/>
      <x:c r="P161" s="32"/>
      <x:c r="Q161" s="32"/>
      <x:c r="R161" s="32"/>
      <x:c r="S161" s="38"/>
      <x:c r="T161" s="38"/>
      <x:c r="U161" s="38"/>
      <x:c r="V161" s="38"/>
      <x:c r="W161" s="38"/>
      <x:c r="X161" s="38"/>
      <x:c r="Y161" s="38"/>
      <x:c r="Z161" s="38"/>
    </x:row>
    <x:row r="162" ht="18" customHeight="1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  <x:c r="L162" s="32"/>
      <x:c r="M162" s="32"/>
      <x:c r="N162" s="32"/>
      <x:c r="O162" s="32"/>
      <x:c r="P162" s="32"/>
      <x:c r="Q162" s="32"/>
      <x:c r="R162" s="32"/>
      <x:c r="S162" s="38"/>
      <x:c r="T162" s="38"/>
      <x:c r="U162" s="38"/>
      <x:c r="V162" s="38"/>
      <x:c r="W162" s="38"/>
      <x:c r="X162" s="38"/>
      <x:c r="Y162" s="38"/>
      <x:c r="Z162" s="38"/>
    </x:row>
    <x:row r="163" ht="18" customHeight="1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  <x:c r="L163" s="32"/>
      <x:c r="M163" s="32"/>
      <x:c r="N163" s="32"/>
      <x:c r="O163" s="32"/>
      <x:c r="P163" s="32"/>
      <x:c r="Q163" s="32"/>
      <x:c r="R163" s="32"/>
      <x:c r="S163" s="38"/>
      <x:c r="T163" s="38"/>
      <x:c r="U163" s="38"/>
      <x:c r="V163" s="38"/>
      <x:c r="W163" s="38"/>
      <x:c r="X163" s="38"/>
      <x:c r="Y163" s="38"/>
      <x:c r="Z163" s="38"/>
    </x:row>
    <x:row r="164" ht="18" customHeight="1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  <x:c r="L164" s="32"/>
      <x:c r="M164" s="32"/>
      <x:c r="N164" s="32"/>
      <x:c r="O164" s="32"/>
      <x:c r="P164" s="32"/>
      <x:c r="Q164" s="32"/>
      <x:c r="R164" s="32"/>
      <x:c r="S164" s="38"/>
      <x:c r="T164" s="38"/>
      <x:c r="U164" s="38"/>
      <x:c r="V164" s="38"/>
      <x:c r="W164" s="38"/>
      <x:c r="X164" s="38"/>
      <x:c r="Y164" s="38"/>
      <x:c r="Z164" s="38"/>
    </x:row>
    <x:row r="165" ht="18" customHeight="1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  <x:c r="L165" s="32"/>
      <x:c r="M165" s="32"/>
      <x:c r="N165" s="32"/>
      <x:c r="O165" s="32"/>
      <x:c r="P165" s="32"/>
      <x:c r="Q165" s="32"/>
      <x:c r="R165" s="32"/>
      <x:c r="S165" s="38"/>
      <x:c r="T165" s="38"/>
      <x:c r="U165" s="38"/>
      <x:c r="V165" s="38"/>
      <x:c r="W165" s="38"/>
      <x:c r="X165" s="38"/>
      <x:c r="Y165" s="38"/>
      <x:c r="Z165" s="38"/>
    </x:row>
    <x:row r="166" ht="18" customHeight="1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  <x:c r="L166" s="32"/>
      <x:c r="M166" s="32"/>
      <x:c r="N166" s="32"/>
      <x:c r="O166" s="32"/>
      <x:c r="P166" s="32"/>
      <x:c r="Q166" s="32"/>
      <x:c r="R166" s="32"/>
      <x:c r="S166" s="38"/>
      <x:c r="T166" s="38"/>
      <x:c r="U166" s="38"/>
      <x:c r="V166" s="38"/>
      <x:c r="W166" s="38"/>
      <x:c r="X166" s="38"/>
      <x:c r="Y166" s="38"/>
      <x:c r="Z166" s="38"/>
    </x:row>
    <x:row r="167" ht="18" customHeight="1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  <x:c r="L167" s="32"/>
      <x:c r="M167" s="32"/>
      <x:c r="N167" s="32"/>
      <x:c r="O167" s="32"/>
      <x:c r="P167" s="32"/>
      <x:c r="Q167" s="32"/>
      <x:c r="R167" s="32"/>
      <x:c r="S167" s="38"/>
      <x:c r="T167" s="38"/>
      <x:c r="U167" s="38"/>
      <x:c r="V167" s="38"/>
      <x:c r="W167" s="38"/>
      <x:c r="X167" s="38"/>
      <x:c r="Y167" s="38"/>
      <x:c r="Z167" s="38"/>
    </x:row>
    <x:row r="168" ht="18" customHeight="1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  <x:c r="L168" s="32"/>
      <x:c r="M168" s="32"/>
      <x:c r="N168" s="32"/>
      <x:c r="O168" s="32"/>
      <x:c r="P168" s="32"/>
      <x:c r="Q168" s="32"/>
      <x:c r="R168" s="32"/>
      <x:c r="S168" s="38"/>
      <x:c r="T168" s="38"/>
      <x:c r="U168" s="38"/>
      <x:c r="V168" s="38"/>
      <x:c r="W168" s="38"/>
      <x:c r="X168" s="38"/>
      <x:c r="Y168" s="38"/>
      <x:c r="Z168" s="38"/>
    </x:row>
    <x:row r="169" ht="18" customHeight="1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  <x:c r="L169" s="32"/>
      <x:c r="M169" s="32"/>
      <x:c r="N169" s="32"/>
      <x:c r="O169" s="32"/>
      <x:c r="P169" s="32"/>
      <x:c r="Q169" s="32"/>
      <x:c r="R169" s="32"/>
      <x:c r="S169" s="38"/>
      <x:c r="T169" s="38"/>
      <x:c r="U169" s="38"/>
      <x:c r="V169" s="38"/>
      <x:c r="W169" s="38"/>
      <x:c r="X169" s="38"/>
      <x:c r="Y169" s="38"/>
      <x:c r="Z169" s="38"/>
    </x:row>
    <x:row r="170" ht="18" customHeight="1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  <x:c r="L170" s="32"/>
      <x:c r="M170" s="32"/>
      <x:c r="N170" s="32"/>
      <x:c r="O170" s="32"/>
      <x:c r="P170" s="32"/>
      <x:c r="Q170" s="32"/>
      <x:c r="R170" s="32"/>
      <x:c r="S170" s="38"/>
      <x:c r="T170" s="38"/>
      <x:c r="U170" s="38"/>
      <x:c r="V170" s="38"/>
      <x:c r="W170" s="38"/>
      <x:c r="X170" s="38"/>
      <x:c r="Y170" s="38"/>
      <x:c r="Z170" s="38"/>
    </x:row>
    <x:row r="171" ht="18" customHeight="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  <x:c r="L171" s="32"/>
      <x:c r="M171" s="32"/>
      <x:c r="N171" s="32"/>
      <x:c r="O171" s="32"/>
      <x:c r="P171" s="32"/>
      <x:c r="Q171" s="32"/>
      <x:c r="R171" s="32"/>
      <x:c r="S171" s="38"/>
      <x:c r="T171" s="38"/>
      <x:c r="U171" s="38"/>
      <x:c r="V171" s="38"/>
      <x:c r="W171" s="38"/>
      <x:c r="X171" s="38"/>
      <x:c r="Y171" s="38"/>
      <x:c r="Z171" s="38"/>
    </x:row>
    <x:row r="172" ht="18" customHeight="1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  <x:c r="L172" s="32"/>
      <x:c r="M172" s="32"/>
      <x:c r="N172" s="32"/>
      <x:c r="O172" s="32"/>
      <x:c r="P172" s="32"/>
      <x:c r="Q172" s="32"/>
      <x:c r="R172" s="32"/>
      <x:c r="S172" s="38"/>
      <x:c r="T172" s="38"/>
      <x:c r="U172" s="38"/>
      <x:c r="V172" s="38"/>
      <x:c r="W172" s="38"/>
      <x:c r="X172" s="38"/>
      <x:c r="Y172" s="38"/>
      <x:c r="Z172" s="38"/>
    </x:row>
    <x:row r="173" ht="18" customHeight="1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  <x:c r="L173" s="32"/>
      <x:c r="M173" s="32"/>
      <x:c r="N173" s="32"/>
      <x:c r="O173" s="32"/>
      <x:c r="P173" s="32"/>
      <x:c r="Q173" s="32"/>
      <x:c r="R173" s="32"/>
      <x:c r="S173" s="38"/>
      <x:c r="T173" s="38"/>
      <x:c r="U173" s="38"/>
      <x:c r="V173" s="38"/>
      <x:c r="W173" s="38"/>
      <x:c r="X173" s="38"/>
      <x:c r="Y173" s="38"/>
      <x:c r="Z173" s="38"/>
    </x:row>
    <x:row r="174" ht="18" customHeight="1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  <x:c r="L174" s="32"/>
      <x:c r="M174" s="32"/>
      <x:c r="N174" s="32"/>
      <x:c r="O174" s="32"/>
      <x:c r="P174" s="32"/>
      <x:c r="Q174" s="32"/>
      <x:c r="R174" s="32"/>
      <x:c r="S174" s="38"/>
      <x:c r="T174" s="38"/>
      <x:c r="U174" s="38"/>
      <x:c r="V174" s="38"/>
      <x:c r="W174" s="38"/>
      <x:c r="X174" s="38"/>
      <x:c r="Y174" s="38"/>
      <x:c r="Z174" s="38"/>
    </x:row>
    <x:row r="175" ht="18" customHeight="1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  <x:c r="L175" s="32"/>
      <x:c r="M175" s="32"/>
      <x:c r="N175" s="32"/>
      <x:c r="O175" s="32"/>
      <x:c r="P175" s="32"/>
      <x:c r="Q175" s="32"/>
      <x:c r="R175" s="32"/>
      <x:c r="S175" s="38"/>
      <x:c r="T175" s="38"/>
      <x:c r="U175" s="38"/>
      <x:c r="V175" s="38"/>
      <x:c r="W175" s="38"/>
      <x:c r="X175" s="38"/>
      <x:c r="Y175" s="38"/>
      <x:c r="Z175" s="38"/>
    </x:row>
    <x:row r="176" ht="18" customHeight="1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  <x:c r="L176" s="32"/>
      <x:c r="M176" s="32"/>
      <x:c r="N176" s="32"/>
      <x:c r="O176" s="32"/>
      <x:c r="P176" s="32"/>
      <x:c r="Q176" s="32"/>
      <x:c r="R176" s="32"/>
      <x:c r="S176" s="38"/>
      <x:c r="T176" s="38"/>
      <x:c r="U176" s="38"/>
      <x:c r="V176" s="38"/>
      <x:c r="W176" s="38"/>
      <x:c r="X176" s="38"/>
      <x:c r="Y176" s="38"/>
      <x:c r="Z176" s="38"/>
    </x:row>
    <x:row r="177" ht="18" customHeight="1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  <x:c r="L177" s="32"/>
      <x:c r="M177" s="32"/>
      <x:c r="N177" s="32"/>
      <x:c r="O177" s="32"/>
      <x:c r="P177" s="32"/>
      <x:c r="Q177" s="32"/>
      <x:c r="R177" s="32"/>
      <x:c r="S177" s="38"/>
      <x:c r="T177" s="38"/>
      <x:c r="U177" s="38"/>
      <x:c r="V177" s="38"/>
      <x:c r="W177" s="38"/>
      <x:c r="X177" s="38"/>
      <x:c r="Y177" s="38"/>
      <x:c r="Z177" s="38"/>
    </x:row>
    <x:row r="178" ht="18" customHeight="1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  <x:c r="L178" s="32"/>
      <x:c r="M178" s="32"/>
      <x:c r="N178" s="32"/>
      <x:c r="O178" s="32"/>
      <x:c r="P178" s="32"/>
      <x:c r="Q178" s="32"/>
      <x:c r="R178" s="32"/>
      <x:c r="S178" s="38"/>
      <x:c r="T178" s="38"/>
      <x:c r="U178" s="38"/>
      <x:c r="V178" s="38"/>
      <x:c r="W178" s="38"/>
      <x:c r="X178" s="38"/>
      <x:c r="Y178" s="38"/>
      <x:c r="Z178" s="38"/>
    </x:row>
    <x:row r="179" ht="18" customHeight="1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  <x:c r="L179" s="32"/>
      <x:c r="M179" s="32"/>
      <x:c r="N179" s="32"/>
      <x:c r="O179" s="32"/>
      <x:c r="P179" s="32"/>
      <x:c r="Q179" s="32"/>
      <x:c r="R179" s="32"/>
      <x:c r="S179" s="38"/>
      <x:c r="T179" s="38"/>
      <x:c r="U179" s="38"/>
      <x:c r="V179" s="38"/>
      <x:c r="W179" s="38"/>
      <x:c r="X179" s="38"/>
      <x:c r="Y179" s="38"/>
      <x:c r="Z179" s="38"/>
    </x:row>
    <x:row r="180" ht="18" customHeight="1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  <x:c r="L180" s="32"/>
      <x:c r="M180" s="32"/>
      <x:c r="N180" s="32"/>
      <x:c r="O180" s="32"/>
      <x:c r="P180" s="32"/>
      <x:c r="Q180" s="32"/>
      <x:c r="R180" s="32"/>
      <x:c r="S180" s="38"/>
      <x:c r="T180" s="38"/>
      <x:c r="U180" s="38"/>
      <x:c r="V180" s="38"/>
      <x:c r="W180" s="38"/>
      <x:c r="X180" s="38"/>
      <x:c r="Y180" s="38"/>
      <x:c r="Z180" s="38"/>
    </x:row>
    <x:row r="181" ht="18" customHeight="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  <x:c r="L181" s="32"/>
      <x:c r="M181" s="32"/>
      <x:c r="N181" s="32"/>
      <x:c r="O181" s="32"/>
      <x:c r="P181" s="32"/>
      <x:c r="Q181" s="32"/>
      <x:c r="R181" s="32"/>
      <x:c r="S181" s="38"/>
      <x:c r="T181" s="38"/>
      <x:c r="U181" s="38"/>
      <x:c r="V181" s="38"/>
      <x:c r="W181" s="38"/>
      <x:c r="X181" s="38"/>
      <x:c r="Y181" s="38"/>
      <x:c r="Z181" s="38"/>
    </x:row>
    <x:row r="182" ht="18" customHeight="1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  <x:c r="L182" s="32"/>
      <x:c r="M182" s="32"/>
      <x:c r="N182" s="32"/>
      <x:c r="O182" s="32"/>
      <x:c r="P182" s="32"/>
      <x:c r="Q182" s="32"/>
      <x:c r="R182" s="32"/>
      <x:c r="S182" s="38"/>
      <x:c r="T182" s="38"/>
      <x:c r="U182" s="38"/>
      <x:c r="V182" s="38"/>
      <x:c r="W182" s="38"/>
      <x:c r="X182" s="38"/>
      <x:c r="Y182" s="38"/>
      <x:c r="Z182" s="38"/>
    </x:row>
    <x:row r="183" ht="18" customHeight="1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  <x:c r="L183" s="32"/>
      <x:c r="M183" s="32"/>
      <x:c r="N183" s="32"/>
      <x:c r="O183" s="32"/>
      <x:c r="P183" s="32"/>
      <x:c r="Q183" s="32"/>
      <x:c r="R183" s="32"/>
      <x:c r="S183" s="38"/>
      <x:c r="T183" s="38"/>
      <x:c r="U183" s="38"/>
      <x:c r="V183" s="38"/>
      <x:c r="W183" s="38"/>
      <x:c r="X183" s="38"/>
      <x:c r="Y183" s="38"/>
      <x:c r="Z183" s="38"/>
    </x:row>
    <x:row r="184" ht="18" customHeight="1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  <x:c r="L184" s="32"/>
      <x:c r="M184" s="32"/>
      <x:c r="N184" s="32"/>
      <x:c r="O184" s="32"/>
      <x:c r="P184" s="32"/>
      <x:c r="Q184" s="32"/>
      <x:c r="R184" s="32"/>
      <x:c r="S184" s="38"/>
      <x:c r="T184" s="38"/>
      <x:c r="U184" s="38"/>
      <x:c r="V184" s="38"/>
      <x:c r="W184" s="38"/>
      <x:c r="X184" s="38"/>
      <x:c r="Y184" s="38"/>
      <x:c r="Z184" s="38"/>
    </x:row>
    <x:row r="185" ht="18" customHeight="1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  <x:c r="L185" s="32"/>
      <x:c r="M185" s="32"/>
      <x:c r="N185" s="32"/>
      <x:c r="O185" s="32"/>
      <x:c r="P185" s="32"/>
      <x:c r="Q185" s="32"/>
      <x:c r="R185" s="32"/>
      <x:c r="S185" s="38"/>
      <x:c r="T185" s="38"/>
      <x:c r="U185" s="38"/>
      <x:c r="V185" s="38"/>
      <x:c r="W185" s="38"/>
      <x:c r="X185" s="38"/>
      <x:c r="Y185" s="38"/>
      <x:c r="Z185" s="38"/>
    </x:row>
    <x:row r="186" ht="18" customHeight="1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  <x:c r="L186" s="32"/>
      <x:c r="M186" s="32"/>
      <x:c r="N186" s="32"/>
      <x:c r="O186" s="32"/>
      <x:c r="P186" s="32"/>
      <x:c r="Q186" s="32"/>
      <x:c r="R186" s="32"/>
      <x:c r="S186" s="38"/>
      <x:c r="T186" s="38"/>
      <x:c r="U186" s="38"/>
      <x:c r="V186" s="38"/>
      <x:c r="W186" s="38"/>
      <x:c r="X186" s="38"/>
      <x:c r="Y186" s="38"/>
      <x:c r="Z186" s="38"/>
    </x:row>
    <x:row r="187" ht="18" customHeight="1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  <x:c r="L187" s="32"/>
      <x:c r="M187" s="32"/>
      <x:c r="N187" s="32"/>
      <x:c r="O187" s="32"/>
      <x:c r="P187" s="32"/>
      <x:c r="Q187" s="32"/>
      <x:c r="R187" s="32"/>
      <x:c r="S187" s="38"/>
      <x:c r="T187" s="38"/>
      <x:c r="U187" s="38"/>
      <x:c r="V187" s="38"/>
      <x:c r="W187" s="38"/>
      <x:c r="X187" s="38"/>
      <x:c r="Y187" s="38"/>
      <x:c r="Z187" s="38"/>
    </x:row>
    <x:row r="188" ht="18" customHeight="1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  <x:c r="L188" s="32"/>
      <x:c r="M188" s="32"/>
      <x:c r="N188" s="32"/>
      <x:c r="O188" s="32"/>
      <x:c r="P188" s="32"/>
      <x:c r="Q188" s="32"/>
      <x:c r="R188" s="32"/>
      <x:c r="S188" s="38"/>
      <x:c r="T188" s="38"/>
      <x:c r="U188" s="38"/>
      <x:c r="V188" s="38"/>
      <x:c r="W188" s="38"/>
      <x:c r="X188" s="38"/>
      <x:c r="Y188" s="38"/>
      <x:c r="Z188" s="38"/>
    </x:row>
    <x:row r="189" ht="18" customHeight="1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  <x:c r="L189" s="32"/>
      <x:c r="M189" s="32"/>
      <x:c r="N189" s="32"/>
      <x:c r="O189" s="32"/>
      <x:c r="P189" s="32"/>
      <x:c r="Q189" s="32"/>
      <x:c r="R189" s="32"/>
      <x:c r="S189" s="38"/>
      <x:c r="T189" s="38"/>
      <x:c r="U189" s="38"/>
      <x:c r="V189" s="38"/>
      <x:c r="W189" s="38"/>
      <x:c r="X189" s="38"/>
      <x:c r="Y189" s="38"/>
      <x:c r="Z189" s="38"/>
    </x:row>
    <x:row r="190" ht="18" customHeight="1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  <x:c r="L190" s="32"/>
      <x:c r="M190" s="32"/>
      <x:c r="N190" s="32"/>
      <x:c r="O190" s="32"/>
      <x:c r="P190" s="32"/>
      <x:c r="Q190" s="32"/>
      <x:c r="R190" s="32"/>
      <x:c r="S190" s="38"/>
      <x:c r="T190" s="38"/>
      <x:c r="U190" s="38"/>
      <x:c r="V190" s="38"/>
      <x:c r="W190" s="38"/>
      <x:c r="X190" s="38"/>
      <x:c r="Y190" s="38"/>
      <x:c r="Z190" s="38"/>
    </x:row>
    <x:row r="191" ht="18" customHeight="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  <x:c r="L191" s="32"/>
      <x:c r="M191" s="32"/>
      <x:c r="N191" s="32"/>
      <x:c r="O191" s="32"/>
      <x:c r="P191" s="32"/>
      <x:c r="Q191" s="32"/>
      <x:c r="R191" s="32"/>
      <x:c r="S191" s="38"/>
      <x:c r="T191" s="38"/>
      <x:c r="U191" s="38"/>
      <x:c r="V191" s="38"/>
      <x:c r="W191" s="38"/>
      <x:c r="X191" s="38"/>
      <x:c r="Y191" s="38"/>
      <x:c r="Z191" s="38"/>
    </x:row>
    <x:row r="192" ht="18" customHeight="1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  <x:c r="L192" s="32"/>
      <x:c r="M192" s="32"/>
      <x:c r="N192" s="32"/>
      <x:c r="O192" s="32"/>
      <x:c r="P192" s="32"/>
      <x:c r="Q192" s="32"/>
      <x:c r="R192" s="32"/>
      <x:c r="S192" s="38"/>
      <x:c r="T192" s="38"/>
      <x:c r="U192" s="38"/>
      <x:c r="V192" s="38"/>
      <x:c r="W192" s="38"/>
      <x:c r="X192" s="38"/>
      <x:c r="Y192" s="38"/>
      <x:c r="Z192" s="38"/>
    </x:row>
    <x:row r="193" ht="18" customHeight="1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  <x:c r="L193" s="32"/>
      <x:c r="M193" s="32"/>
      <x:c r="N193" s="32"/>
      <x:c r="O193" s="32"/>
      <x:c r="P193" s="32"/>
      <x:c r="Q193" s="32"/>
      <x:c r="R193" s="32"/>
      <x:c r="S193" s="38"/>
      <x:c r="T193" s="38"/>
      <x:c r="U193" s="38"/>
      <x:c r="V193" s="38"/>
      <x:c r="W193" s="38"/>
      <x:c r="X193" s="38"/>
      <x:c r="Y193" s="38"/>
      <x:c r="Z193" s="38"/>
    </x:row>
    <x:row r="194" ht="18" customHeight="1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  <x:c r="L194" s="32"/>
      <x:c r="M194" s="32"/>
      <x:c r="N194" s="32"/>
      <x:c r="O194" s="32"/>
      <x:c r="P194" s="32"/>
      <x:c r="Q194" s="32"/>
      <x:c r="R194" s="32"/>
      <x:c r="S194" s="38"/>
      <x:c r="T194" s="38"/>
      <x:c r="U194" s="38"/>
      <x:c r="V194" s="38"/>
      <x:c r="W194" s="38"/>
      <x:c r="X194" s="38"/>
      <x:c r="Y194" s="38"/>
      <x:c r="Z194" s="38"/>
    </x:row>
    <x:row r="195" ht="18" customHeight="1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  <x:c r="L195" s="32"/>
      <x:c r="M195" s="32"/>
      <x:c r="N195" s="32"/>
      <x:c r="O195" s="32"/>
      <x:c r="P195" s="32"/>
      <x:c r="Q195" s="32"/>
      <x:c r="R195" s="32"/>
      <x:c r="S195" s="38"/>
      <x:c r="T195" s="38"/>
      <x:c r="U195" s="38"/>
      <x:c r="V195" s="38"/>
      <x:c r="W195" s="38"/>
      <x:c r="X195" s="38"/>
      <x:c r="Y195" s="38"/>
      <x:c r="Z195" s="38"/>
    </x:row>
    <x:row r="196" ht="18" customHeight="1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  <x:c r="L196" s="32"/>
      <x:c r="M196" s="32"/>
      <x:c r="N196" s="32"/>
      <x:c r="O196" s="32"/>
      <x:c r="P196" s="32"/>
      <x:c r="Q196" s="32"/>
      <x:c r="R196" s="32"/>
      <x:c r="S196" s="38"/>
      <x:c r="T196" s="38"/>
      <x:c r="U196" s="38"/>
      <x:c r="V196" s="38"/>
      <x:c r="W196" s="38"/>
      <x:c r="X196" s="38"/>
      <x:c r="Y196" s="38"/>
      <x:c r="Z196" s="38"/>
    </x:row>
    <x:row r="197" ht="18" customHeight="1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  <x:c r="L197" s="32"/>
      <x:c r="M197" s="32"/>
      <x:c r="N197" s="32"/>
      <x:c r="O197" s="32"/>
      <x:c r="P197" s="32"/>
      <x:c r="Q197" s="32"/>
      <x:c r="R197" s="32"/>
      <x:c r="S197" s="38"/>
      <x:c r="T197" s="38"/>
      <x:c r="U197" s="38"/>
      <x:c r="V197" s="38"/>
      <x:c r="W197" s="38"/>
      <x:c r="X197" s="38"/>
      <x:c r="Y197" s="38"/>
      <x:c r="Z197" s="38"/>
    </x:row>
    <x:row r="198" ht="18" customHeight="1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  <x:c r="L198" s="32"/>
      <x:c r="M198" s="32"/>
      <x:c r="N198" s="32"/>
      <x:c r="O198" s="32"/>
      <x:c r="P198" s="32"/>
      <x:c r="Q198" s="32"/>
      <x:c r="R198" s="32"/>
      <x:c r="S198" s="38"/>
      <x:c r="T198" s="38"/>
      <x:c r="U198" s="38"/>
      <x:c r="V198" s="38"/>
      <x:c r="W198" s="38"/>
      <x:c r="X198" s="38"/>
      <x:c r="Y198" s="38"/>
      <x:c r="Z198" s="38"/>
    </x:row>
    <x:row r="199" ht="18" customHeight="1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  <x:c r="L199" s="32"/>
      <x:c r="M199" s="32"/>
      <x:c r="N199" s="32"/>
      <x:c r="O199" s="32"/>
      <x:c r="P199" s="32"/>
      <x:c r="Q199" s="32"/>
      <x:c r="R199" s="32"/>
      <x:c r="S199" s="38"/>
      <x:c r="T199" s="38"/>
      <x:c r="U199" s="38"/>
      <x:c r="V199" s="38"/>
      <x:c r="W199" s="38"/>
      <x:c r="X199" s="38"/>
      <x:c r="Y199" s="38"/>
      <x:c r="Z199" s="38"/>
    </x:row>
    <x:row r="200" ht="18" customHeight="1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  <x:c r="L200" s="32"/>
      <x:c r="M200" s="32"/>
      <x:c r="N200" s="32"/>
      <x:c r="O200" s="32"/>
      <x:c r="P200" s="32"/>
      <x:c r="Q200" s="32"/>
      <x:c r="R200" s="32"/>
      <x:c r="S200" s="38"/>
      <x:c r="T200" s="38"/>
      <x:c r="U200" s="38"/>
      <x:c r="V200" s="38"/>
      <x:c r="W200" s="38"/>
      <x:c r="X200" s="38"/>
      <x:c r="Y200" s="38"/>
      <x:c r="Z200" s="38"/>
    </x:row>
    <x:row r="201" ht="18" customHeight="1">
      <x:c r="A201" s="32"/>
      <x:c r="B201" s="32"/>
      <x:c r="C201" s="32"/>
      <x:c r="D201" s="32"/>
      <x:c r="E201" s="32"/>
      <x:c r="F201" s="32"/>
      <x:c r="G201" s="32"/>
      <x:c r="H201" s="32"/>
      <x:c r="I201" s="32"/>
      <x:c r="J201" s="32"/>
      <x:c r="K201" s="32"/>
      <x:c r="L201" s="32"/>
      <x:c r="M201" s="32"/>
      <x:c r="N201" s="32"/>
      <x:c r="O201" s="32"/>
      <x:c r="P201" s="32"/>
      <x:c r="Q201" s="32"/>
      <x:c r="R201" s="32"/>
      <x:c r="S201" s="38"/>
      <x:c r="T201" s="38"/>
      <x:c r="U201" s="38"/>
      <x:c r="V201" s="38"/>
      <x:c r="W201" s="38"/>
      <x:c r="X201" s="38"/>
      <x:c r="Y201" s="38"/>
      <x:c r="Z201" s="38"/>
    </x:row>
    <x:row r="202" ht="18" customHeight="1">
      <x:c r="A202" s="32"/>
      <x:c r="B202" s="32"/>
      <x:c r="C202" s="32"/>
      <x:c r="D202" s="32"/>
      <x:c r="E202" s="32"/>
      <x:c r="F202" s="32"/>
      <x:c r="G202" s="32"/>
      <x:c r="H202" s="32"/>
      <x:c r="I202" s="32"/>
      <x:c r="J202" s="32"/>
      <x:c r="K202" s="32"/>
      <x:c r="L202" s="32"/>
      <x:c r="M202" s="32"/>
      <x:c r="N202" s="32"/>
      <x:c r="O202" s="32"/>
      <x:c r="P202" s="32"/>
      <x:c r="Q202" s="32"/>
      <x:c r="R202" s="32"/>
      <x:c r="S202" s="38"/>
      <x:c r="T202" s="38"/>
      <x:c r="U202" s="38"/>
      <x:c r="V202" s="38"/>
      <x:c r="W202" s="38"/>
      <x:c r="X202" s="38"/>
      <x:c r="Y202" s="38"/>
      <x:c r="Z202" s="38"/>
    </x:row>
    <x:row r="203" ht="18" customHeight="1">
      <x:c r="A203" s="32"/>
      <x:c r="B203" s="32"/>
      <x:c r="C203" s="32"/>
      <x:c r="D203" s="32"/>
      <x:c r="E203" s="32"/>
      <x:c r="F203" s="32"/>
      <x:c r="G203" s="32"/>
      <x:c r="H203" s="32"/>
      <x:c r="I203" s="32"/>
      <x:c r="J203" s="32"/>
      <x:c r="K203" s="32"/>
      <x:c r="L203" s="32"/>
      <x:c r="M203" s="32"/>
      <x:c r="N203" s="32"/>
      <x:c r="O203" s="32"/>
      <x:c r="P203" s="32"/>
      <x:c r="Q203" s="32"/>
      <x:c r="R203" s="32"/>
      <x:c r="S203" s="38"/>
      <x:c r="T203" s="38"/>
      <x:c r="U203" s="38"/>
      <x:c r="V203" s="38"/>
      <x:c r="W203" s="38"/>
      <x:c r="X203" s="38"/>
      <x:c r="Y203" s="38"/>
      <x:c r="Z203" s="38"/>
    </x:row>
    <x:row r="204" ht="18" customHeight="1">
      <x:c r="A204" s="32"/>
      <x:c r="B204" s="32"/>
      <x:c r="C204" s="32"/>
      <x:c r="D204" s="32"/>
      <x:c r="E204" s="32"/>
      <x:c r="F204" s="32"/>
      <x:c r="G204" s="32"/>
      <x:c r="H204" s="32"/>
      <x:c r="I204" s="32"/>
      <x:c r="J204" s="32"/>
      <x:c r="K204" s="32"/>
      <x:c r="L204" s="32"/>
      <x:c r="M204" s="32"/>
      <x:c r="N204" s="32"/>
      <x:c r="O204" s="32"/>
      <x:c r="P204" s="32"/>
      <x:c r="Q204" s="32"/>
      <x:c r="R204" s="32"/>
      <x:c r="S204" s="38"/>
      <x:c r="T204" s="38"/>
      <x:c r="U204" s="38"/>
      <x:c r="V204" s="38"/>
      <x:c r="W204" s="38"/>
      <x:c r="X204" s="38"/>
      <x:c r="Y204" s="38"/>
      <x:c r="Z204" s="38"/>
    </x:row>
    <x:row r="205" ht="18" customHeight="1">
      <x:c r="A205" s="32"/>
      <x:c r="B205" s="32"/>
      <x:c r="C205" s="32"/>
      <x:c r="D205" s="32"/>
      <x:c r="E205" s="32"/>
      <x:c r="F205" s="32"/>
      <x:c r="G205" s="32"/>
      <x:c r="H205" s="32"/>
      <x:c r="I205" s="32"/>
      <x:c r="J205" s="32"/>
      <x:c r="K205" s="32"/>
      <x:c r="L205" s="32"/>
      <x:c r="M205" s="32"/>
      <x:c r="N205" s="32"/>
      <x:c r="O205" s="32"/>
      <x:c r="P205" s="32"/>
      <x:c r="Q205" s="32"/>
      <x:c r="R205" s="32"/>
      <x:c r="S205" s="38"/>
      <x:c r="T205" s="38"/>
      <x:c r="U205" s="38"/>
      <x:c r="V205" s="38"/>
      <x:c r="W205" s="38"/>
      <x:c r="X205" s="38"/>
      <x:c r="Y205" s="38"/>
      <x:c r="Z205" s="38"/>
    </x:row>
    <x:row r="206" ht="18" customHeight="1">
      <x:c r="A206" s="32"/>
      <x:c r="B206" s="32"/>
      <x:c r="C206" s="32"/>
      <x:c r="D206" s="32"/>
      <x:c r="E206" s="32"/>
      <x:c r="F206" s="32"/>
      <x:c r="G206" s="32"/>
      <x:c r="H206" s="32"/>
      <x:c r="I206" s="32"/>
      <x:c r="J206" s="32"/>
      <x:c r="K206" s="32"/>
      <x:c r="L206" s="32"/>
      <x:c r="M206" s="32"/>
      <x:c r="N206" s="32"/>
      <x:c r="O206" s="32"/>
      <x:c r="P206" s="32"/>
      <x:c r="Q206" s="32"/>
      <x:c r="R206" s="32"/>
      <x:c r="S206" s="38"/>
      <x:c r="T206" s="38"/>
      <x:c r="U206" s="38"/>
      <x:c r="V206" s="38"/>
      <x:c r="W206" s="38"/>
      <x:c r="X206" s="38"/>
      <x:c r="Y206" s="38"/>
      <x:c r="Z206" s="38"/>
    </x:row>
    <x:row r="207" ht="18" customHeight="1">
      <x:c r="A207" s="32"/>
      <x:c r="B207" s="32"/>
      <x:c r="C207" s="32"/>
      <x:c r="D207" s="32"/>
      <x:c r="E207" s="32"/>
      <x:c r="F207" s="32"/>
      <x:c r="G207" s="32"/>
      <x:c r="H207" s="32"/>
      <x:c r="I207" s="32"/>
      <x:c r="J207" s="32"/>
      <x:c r="K207" s="32"/>
      <x:c r="L207" s="32"/>
      <x:c r="M207" s="32"/>
      <x:c r="N207" s="32"/>
      <x:c r="O207" s="32"/>
      <x:c r="P207" s="32"/>
      <x:c r="Q207" s="32"/>
      <x:c r="R207" s="32"/>
      <x:c r="S207" s="38"/>
      <x:c r="T207" s="38"/>
      <x:c r="U207" s="38"/>
      <x:c r="V207" s="38"/>
      <x:c r="W207" s="38"/>
      <x:c r="X207" s="38"/>
      <x:c r="Y207" s="38"/>
      <x:c r="Z207" s="38"/>
    </x:row>
    <x:row r="208" ht="18" customHeight="1">
      <x:c r="A208" s="32"/>
      <x:c r="B208" s="32"/>
      <x:c r="C208" s="32"/>
      <x:c r="D208" s="32"/>
      <x:c r="E208" s="32"/>
      <x:c r="F208" s="32"/>
      <x:c r="G208" s="32"/>
      <x:c r="H208" s="32"/>
      <x:c r="I208" s="32"/>
      <x:c r="J208" s="32"/>
      <x:c r="K208" s="32"/>
      <x:c r="L208" s="32"/>
      <x:c r="M208" s="32"/>
      <x:c r="N208" s="32"/>
      <x:c r="O208" s="32"/>
      <x:c r="P208" s="32"/>
      <x:c r="Q208" s="32"/>
      <x:c r="R208" s="32"/>
      <x:c r="S208" s="38"/>
      <x:c r="T208" s="38"/>
      <x:c r="U208" s="38"/>
      <x:c r="V208" s="38"/>
      <x:c r="W208" s="38"/>
      <x:c r="X208" s="38"/>
      <x:c r="Y208" s="38"/>
      <x:c r="Z208" s="38"/>
    </x:row>
    <x:row r="209" ht="18" customHeight="1">
      <x:c r="A209" s="32"/>
      <x:c r="B209" s="32"/>
      <x:c r="C209" s="32"/>
      <x:c r="D209" s="32"/>
      <x:c r="E209" s="32"/>
      <x:c r="F209" s="32"/>
      <x:c r="G209" s="32"/>
      <x:c r="H209" s="32"/>
      <x:c r="I209" s="32"/>
      <x:c r="J209" s="32"/>
      <x:c r="K209" s="32"/>
      <x:c r="L209" s="32"/>
      <x:c r="M209" s="32"/>
      <x:c r="N209" s="32"/>
      <x:c r="O209" s="32"/>
      <x:c r="P209" s="32"/>
      <x:c r="Q209" s="32"/>
      <x:c r="R209" s="32"/>
      <x:c r="S209" s="38"/>
      <x:c r="T209" s="38"/>
      <x:c r="U209" s="38"/>
      <x:c r="V209" s="38"/>
      <x:c r="W209" s="38"/>
      <x:c r="X209" s="38"/>
      <x:c r="Y209" s="38"/>
      <x:c r="Z209" s="38"/>
    </x:row>
    <x:row r="210" ht="18" customHeight="1">
      <x:c r="A210" s="32"/>
      <x:c r="B210" s="32"/>
      <x:c r="C210" s="32"/>
      <x:c r="D210" s="32"/>
      <x:c r="E210" s="32"/>
      <x:c r="F210" s="32"/>
      <x:c r="G210" s="32"/>
      <x:c r="H210" s="32"/>
      <x:c r="I210" s="32"/>
      <x:c r="J210" s="32"/>
      <x:c r="K210" s="32"/>
      <x:c r="L210" s="32"/>
      <x:c r="M210" s="32"/>
      <x:c r="N210" s="32"/>
      <x:c r="O210" s="32"/>
      <x:c r="P210" s="32"/>
      <x:c r="Q210" s="32"/>
      <x:c r="R210" s="32"/>
      <x:c r="S210" s="38"/>
      <x:c r="T210" s="38"/>
      <x:c r="U210" s="38"/>
      <x:c r="V210" s="38"/>
      <x:c r="W210" s="38"/>
      <x:c r="X210" s="38"/>
      <x:c r="Y210" s="38"/>
      <x:c r="Z210" s="38"/>
    </x:row>
    <x:row r="211" ht="18" customHeight="1">
      <x:c r="A211" s="32"/>
      <x:c r="B211" s="32"/>
      <x:c r="C211" s="32"/>
      <x:c r="D211" s="32"/>
      <x:c r="E211" s="32"/>
      <x:c r="F211" s="32"/>
      <x:c r="G211" s="32"/>
      <x:c r="H211" s="32"/>
      <x:c r="I211" s="32"/>
      <x:c r="J211" s="32"/>
      <x:c r="K211" s="32"/>
      <x:c r="L211" s="32"/>
      <x:c r="M211" s="32"/>
      <x:c r="N211" s="32"/>
      <x:c r="O211" s="32"/>
      <x:c r="P211" s="32"/>
      <x:c r="Q211" s="32"/>
      <x:c r="R211" s="32"/>
      <x:c r="S211" s="38"/>
      <x:c r="T211" s="38"/>
      <x:c r="U211" s="38"/>
      <x:c r="V211" s="38"/>
      <x:c r="W211" s="38"/>
      <x:c r="X211" s="38"/>
      <x:c r="Y211" s="38"/>
      <x:c r="Z211" s="38"/>
    </x:row>
    <x:row r="212" ht="18" customHeight="1">
      <x:c r="A212" s="32"/>
      <x:c r="B212" s="32"/>
      <x:c r="C212" s="32"/>
      <x:c r="D212" s="32"/>
      <x:c r="E212" s="32"/>
      <x:c r="F212" s="32"/>
      <x:c r="G212" s="32"/>
      <x:c r="H212" s="32"/>
      <x:c r="I212" s="32"/>
      <x:c r="J212" s="32"/>
      <x:c r="K212" s="32"/>
      <x:c r="L212" s="32"/>
      <x:c r="M212" s="32"/>
      <x:c r="N212" s="32"/>
      <x:c r="O212" s="32"/>
      <x:c r="P212" s="32"/>
      <x:c r="Q212" s="32"/>
      <x:c r="R212" s="32"/>
      <x:c r="S212" s="38"/>
      <x:c r="T212" s="38"/>
      <x:c r="U212" s="38"/>
      <x:c r="V212" s="38"/>
      <x:c r="W212" s="38"/>
      <x:c r="X212" s="38"/>
      <x:c r="Y212" s="38"/>
      <x:c r="Z212" s="38"/>
    </x:row>
    <x:row r="213" ht="18" customHeight="1">
      <x:c r="A213" s="32"/>
      <x:c r="B213" s="32"/>
      <x:c r="C213" s="32"/>
      <x:c r="D213" s="32"/>
      <x:c r="E213" s="32"/>
      <x:c r="F213" s="32"/>
      <x:c r="G213" s="32"/>
      <x:c r="H213" s="32"/>
      <x:c r="I213" s="32"/>
      <x:c r="J213" s="32"/>
      <x:c r="K213" s="32"/>
      <x:c r="L213" s="32"/>
      <x:c r="M213" s="32"/>
      <x:c r="N213" s="32"/>
      <x:c r="O213" s="32"/>
      <x:c r="P213" s="32"/>
      <x:c r="Q213" s="32"/>
      <x:c r="R213" s="32"/>
      <x:c r="S213" s="38"/>
      <x:c r="T213" s="38"/>
      <x:c r="U213" s="38"/>
      <x:c r="V213" s="38"/>
      <x:c r="W213" s="38"/>
      <x:c r="X213" s="38"/>
      <x:c r="Y213" s="38"/>
      <x:c r="Z213" s="38"/>
    </x:row>
    <x:row r="214" ht="18" customHeight="1">
      <x:c r="A214" s="32"/>
      <x:c r="B214" s="32"/>
      <x:c r="C214" s="32"/>
      <x:c r="D214" s="32"/>
      <x:c r="E214" s="32"/>
      <x:c r="F214" s="32"/>
      <x:c r="G214" s="32"/>
      <x:c r="H214" s="32"/>
      <x:c r="I214" s="32"/>
      <x:c r="J214" s="32"/>
      <x:c r="K214" s="32"/>
      <x:c r="L214" s="32"/>
      <x:c r="M214" s="32"/>
      <x:c r="N214" s="32"/>
      <x:c r="O214" s="32"/>
      <x:c r="P214" s="32"/>
      <x:c r="Q214" s="32"/>
      <x:c r="R214" s="32"/>
      <x:c r="S214" s="38"/>
      <x:c r="T214" s="38"/>
      <x:c r="U214" s="38"/>
      <x:c r="V214" s="38"/>
      <x:c r="W214" s="38"/>
      <x:c r="X214" s="38"/>
      <x:c r="Y214" s="38"/>
      <x:c r="Z214" s="38"/>
    </x:row>
    <x:row r="215" ht="18" customHeight="1">
      <x:c r="A215" s="32"/>
      <x:c r="B215" s="32"/>
      <x:c r="C215" s="32"/>
      <x:c r="D215" s="32"/>
      <x:c r="E215" s="32"/>
      <x:c r="F215" s="32"/>
      <x:c r="G215" s="32"/>
      <x:c r="H215" s="32"/>
      <x:c r="I215" s="32"/>
      <x:c r="J215" s="32"/>
      <x:c r="K215" s="32"/>
      <x:c r="L215" s="32"/>
      <x:c r="M215" s="32"/>
      <x:c r="N215" s="32"/>
      <x:c r="O215" s="32"/>
      <x:c r="P215" s="32"/>
      <x:c r="Q215" s="32"/>
      <x:c r="R215" s="32"/>
      <x:c r="S215" s="38"/>
      <x:c r="T215" s="38"/>
      <x:c r="U215" s="38"/>
      <x:c r="V215" s="38"/>
      <x:c r="W215" s="38"/>
      <x:c r="X215" s="38"/>
      <x:c r="Y215" s="38"/>
      <x:c r="Z215" s="38"/>
    </x:row>
    <x:row r="216" ht="18" customHeight="1">
      <x:c r="A216" s="32"/>
      <x:c r="B216" s="32"/>
      <x:c r="C216" s="32"/>
      <x:c r="D216" s="32"/>
      <x:c r="E216" s="32"/>
      <x:c r="F216" s="32"/>
      <x:c r="G216" s="32"/>
      <x:c r="H216" s="32"/>
      <x:c r="I216" s="32"/>
      <x:c r="J216" s="32"/>
      <x:c r="K216" s="32"/>
      <x:c r="L216" s="32"/>
      <x:c r="M216" s="32"/>
      <x:c r="N216" s="32"/>
      <x:c r="O216" s="32"/>
      <x:c r="P216" s="32"/>
      <x:c r="Q216" s="32"/>
      <x:c r="R216" s="32"/>
      <x:c r="S216" s="38"/>
      <x:c r="T216" s="38"/>
      <x:c r="U216" s="38"/>
      <x:c r="V216" s="38"/>
      <x:c r="W216" s="38"/>
      <x:c r="X216" s="38"/>
      <x:c r="Y216" s="38"/>
      <x:c r="Z216" s="38"/>
    </x:row>
    <x:row r="217" ht="18" customHeight="1">
      <x:c r="A217" s="32"/>
      <x:c r="B217" s="32"/>
      <x:c r="C217" s="32"/>
      <x:c r="D217" s="32"/>
      <x:c r="E217" s="32"/>
      <x:c r="F217" s="32"/>
      <x:c r="G217" s="32"/>
      <x:c r="H217" s="32"/>
      <x:c r="I217" s="32"/>
      <x:c r="J217" s="32"/>
      <x:c r="K217" s="32"/>
      <x:c r="L217" s="32"/>
      <x:c r="M217" s="32"/>
      <x:c r="N217" s="32"/>
      <x:c r="O217" s="32"/>
      <x:c r="P217" s="32"/>
      <x:c r="Q217" s="32"/>
      <x:c r="R217" s="32"/>
      <x:c r="S217" s="38"/>
      <x:c r="T217" s="38"/>
      <x:c r="U217" s="38"/>
      <x:c r="V217" s="38"/>
      <x:c r="W217" s="38"/>
      <x:c r="X217" s="38"/>
      <x:c r="Y217" s="38"/>
      <x:c r="Z217" s="38"/>
    </x:row>
    <x:row r="218" ht="18" customHeight="1">
      <x:c r="A218" s="32"/>
      <x:c r="B218" s="32"/>
      <x:c r="C218" s="32"/>
      <x:c r="D218" s="32"/>
      <x:c r="E218" s="32"/>
      <x:c r="F218" s="32"/>
      <x:c r="G218" s="32"/>
      <x:c r="H218" s="32"/>
      <x:c r="I218" s="32"/>
      <x:c r="J218" s="32"/>
      <x:c r="K218" s="32"/>
      <x:c r="L218" s="32"/>
      <x:c r="M218" s="32"/>
      <x:c r="N218" s="32"/>
      <x:c r="O218" s="32"/>
      <x:c r="P218" s="32"/>
      <x:c r="Q218" s="32"/>
      <x:c r="R218" s="32"/>
      <x:c r="S218" s="38"/>
      <x:c r="T218" s="38"/>
      <x:c r="U218" s="38"/>
      <x:c r="V218" s="38"/>
      <x:c r="W218" s="38"/>
      <x:c r="X218" s="38"/>
      <x:c r="Y218" s="38"/>
      <x:c r="Z218" s="38"/>
    </x:row>
    <x:row r="219" ht="18" customHeight="1">
      <x:c r="A219" s="32"/>
      <x:c r="B219" s="32"/>
      <x:c r="C219" s="32"/>
      <x:c r="D219" s="32"/>
      <x:c r="E219" s="32"/>
      <x:c r="F219" s="32"/>
      <x:c r="G219" s="32"/>
      <x:c r="H219" s="32"/>
      <x:c r="I219" s="32"/>
      <x:c r="J219" s="32"/>
      <x:c r="K219" s="32"/>
      <x:c r="L219" s="32"/>
      <x:c r="M219" s="32"/>
      <x:c r="N219" s="32"/>
      <x:c r="O219" s="32"/>
      <x:c r="P219" s="32"/>
      <x:c r="Q219" s="32"/>
      <x:c r="R219" s="32"/>
      <x:c r="S219" s="38"/>
      <x:c r="T219" s="38"/>
      <x:c r="U219" s="38"/>
      <x:c r="V219" s="38"/>
      <x:c r="W219" s="38"/>
      <x:c r="X219" s="38"/>
      <x:c r="Y219" s="38"/>
      <x:c r="Z219" s="38"/>
    </x:row>
    <x:row r="220" ht="18" customHeight="1">
      <x:c r="A220" s="32"/>
      <x:c r="B220" s="32"/>
      <x:c r="C220" s="32"/>
      <x:c r="D220" s="32"/>
      <x:c r="E220" s="32"/>
      <x:c r="F220" s="32"/>
      <x:c r="G220" s="32"/>
      <x:c r="H220" s="32"/>
      <x:c r="I220" s="32"/>
      <x:c r="J220" s="32"/>
      <x:c r="K220" s="32"/>
      <x:c r="L220" s="32"/>
      <x:c r="M220" s="32"/>
      <x:c r="N220" s="32"/>
      <x:c r="O220" s="32"/>
      <x:c r="P220" s="32"/>
      <x:c r="Q220" s="32"/>
      <x:c r="R220" s="32"/>
      <x:c r="S220" s="38"/>
      <x:c r="T220" s="38"/>
      <x:c r="U220" s="38"/>
      <x:c r="V220" s="38"/>
      <x:c r="W220" s="38"/>
      <x:c r="X220" s="38"/>
      <x:c r="Y220" s="38"/>
      <x:c r="Z220" s="38"/>
    </x:row>
    <x:row r="221" ht="18" customHeight="1">
      <x:c r="A221" s="32"/>
      <x:c r="B221" s="32"/>
      <x:c r="C221" s="32"/>
      <x:c r="D221" s="32"/>
      <x:c r="E221" s="32"/>
      <x:c r="F221" s="32"/>
      <x:c r="G221" s="32"/>
      <x:c r="H221" s="32"/>
      <x:c r="I221" s="32"/>
      <x:c r="J221" s="32"/>
      <x:c r="K221" s="32"/>
      <x:c r="L221" s="32"/>
      <x:c r="M221" s="32"/>
      <x:c r="N221" s="32"/>
      <x:c r="O221" s="32"/>
      <x:c r="P221" s="32"/>
      <x:c r="Q221" s="32"/>
      <x:c r="R221" s="32"/>
      <x:c r="S221" s="38"/>
      <x:c r="T221" s="38"/>
      <x:c r="U221" s="38"/>
      <x:c r="V221" s="38"/>
      <x:c r="W221" s="38"/>
      <x:c r="X221" s="38"/>
      <x:c r="Y221" s="38"/>
      <x:c r="Z221" s="38"/>
    </x:row>
    <x:row r="222" ht="18" customHeight="1">
      <x:c r="A222" s="32"/>
      <x:c r="B222" s="32"/>
      <x:c r="C222" s="32"/>
      <x:c r="D222" s="32"/>
      <x:c r="E222" s="32"/>
      <x:c r="F222" s="32"/>
      <x:c r="G222" s="32"/>
      <x:c r="H222" s="32"/>
      <x:c r="I222" s="32"/>
      <x:c r="J222" s="32"/>
      <x:c r="K222" s="32"/>
      <x:c r="L222" s="32"/>
      <x:c r="M222" s="32"/>
      <x:c r="N222" s="32"/>
      <x:c r="O222" s="32"/>
      <x:c r="P222" s="32"/>
      <x:c r="Q222" s="32"/>
      <x:c r="R222" s="32"/>
      <x:c r="S222" s="38"/>
      <x:c r="T222" s="38"/>
      <x:c r="U222" s="38"/>
      <x:c r="V222" s="38"/>
      <x:c r="W222" s="38"/>
      <x:c r="X222" s="38"/>
      <x:c r="Y222" s="38"/>
      <x:c r="Z222" s="38"/>
    </x:row>
    <x:row r="223" ht="18" customHeight="1">
      <x:c r="A223" s="32"/>
      <x:c r="B223" s="32"/>
      <x:c r="C223" s="32"/>
      <x:c r="D223" s="32"/>
      <x:c r="E223" s="32"/>
      <x:c r="F223" s="32"/>
      <x:c r="G223" s="32"/>
      <x:c r="H223" s="32"/>
      <x:c r="I223" s="32"/>
      <x:c r="J223" s="32"/>
      <x:c r="K223" s="32"/>
      <x:c r="L223" s="32"/>
      <x:c r="M223" s="32"/>
      <x:c r="N223" s="32"/>
      <x:c r="O223" s="32"/>
      <x:c r="P223" s="32"/>
      <x:c r="Q223" s="32"/>
      <x:c r="R223" s="32"/>
      <x:c r="S223" s="38"/>
      <x:c r="T223" s="38"/>
      <x:c r="U223" s="38"/>
      <x:c r="V223" s="38"/>
      <x:c r="W223" s="38"/>
      <x:c r="X223" s="38"/>
      <x:c r="Y223" s="38"/>
      <x:c r="Z223" s="38"/>
    </x:row>
    <x:row r="224" ht="18" customHeight="1">
      <x:c r="A224" s="32"/>
      <x:c r="B224" s="32"/>
      <x:c r="C224" s="32"/>
      <x:c r="D224" s="32"/>
      <x:c r="E224" s="32"/>
      <x:c r="F224" s="32"/>
      <x:c r="G224" s="32"/>
      <x:c r="H224" s="32"/>
      <x:c r="I224" s="32"/>
      <x:c r="J224" s="32"/>
      <x:c r="K224" s="32"/>
      <x:c r="L224" s="32"/>
      <x:c r="M224" s="32"/>
      <x:c r="N224" s="32"/>
      <x:c r="O224" s="32"/>
      <x:c r="P224" s="32"/>
      <x:c r="Q224" s="32"/>
      <x:c r="R224" s="32"/>
      <x:c r="S224" s="38"/>
      <x:c r="T224" s="38"/>
      <x:c r="U224" s="38"/>
      <x:c r="V224" s="38"/>
      <x:c r="W224" s="38"/>
      <x:c r="X224" s="38"/>
      <x:c r="Y224" s="38"/>
      <x:c r="Z224" s="38"/>
    </x:row>
    <x:row r="225" ht="18" customHeight="1">
      <x:c r="A225" s="32"/>
      <x:c r="B225" s="32"/>
      <x:c r="C225" s="32"/>
      <x:c r="D225" s="32"/>
      <x:c r="E225" s="32"/>
      <x:c r="F225" s="32"/>
      <x:c r="G225" s="32"/>
      <x:c r="H225" s="32"/>
      <x:c r="I225" s="32"/>
      <x:c r="J225" s="32"/>
      <x:c r="K225" s="32"/>
      <x:c r="L225" s="32"/>
      <x:c r="M225" s="32"/>
      <x:c r="N225" s="32"/>
      <x:c r="O225" s="32"/>
      <x:c r="P225" s="32"/>
      <x:c r="Q225" s="32"/>
      <x:c r="R225" s="32"/>
      <x:c r="S225" s="38"/>
      <x:c r="T225" s="38"/>
      <x:c r="U225" s="38"/>
      <x:c r="V225" s="38"/>
      <x:c r="W225" s="38"/>
      <x:c r="X225" s="38"/>
      <x:c r="Y225" s="38"/>
      <x:c r="Z225" s="38"/>
    </x:row>
    <x:row r="226" ht="18" customHeight="1">
      <x:c r="A226" s="32"/>
      <x:c r="B226" s="32"/>
      <x:c r="C226" s="32"/>
      <x:c r="D226" s="32"/>
      <x:c r="E226" s="32"/>
      <x:c r="F226" s="32"/>
      <x:c r="G226" s="32"/>
      <x:c r="H226" s="32"/>
      <x:c r="I226" s="32"/>
      <x:c r="J226" s="32"/>
      <x:c r="K226" s="32"/>
      <x:c r="L226" s="32"/>
      <x:c r="M226" s="32"/>
      <x:c r="N226" s="32"/>
      <x:c r="O226" s="32"/>
      <x:c r="P226" s="32"/>
      <x:c r="Q226" s="32"/>
      <x:c r="R226" s="32"/>
      <x:c r="S226" s="38"/>
      <x:c r="T226" s="38"/>
      <x:c r="U226" s="38"/>
      <x:c r="V226" s="38"/>
      <x:c r="W226" s="38"/>
      <x:c r="X226" s="38"/>
      <x:c r="Y226" s="38"/>
      <x:c r="Z226" s="38"/>
    </x:row>
    <x:row r="227" ht="18" customHeight="1">
      <x:c r="A227" s="32"/>
      <x:c r="B227" s="32"/>
      <x:c r="C227" s="32"/>
      <x:c r="D227" s="32"/>
      <x:c r="E227" s="32"/>
      <x:c r="F227" s="32"/>
      <x:c r="G227" s="32"/>
      <x:c r="H227" s="32"/>
      <x:c r="I227" s="32"/>
      <x:c r="J227" s="32"/>
      <x:c r="K227" s="32"/>
      <x:c r="L227" s="32"/>
      <x:c r="M227" s="32"/>
      <x:c r="N227" s="32"/>
      <x:c r="O227" s="32"/>
      <x:c r="P227" s="32"/>
      <x:c r="Q227" s="32"/>
      <x:c r="R227" s="32"/>
      <x:c r="S227" s="38"/>
      <x:c r="T227" s="38"/>
      <x:c r="U227" s="38"/>
      <x:c r="V227" s="38"/>
      <x:c r="W227" s="38"/>
      <x:c r="X227" s="38"/>
      <x:c r="Y227" s="38"/>
      <x:c r="Z227" s="38"/>
    </x:row>
    <x:row r="228" ht="18" customHeight="1">
      <x:c r="A228" s="32"/>
      <x:c r="B228" s="32"/>
      <x:c r="C228" s="32"/>
      <x:c r="D228" s="32"/>
      <x:c r="E228" s="32"/>
      <x:c r="F228" s="32"/>
      <x:c r="G228" s="32"/>
      <x:c r="H228" s="32"/>
      <x:c r="I228" s="32"/>
      <x:c r="J228" s="32"/>
      <x:c r="K228" s="32"/>
      <x:c r="L228" s="32"/>
      <x:c r="M228" s="32"/>
      <x:c r="N228" s="32"/>
      <x:c r="O228" s="32"/>
      <x:c r="P228" s="32"/>
      <x:c r="Q228" s="32"/>
      <x:c r="R228" s="32"/>
      <x:c r="S228" s="38"/>
      <x:c r="T228" s="38"/>
      <x:c r="U228" s="38"/>
      <x:c r="V228" s="38"/>
      <x:c r="W228" s="38"/>
      <x:c r="X228" s="38"/>
      <x:c r="Y228" s="38"/>
      <x:c r="Z228" s="38"/>
    </x:row>
    <x:row r="229" ht="18" customHeight="1">
      <x:c r="A229" s="32"/>
      <x:c r="B229" s="32"/>
      <x:c r="C229" s="32"/>
      <x:c r="D229" s="32"/>
      <x:c r="E229" s="32"/>
      <x:c r="F229" s="32"/>
      <x:c r="G229" s="32"/>
      <x:c r="H229" s="32"/>
      <x:c r="I229" s="32"/>
      <x:c r="J229" s="32"/>
      <x:c r="K229" s="32"/>
      <x:c r="L229" s="32"/>
      <x:c r="M229" s="32"/>
      <x:c r="N229" s="32"/>
      <x:c r="O229" s="32"/>
      <x:c r="P229" s="32"/>
      <x:c r="Q229" s="32"/>
      <x:c r="R229" s="32"/>
      <x:c r="S229" s="38"/>
      <x:c r="T229" s="38"/>
      <x:c r="U229" s="38"/>
      <x:c r="V229" s="38"/>
      <x:c r="W229" s="38"/>
      <x:c r="X229" s="38"/>
      <x:c r="Y229" s="38"/>
      <x:c r="Z229" s="38"/>
    </x:row>
    <x:row r="230" ht="18" customHeight="1">
      <x:c r="A230" s="32"/>
      <x:c r="B230" s="32"/>
      <x:c r="C230" s="32"/>
      <x:c r="D230" s="32"/>
      <x:c r="E230" s="32"/>
      <x:c r="F230" s="32"/>
      <x:c r="G230" s="32"/>
      <x:c r="H230" s="32"/>
      <x:c r="I230" s="32"/>
      <x:c r="J230" s="32"/>
      <x:c r="K230" s="32"/>
      <x:c r="L230" s="32"/>
      <x:c r="M230" s="32"/>
      <x:c r="N230" s="32"/>
      <x:c r="O230" s="32"/>
      <x:c r="P230" s="32"/>
      <x:c r="Q230" s="32"/>
      <x:c r="R230" s="32"/>
      <x:c r="S230" s="38"/>
      <x:c r="T230" s="38"/>
      <x:c r="U230" s="38"/>
      <x:c r="V230" s="38"/>
      <x:c r="W230" s="38"/>
      <x:c r="X230" s="38"/>
      <x:c r="Y230" s="38"/>
      <x:c r="Z230" s="38"/>
    </x:row>
    <x:row r="231" ht="18" customHeight="1">
      <x:c r="A231" s="32"/>
      <x:c r="B231" s="32"/>
      <x:c r="C231" s="32"/>
      <x:c r="D231" s="32"/>
      <x:c r="E231" s="32"/>
      <x:c r="F231" s="32"/>
      <x:c r="G231" s="32"/>
      <x:c r="H231" s="32"/>
      <x:c r="I231" s="32"/>
      <x:c r="J231" s="32"/>
      <x:c r="K231" s="32"/>
      <x:c r="L231" s="32"/>
      <x:c r="M231" s="32"/>
      <x:c r="N231" s="32"/>
      <x:c r="O231" s="32"/>
      <x:c r="P231" s="32"/>
      <x:c r="Q231" s="32"/>
      <x:c r="R231" s="32"/>
      <x:c r="S231" s="38"/>
      <x:c r="T231" s="38"/>
      <x:c r="U231" s="38"/>
      <x:c r="V231" s="38"/>
      <x:c r="W231" s="38"/>
      <x:c r="X231" s="38"/>
      <x:c r="Y231" s="38"/>
      <x:c r="Z231" s="38"/>
    </x:row>
    <x:row r="232" ht="18" customHeight="1">
      <x:c r="A232" s="32"/>
      <x:c r="B232" s="32"/>
      <x:c r="C232" s="32"/>
      <x:c r="D232" s="32"/>
      <x:c r="E232" s="32"/>
      <x:c r="F232" s="32"/>
      <x:c r="G232" s="32"/>
      <x:c r="H232" s="32"/>
      <x:c r="I232" s="32"/>
      <x:c r="J232" s="32"/>
      <x:c r="K232" s="32"/>
      <x:c r="L232" s="32"/>
      <x:c r="M232" s="32"/>
      <x:c r="N232" s="32"/>
      <x:c r="O232" s="32"/>
      <x:c r="P232" s="32"/>
      <x:c r="Q232" s="32"/>
      <x:c r="R232" s="32"/>
      <x:c r="S232" s="38"/>
      <x:c r="T232" s="38"/>
      <x:c r="U232" s="38"/>
      <x:c r="V232" s="38"/>
      <x:c r="W232" s="38"/>
      <x:c r="X232" s="38"/>
      <x:c r="Y232" s="38"/>
      <x:c r="Z232" s="38"/>
    </x:row>
    <x:row r="233" ht="18" customHeight="1">
      <x:c r="A233" s="32"/>
      <x:c r="B233" s="32"/>
      <x:c r="C233" s="32"/>
      <x:c r="D233" s="32"/>
      <x:c r="E233" s="32"/>
      <x:c r="F233" s="32"/>
      <x:c r="G233" s="32"/>
      <x:c r="H233" s="32"/>
      <x:c r="I233" s="32"/>
      <x:c r="J233" s="32"/>
      <x:c r="K233" s="32"/>
      <x:c r="L233" s="32"/>
      <x:c r="M233" s="32"/>
      <x:c r="N233" s="32"/>
      <x:c r="O233" s="32"/>
      <x:c r="P233" s="32"/>
      <x:c r="Q233" s="32"/>
      <x:c r="R233" s="32"/>
      <x:c r="S233" s="38"/>
      <x:c r="T233" s="38"/>
      <x:c r="U233" s="38"/>
      <x:c r="V233" s="38"/>
      <x:c r="W233" s="38"/>
      <x:c r="X233" s="38"/>
      <x:c r="Y233" s="38"/>
      <x:c r="Z233" s="38"/>
    </x:row>
    <x:row r="234" ht="18" customHeight="1">
      <x:c r="A234" s="32"/>
      <x:c r="B234" s="32"/>
      <x:c r="C234" s="32"/>
      <x:c r="D234" s="32"/>
      <x:c r="E234" s="32"/>
      <x:c r="F234" s="32"/>
      <x:c r="G234" s="32"/>
      <x:c r="H234" s="32"/>
      <x:c r="I234" s="32"/>
      <x:c r="J234" s="32"/>
      <x:c r="K234" s="32"/>
      <x:c r="L234" s="32"/>
      <x:c r="M234" s="32"/>
      <x:c r="N234" s="32"/>
      <x:c r="O234" s="32"/>
      <x:c r="P234" s="32"/>
      <x:c r="Q234" s="32"/>
      <x:c r="R234" s="32"/>
      <x:c r="S234" s="38"/>
      <x:c r="T234" s="38"/>
      <x:c r="U234" s="38"/>
      <x:c r="V234" s="38"/>
      <x:c r="W234" s="38"/>
      <x:c r="X234" s="38"/>
      <x:c r="Y234" s="38"/>
      <x:c r="Z234" s="38"/>
    </x:row>
    <x:row r="235" ht="18" customHeight="1">
      <x:c r="A235" s="32"/>
      <x:c r="B235" s="32"/>
      <x:c r="C235" s="32"/>
      <x:c r="D235" s="32"/>
      <x:c r="E235" s="32"/>
      <x:c r="F235" s="32"/>
      <x:c r="G235" s="32"/>
      <x:c r="H235" s="32"/>
      <x:c r="I235" s="32"/>
      <x:c r="J235" s="32"/>
      <x:c r="K235" s="32"/>
      <x:c r="L235" s="32"/>
      <x:c r="M235" s="32"/>
      <x:c r="N235" s="32"/>
      <x:c r="O235" s="32"/>
      <x:c r="P235" s="32"/>
      <x:c r="Q235" s="32"/>
      <x:c r="R235" s="32"/>
      <x:c r="S235" s="38"/>
      <x:c r="T235" s="38"/>
      <x:c r="U235" s="38"/>
      <x:c r="V235" s="38"/>
      <x:c r="W235" s="38"/>
      <x:c r="X235" s="38"/>
      <x:c r="Y235" s="38"/>
      <x:c r="Z235" s="38"/>
    </x:row>
    <x:row r="236" ht="18" customHeight="1">
      <x:c r="A236" s="32"/>
      <x:c r="B236" s="32"/>
      <x:c r="C236" s="32"/>
      <x:c r="D236" s="32"/>
      <x:c r="E236" s="32"/>
      <x:c r="F236" s="32"/>
      <x:c r="G236" s="32"/>
      <x:c r="H236" s="32"/>
      <x:c r="I236" s="32"/>
      <x:c r="J236" s="32"/>
      <x:c r="K236" s="32"/>
      <x:c r="L236" s="32"/>
      <x:c r="M236" s="32"/>
      <x:c r="N236" s="32"/>
      <x:c r="O236" s="32"/>
      <x:c r="P236" s="32"/>
      <x:c r="Q236" s="32"/>
      <x:c r="R236" s="32"/>
      <x:c r="S236" s="38"/>
      <x:c r="T236" s="38"/>
      <x:c r="U236" s="38"/>
      <x:c r="V236" s="38"/>
      <x:c r="W236" s="38"/>
      <x:c r="X236" s="38"/>
      <x:c r="Y236" s="38"/>
      <x:c r="Z236" s="38"/>
    </x:row>
    <x:row r="237" ht="18" customHeight="1">
      <x:c r="A237" s="32"/>
      <x:c r="B237" s="32"/>
      <x:c r="C237" s="32"/>
      <x:c r="D237" s="32"/>
      <x:c r="E237" s="32"/>
      <x:c r="F237" s="32"/>
      <x:c r="G237" s="32"/>
      <x:c r="H237" s="32"/>
      <x:c r="I237" s="32"/>
      <x:c r="J237" s="32"/>
      <x:c r="K237" s="32"/>
      <x:c r="L237" s="32"/>
      <x:c r="M237" s="32"/>
      <x:c r="N237" s="32"/>
      <x:c r="O237" s="32"/>
      <x:c r="P237" s="32"/>
      <x:c r="Q237" s="32"/>
      <x:c r="R237" s="32"/>
      <x:c r="S237" s="38"/>
      <x:c r="T237" s="38"/>
      <x:c r="U237" s="38"/>
      <x:c r="V237" s="38"/>
      <x:c r="W237" s="38"/>
      <x:c r="X237" s="38"/>
      <x:c r="Y237" s="38"/>
      <x:c r="Z237" s="38"/>
    </x:row>
    <x:row r="238" ht="18" customHeight="1">
      <x:c r="A238" s="32"/>
      <x:c r="B238" s="32"/>
      <x:c r="C238" s="32"/>
      <x:c r="D238" s="32"/>
      <x:c r="E238" s="32"/>
      <x:c r="F238" s="32"/>
      <x:c r="G238" s="32"/>
      <x:c r="H238" s="32"/>
      <x:c r="I238" s="32"/>
      <x:c r="J238" s="32"/>
      <x:c r="K238" s="32"/>
      <x:c r="L238" s="32"/>
      <x:c r="M238" s="32"/>
      <x:c r="N238" s="32"/>
      <x:c r="O238" s="32"/>
      <x:c r="P238" s="32"/>
      <x:c r="Q238" s="32"/>
      <x:c r="R238" s="32"/>
      <x:c r="S238" s="38"/>
      <x:c r="T238" s="38"/>
      <x:c r="U238" s="38"/>
      <x:c r="V238" s="38"/>
      <x:c r="W238" s="38"/>
      <x:c r="X238" s="38"/>
      <x:c r="Y238" s="38"/>
      <x:c r="Z238" s="38"/>
    </x:row>
    <x:row r="239" ht="18" customHeight="1">
      <x:c r="A239" s="32"/>
      <x:c r="B239" s="32"/>
      <x:c r="C239" s="32"/>
      <x:c r="D239" s="32"/>
      <x:c r="E239" s="32"/>
      <x:c r="F239" s="32"/>
      <x:c r="G239" s="32"/>
      <x:c r="H239" s="32"/>
      <x:c r="I239" s="32"/>
      <x:c r="J239" s="32"/>
      <x:c r="K239" s="32"/>
      <x:c r="L239" s="32"/>
      <x:c r="M239" s="32"/>
      <x:c r="N239" s="32"/>
      <x:c r="O239" s="32"/>
      <x:c r="P239" s="32"/>
      <x:c r="Q239" s="32"/>
      <x:c r="R239" s="32"/>
      <x:c r="S239" s="38"/>
      <x:c r="T239" s="38"/>
      <x:c r="U239" s="38"/>
      <x:c r="V239" s="38"/>
      <x:c r="W239" s="38"/>
      <x:c r="X239" s="38"/>
      <x:c r="Y239" s="38"/>
      <x:c r="Z239" s="38"/>
    </x:row>
    <x:row r="240" ht="18" customHeight="1">
      <x:c r="A240" s="32"/>
      <x:c r="B240" s="32"/>
      <x:c r="C240" s="32"/>
      <x:c r="D240" s="32"/>
      <x:c r="E240" s="32"/>
      <x:c r="F240" s="32"/>
      <x:c r="G240" s="32"/>
      <x:c r="H240" s="32"/>
      <x:c r="I240" s="32"/>
      <x:c r="J240" s="32"/>
      <x:c r="K240" s="32"/>
      <x:c r="L240" s="32"/>
      <x:c r="M240" s="32"/>
      <x:c r="N240" s="32"/>
      <x:c r="O240" s="32"/>
      <x:c r="P240" s="32"/>
      <x:c r="Q240" s="32"/>
      <x:c r="R240" s="32"/>
      <x:c r="S240" s="38"/>
      <x:c r="T240" s="38"/>
      <x:c r="U240" s="38"/>
      <x:c r="V240" s="38"/>
      <x:c r="W240" s="38"/>
      <x:c r="X240" s="38"/>
      <x:c r="Y240" s="38"/>
      <x:c r="Z240" s="38"/>
    </x:row>
    <x:row r="241" ht="18" customHeight="1">
      <x:c r="A241" s="32"/>
      <x:c r="B241" s="32"/>
      <x:c r="C241" s="32"/>
      <x:c r="D241" s="32"/>
      <x:c r="E241" s="32"/>
      <x:c r="F241" s="32"/>
      <x:c r="G241" s="32"/>
      <x:c r="H241" s="32"/>
      <x:c r="I241" s="32"/>
      <x:c r="J241" s="32"/>
      <x:c r="K241" s="32"/>
      <x:c r="L241" s="32"/>
      <x:c r="M241" s="32"/>
      <x:c r="N241" s="32"/>
      <x:c r="O241" s="32"/>
      <x:c r="P241" s="32"/>
      <x:c r="Q241" s="32"/>
      <x:c r="R241" s="32"/>
      <x:c r="S241" s="38"/>
      <x:c r="T241" s="38"/>
      <x:c r="U241" s="38"/>
      <x:c r="V241" s="38"/>
      <x:c r="W241" s="38"/>
      <x:c r="X241" s="38"/>
      <x:c r="Y241" s="38"/>
      <x:c r="Z241" s="38"/>
    </x:row>
    <x:row r="242" ht="18" customHeight="1">
      <x:c r="A242" s="32"/>
      <x:c r="B242" s="32"/>
      <x:c r="C242" s="32"/>
      <x:c r="D242" s="32"/>
      <x:c r="E242" s="32"/>
      <x:c r="F242" s="32"/>
      <x:c r="G242" s="32"/>
      <x:c r="H242" s="32"/>
      <x:c r="I242" s="32"/>
      <x:c r="J242" s="32"/>
      <x:c r="K242" s="32"/>
      <x:c r="L242" s="32"/>
      <x:c r="M242" s="32"/>
      <x:c r="N242" s="32"/>
      <x:c r="O242" s="32"/>
      <x:c r="P242" s="32"/>
      <x:c r="Q242" s="32"/>
      <x:c r="R242" s="32"/>
      <x:c r="S242" s="38"/>
      <x:c r="T242" s="38"/>
      <x:c r="U242" s="38"/>
      <x:c r="V242" s="38"/>
      <x:c r="W242" s="38"/>
      <x:c r="X242" s="38"/>
      <x:c r="Y242" s="38"/>
      <x:c r="Z242" s="38"/>
    </x:row>
    <x:row r="243" ht="18" customHeight="1">
      <x:c r="A243" s="32"/>
      <x:c r="B243" s="32"/>
      <x:c r="C243" s="32"/>
      <x:c r="D243" s="32"/>
      <x:c r="E243" s="32"/>
      <x:c r="F243" s="32"/>
      <x:c r="G243" s="32"/>
      <x:c r="H243" s="32"/>
      <x:c r="I243" s="32"/>
      <x:c r="J243" s="32"/>
      <x:c r="K243" s="32"/>
      <x:c r="L243" s="32"/>
      <x:c r="M243" s="32"/>
      <x:c r="N243" s="32"/>
      <x:c r="O243" s="32"/>
      <x:c r="P243" s="32"/>
      <x:c r="Q243" s="32"/>
      <x:c r="R243" s="32"/>
      <x:c r="S243" s="38"/>
      <x:c r="T243" s="38"/>
      <x:c r="U243" s="38"/>
      <x:c r="V243" s="38"/>
      <x:c r="W243" s="38"/>
      <x:c r="X243" s="38"/>
      <x:c r="Y243" s="38"/>
      <x:c r="Z243" s="38"/>
    </x:row>
    <x:row r="244" ht="18" customHeight="1">
      <x:c r="A244" s="32"/>
      <x:c r="B244" s="32"/>
      <x:c r="C244" s="32"/>
      <x:c r="D244" s="32"/>
      <x:c r="E244" s="32"/>
      <x:c r="F244" s="32"/>
      <x:c r="G244" s="32"/>
      <x:c r="H244" s="32"/>
      <x:c r="I244" s="32"/>
      <x:c r="J244" s="32"/>
      <x:c r="K244" s="32"/>
      <x:c r="L244" s="32"/>
      <x:c r="M244" s="32"/>
      <x:c r="N244" s="32"/>
      <x:c r="O244" s="32"/>
      <x:c r="P244" s="32"/>
      <x:c r="Q244" s="32"/>
      <x:c r="R244" s="32"/>
      <x:c r="S244" s="38"/>
      <x:c r="T244" s="38"/>
      <x:c r="U244" s="38"/>
      <x:c r="V244" s="38"/>
      <x:c r="W244" s="38"/>
      <x:c r="X244" s="38"/>
      <x:c r="Y244" s="38"/>
      <x:c r="Z244" s="38"/>
    </x:row>
    <x:row r="245" ht="18" customHeight="1">
      <x:c r="A245" s="32"/>
      <x:c r="B245" s="32"/>
      <x:c r="C245" s="32"/>
      <x:c r="D245" s="32"/>
      <x:c r="E245" s="32"/>
      <x:c r="F245" s="32"/>
      <x:c r="G245" s="32"/>
      <x:c r="H245" s="32"/>
      <x:c r="I245" s="32"/>
      <x:c r="J245" s="32"/>
      <x:c r="K245" s="32"/>
      <x:c r="L245" s="32"/>
      <x:c r="M245" s="32"/>
      <x:c r="N245" s="32"/>
      <x:c r="O245" s="32"/>
      <x:c r="P245" s="32"/>
      <x:c r="Q245" s="32"/>
      <x:c r="R245" s="32"/>
      <x:c r="S245" s="38"/>
      <x:c r="T245" s="38"/>
      <x:c r="U245" s="38"/>
      <x:c r="V245" s="38"/>
      <x:c r="W245" s="38"/>
      <x:c r="X245" s="38"/>
      <x:c r="Y245" s="38"/>
      <x:c r="Z245" s="38"/>
    </x:row>
    <x:row r="246" ht="18" customHeight="1">
      <x:c r="A246" s="32"/>
      <x:c r="B246" s="32"/>
      <x:c r="C246" s="32"/>
      <x:c r="D246" s="32"/>
      <x:c r="E246" s="32"/>
      <x:c r="F246" s="32"/>
      <x:c r="G246" s="32"/>
      <x:c r="H246" s="32"/>
      <x:c r="I246" s="32"/>
      <x:c r="J246" s="32"/>
      <x:c r="K246" s="32"/>
      <x:c r="L246" s="32"/>
      <x:c r="M246" s="32"/>
      <x:c r="N246" s="32"/>
      <x:c r="O246" s="32"/>
      <x:c r="P246" s="32"/>
      <x:c r="Q246" s="32"/>
      <x:c r="R246" s="32"/>
      <x:c r="S246" s="38"/>
      <x:c r="T246" s="38"/>
      <x:c r="U246" s="38"/>
      <x:c r="V246" s="38"/>
      <x:c r="W246" s="38"/>
      <x:c r="X246" s="38"/>
      <x:c r="Y246" s="38"/>
      <x:c r="Z246" s="38"/>
    </x:row>
    <x:row r="247" ht="18" customHeight="1">
      <x:c r="A247" s="32"/>
      <x:c r="B247" s="32"/>
      <x:c r="C247" s="32"/>
      <x:c r="D247" s="32"/>
      <x:c r="E247" s="32"/>
      <x:c r="F247" s="32"/>
      <x:c r="G247" s="32"/>
      <x:c r="H247" s="32"/>
      <x:c r="I247" s="32"/>
      <x:c r="J247" s="32"/>
      <x:c r="K247" s="32"/>
      <x:c r="L247" s="32"/>
      <x:c r="M247" s="32"/>
      <x:c r="N247" s="32"/>
      <x:c r="O247" s="32"/>
      <x:c r="P247" s="32"/>
      <x:c r="Q247" s="32"/>
      <x:c r="R247" s="32"/>
      <x:c r="S247" s="38"/>
      <x:c r="T247" s="38"/>
      <x:c r="U247" s="38"/>
      <x:c r="V247" s="38"/>
      <x:c r="W247" s="38"/>
      <x:c r="X247" s="38"/>
      <x:c r="Y247" s="38"/>
      <x:c r="Z247" s="38"/>
    </x:row>
    <x:row r="248" ht="18" customHeight="1">
      <x:c r="A248" s="32"/>
      <x:c r="B248" s="32"/>
      <x:c r="C248" s="32"/>
      <x:c r="D248" s="32"/>
      <x:c r="E248" s="32"/>
      <x:c r="F248" s="32"/>
      <x:c r="G248" s="32"/>
      <x:c r="H248" s="32"/>
      <x:c r="I248" s="32"/>
      <x:c r="J248" s="32"/>
      <x:c r="K248" s="32"/>
      <x:c r="L248" s="32"/>
      <x:c r="M248" s="32"/>
      <x:c r="N248" s="32"/>
      <x:c r="O248" s="32"/>
      <x:c r="P248" s="32"/>
      <x:c r="Q248" s="32"/>
      <x:c r="R248" s="32"/>
      <x:c r="S248" s="38"/>
      <x:c r="T248" s="38"/>
      <x:c r="U248" s="38"/>
      <x:c r="V248" s="38"/>
      <x:c r="W248" s="38"/>
      <x:c r="X248" s="38"/>
      <x:c r="Y248" s="38"/>
      <x:c r="Z248" s="38"/>
    </x:row>
    <x:row r="249" ht="18" customHeight="1">
      <x:c r="A249" s="32"/>
      <x:c r="B249" s="32"/>
      <x:c r="C249" s="32"/>
      <x:c r="D249" s="32"/>
      <x:c r="E249" s="32"/>
      <x:c r="F249" s="32"/>
      <x:c r="G249" s="32"/>
      <x:c r="H249" s="32"/>
      <x:c r="I249" s="32"/>
      <x:c r="J249" s="32"/>
      <x:c r="K249" s="32"/>
      <x:c r="L249" s="32"/>
      <x:c r="M249" s="32"/>
      <x:c r="N249" s="32"/>
      <x:c r="O249" s="32"/>
      <x:c r="P249" s="32"/>
      <x:c r="Q249" s="32"/>
      <x:c r="R249" s="32"/>
      <x:c r="S249" s="38"/>
      <x:c r="T249" s="38"/>
      <x:c r="U249" s="38"/>
      <x:c r="V249" s="38"/>
      <x:c r="W249" s="38"/>
      <x:c r="X249" s="38"/>
      <x:c r="Y249" s="38"/>
      <x:c r="Z249" s="38"/>
    </x:row>
    <x:row r="250" ht="18" customHeight="1">
      <x:c r="A250" s="32"/>
      <x:c r="B250" s="32"/>
      <x:c r="C250" s="32"/>
      <x:c r="D250" s="32"/>
      <x:c r="E250" s="32"/>
      <x:c r="F250" s="32"/>
      <x:c r="G250" s="32"/>
      <x:c r="H250" s="32"/>
      <x:c r="I250" s="32"/>
      <x:c r="J250" s="32"/>
      <x:c r="K250" s="32"/>
      <x:c r="L250" s="32"/>
      <x:c r="M250" s="32"/>
      <x:c r="N250" s="32"/>
      <x:c r="O250" s="32"/>
      <x:c r="P250" s="32"/>
      <x:c r="Q250" s="32"/>
      <x:c r="R250" s="32"/>
      <x:c r="S250" s="38"/>
      <x:c r="T250" s="38"/>
      <x:c r="U250" s="38"/>
      <x:c r="V250" s="38"/>
      <x:c r="W250" s="38"/>
      <x:c r="X250" s="38"/>
      <x:c r="Y250" s="38"/>
      <x:c r="Z250" s="38"/>
    </x:row>
    <x:row r="251" ht="18" customHeight="1">
      <x:c r="A251" s="32"/>
      <x:c r="B251" s="32"/>
      <x:c r="C251" s="32"/>
      <x:c r="D251" s="32"/>
      <x:c r="E251" s="32"/>
      <x:c r="F251" s="32"/>
      <x:c r="G251" s="32"/>
      <x:c r="H251" s="32"/>
      <x:c r="I251" s="32"/>
      <x:c r="J251" s="32"/>
      <x:c r="K251" s="32"/>
      <x:c r="L251" s="32"/>
      <x:c r="M251" s="32"/>
      <x:c r="N251" s="32"/>
      <x:c r="O251" s="32"/>
      <x:c r="P251" s="32"/>
      <x:c r="Q251" s="32"/>
      <x:c r="R251" s="32"/>
      <x:c r="S251" s="38"/>
      <x:c r="T251" s="38"/>
      <x:c r="U251" s="38"/>
      <x:c r="V251" s="38"/>
      <x:c r="W251" s="38"/>
      <x:c r="X251" s="38"/>
      <x:c r="Y251" s="38"/>
      <x:c r="Z251" s="38"/>
    </x:row>
    <x:row r="252" ht="18" customHeight="1">
      <x:c r="A252" s="32"/>
      <x:c r="B252" s="32"/>
      <x:c r="C252" s="32"/>
      <x:c r="D252" s="32"/>
      <x:c r="E252" s="32"/>
      <x:c r="F252" s="32"/>
      <x:c r="G252" s="32"/>
      <x:c r="H252" s="32"/>
      <x:c r="I252" s="32"/>
      <x:c r="J252" s="32"/>
      <x:c r="K252" s="32"/>
      <x:c r="L252" s="32"/>
      <x:c r="M252" s="32"/>
      <x:c r="N252" s="32"/>
      <x:c r="O252" s="32"/>
      <x:c r="P252" s="32"/>
      <x:c r="Q252" s="32"/>
      <x:c r="R252" s="32"/>
      <x:c r="S252" s="38"/>
      <x:c r="T252" s="38"/>
      <x:c r="U252" s="38"/>
      <x:c r="V252" s="38"/>
      <x:c r="W252" s="38"/>
      <x:c r="X252" s="38"/>
      <x:c r="Y252" s="38"/>
      <x:c r="Z252" s="38"/>
    </x:row>
    <x:row r="253" ht="18" customHeight="1">
      <x:c r="A253" s="32"/>
      <x:c r="B253" s="32"/>
      <x:c r="C253" s="32"/>
      <x:c r="D253" s="32"/>
      <x:c r="E253" s="32"/>
      <x:c r="F253" s="32"/>
      <x:c r="G253" s="32"/>
      <x:c r="H253" s="32"/>
      <x:c r="I253" s="32"/>
      <x:c r="J253" s="32"/>
      <x:c r="K253" s="32"/>
      <x:c r="L253" s="32"/>
      <x:c r="M253" s="32"/>
      <x:c r="N253" s="32"/>
      <x:c r="O253" s="32"/>
      <x:c r="P253" s="32"/>
      <x:c r="Q253" s="32"/>
      <x:c r="R253" s="32"/>
      <x:c r="S253" s="38"/>
      <x:c r="T253" s="38"/>
      <x:c r="U253" s="38"/>
      <x:c r="V253" s="38"/>
      <x:c r="W253" s="38"/>
      <x:c r="X253" s="38"/>
      <x:c r="Y253" s="38"/>
      <x:c r="Z253" s="38"/>
    </x:row>
    <x:row r="254" ht="18" customHeight="1">
      <x:c r="A254" s="32"/>
      <x:c r="B254" s="32"/>
      <x:c r="C254" s="32"/>
      <x:c r="D254" s="32"/>
      <x:c r="E254" s="32"/>
      <x:c r="F254" s="32"/>
      <x:c r="G254" s="32"/>
      <x:c r="H254" s="32"/>
      <x:c r="I254" s="32"/>
      <x:c r="J254" s="32"/>
      <x:c r="K254" s="32"/>
      <x:c r="L254" s="32"/>
      <x:c r="M254" s="32"/>
      <x:c r="N254" s="32"/>
      <x:c r="O254" s="32"/>
      <x:c r="P254" s="32"/>
      <x:c r="Q254" s="32"/>
      <x:c r="R254" s="32"/>
      <x:c r="S254" s="38"/>
      <x:c r="T254" s="38"/>
      <x:c r="U254" s="38"/>
      <x:c r="V254" s="38"/>
      <x:c r="W254" s="38"/>
      <x:c r="X254" s="38"/>
      <x:c r="Y254" s="38"/>
      <x:c r="Z254" s="38"/>
    </x:row>
    <x:row r="255" ht="18" customHeight="1">
      <x:c r="A255" s="32"/>
      <x:c r="B255" s="32"/>
      <x:c r="C255" s="32"/>
      <x:c r="D255" s="32"/>
      <x:c r="E255" s="32"/>
      <x:c r="F255" s="32"/>
      <x:c r="G255" s="32"/>
      <x:c r="H255" s="32"/>
      <x:c r="I255" s="32"/>
      <x:c r="J255" s="32"/>
      <x:c r="K255" s="32"/>
      <x:c r="L255" s="32"/>
      <x:c r="M255" s="32"/>
      <x:c r="N255" s="32"/>
      <x:c r="O255" s="32"/>
      <x:c r="P255" s="32"/>
      <x:c r="Q255" s="32"/>
      <x:c r="R255" s="32"/>
      <x:c r="S255" s="38"/>
      <x:c r="T255" s="38"/>
      <x:c r="U255" s="38"/>
      <x:c r="V255" s="38"/>
      <x:c r="W255" s="38"/>
      <x:c r="X255" s="38"/>
      <x:c r="Y255" s="38"/>
      <x:c r="Z255" s="38"/>
    </x:row>
    <x:row r="256" ht="18" customHeight="1">
      <x:c r="A256" s="32"/>
      <x:c r="B256" s="32"/>
      <x:c r="C256" s="32"/>
      <x:c r="D256" s="32"/>
      <x:c r="E256" s="32"/>
      <x:c r="F256" s="32"/>
      <x:c r="G256" s="32"/>
      <x:c r="H256" s="32"/>
      <x:c r="I256" s="32"/>
      <x:c r="J256" s="32"/>
      <x:c r="K256" s="32"/>
      <x:c r="L256" s="32"/>
      <x:c r="M256" s="32"/>
      <x:c r="N256" s="32"/>
      <x:c r="O256" s="32"/>
      <x:c r="P256" s="32"/>
      <x:c r="Q256" s="32"/>
      <x:c r="R256" s="32"/>
      <x:c r="S256" s="38"/>
      <x:c r="T256" s="38"/>
      <x:c r="U256" s="38"/>
      <x:c r="V256" s="38"/>
      <x:c r="W256" s="38"/>
      <x:c r="X256" s="38"/>
      <x:c r="Y256" s="38"/>
      <x:c r="Z256" s="38"/>
    </x:row>
    <x:row r="257" ht="18" customHeight="1">
      <x:c r="A257" s="32"/>
      <x:c r="B257" s="32"/>
      <x:c r="C257" s="32"/>
      <x:c r="D257" s="32"/>
      <x:c r="E257" s="32"/>
      <x:c r="F257" s="32"/>
      <x:c r="G257" s="32"/>
      <x:c r="H257" s="32"/>
      <x:c r="I257" s="32"/>
      <x:c r="J257" s="32"/>
      <x:c r="K257" s="32"/>
      <x:c r="L257" s="32"/>
      <x:c r="M257" s="32"/>
      <x:c r="N257" s="32"/>
      <x:c r="O257" s="32"/>
      <x:c r="P257" s="32"/>
      <x:c r="Q257" s="32"/>
      <x:c r="R257" s="32"/>
      <x:c r="S257" s="38"/>
      <x:c r="T257" s="38"/>
      <x:c r="U257" s="38"/>
      <x:c r="V257" s="38"/>
      <x:c r="W257" s="38"/>
      <x:c r="X257" s="38"/>
      <x:c r="Y257" s="38"/>
      <x:c r="Z257" s="38"/>
    </x:row>
    <x:row r="258" ht="18" customHeight="1">
      <x:c r="A258" s="32"/>
      <x:c r="B258" s="32"/>
      <x:c r="C258" s="32"/>
      <x:c r="D258" s="32"/>
      <x:c r="E258" s="32"/>
      <x:c r="F258" s="32"/>
      <x:c r="G258" s="32"/>
      <x:c r="H258" s="32"/>
      <x:c r="I258" s="32"/>
      <x:c r="J258" s="32"/>
      <x:c r="K258" s="32"/>
      <x:c r="L258" s="32"/>
      <x:c r="M258" s="32"/>
      <x:c r="N258" s="32"/>
      <x:c r="O258" s="32"/>
      <x:c r="P258" s="32"/>
      <x:c r="Q258" s="32"/>
      <x:c r="R258" s="32"/>
      <x:c r="S258" s="38"/>
      <x:c r="T258" s="38"/>
      <x:c r="U258" s="38"/>
      <x:c r="V258" s="38"/>
      <x:c r="W258" s="38"/>
      <x:c r="X258" s="38"/>
      <x:c r="Y258" s="38"/>
      <x:c r="Z258" s="38"/>
    </x:row>
    <x:row r="259" ht="18" customHeight="1">
      <x:c r="A259" s="32"/>
      <x:c r="B259" s="32"/>
      <x:c r="C259" s="32"/>
      <x:c r="D259" s="32"/>
      <x:c r="E259" s="32"/>
      <x:c r="F259" s="32"/>
      <x:c r="G259" s="32"/>
      <x:c r="H259" s="32"/>
      <x:c r="I259" s="32"/>
      <x:c r="J259" s="32"/>
      <x:c r="K259" s="32"/>
      <x:c r="L259" s="32"/>
      <x:c r="M259" s="32"/>
      <x:c r="N259" s="32"/>
      <x:c r="O259" s="32"/>
      <x:c r="P259" s="32"/>
      <x:c r="Q259" s="32"/>
      <x:c r="R259" s="32"/>
      <x:c r="S259" s="38"/>
      <x:c r="T259" s="38"/>
      <x:c r="U259" s="38"/>
      <x:c r="V259" s="38"/>
      <x:c r="W259" s="38"/>
      <x:c r="X259" s="38"/>
      <x:c r="Y259" s="38"/>
      <x:c r="Z259" s="38"/>
    </x:row>
    <x:row r="260" ht="18" customHeight="1">
      <x:c r="A260" s="32"/>
      <x:c r="B260" s="32"/>
      <x:c r="C260" s="32"/>
      <x:c r="D260" s="32"/>
      <x:c r="E260" s="32"/>
      <x:c r="F260" s="32"/>
      <x:c r="G260" s="32"/>
      <x:c r="H260" s="32"/>
      <x:c r="I260" s="32"/>
      <x:c r="J260" s="32"/>
      <x:c r="K260" s="32"/>
      <x:c r="L260" s="32"/>
      <x:c r="M260" s="32"/>
      <x:c r="N260" s="32"/>
      <x:c r="O260" s="32"/>
      <x:c r="P260" s="32"/>
      <x:c r="Q260" s="32"/>
      <x:c r="R260" s="32"/>
      <x:c r="S260" s="38"/>
      <x:c r="T260" s="38"/>
      <x:c r="U260" s="38"/>
      <x:c r="V260" s="38"/>
      <x:c r="W260" s="38"/>
      <x:c r="X260" s="38"/>
      <x:c r="Y260" s="38"/>
      <x:c r="Z260" s="38"/>
    </x:row>
    <x:row r="261" ht="18" customHeight="1">
      <x:c r="A261" s="32"/>
      <x:c r="B261" s="32"/>
      <x:c r="C261" s="32"/>
      <x:c r="D261" s="32"/>
      <x:c r="E261" s="32"/>
      <x:c r="F261" s="32"/>
      <x:c r="G261" s="32"/>
      <x:c r="H261" s="32"/>
      <x:c r="I261" s="32"/>
      <x:c r="J261" s="32"/>
      <x:c r="K261" s="32"/>
      <x:c r="L261" s="32"/>
      <x:c r="M261" s="32"/>
      <x:c r="N261" s="32"/>
      <x:c r="O261" s="32"/>
      <x:c r="P261" s="32"/>
      <x:c r="Q261" s="32"/>
      <x:c r="R261" s="32"/>
      <x:c r="S261" s="38"/>
      <x:c r="T261" s="38"/>
      <x:c r="U261" s="38"/>
      <x:c r="V261" s="38"/>
      <x:c r="W261" s="38"/>
      <x:c r="X261" s="38"/>
      <x:c r="Y261" s="38"/>
      <x:c r="Z261" s="38"/>
    </x:row>
    <x:row r="262" ht="18" customHeight="1">
      <x:c r="A262" s="32"/>
      <x:c r="B262" s="32"/>
      <x:c r="C262" s="32"/>
      <x:c r="D262" s="32"/>
      <x:c r="E262" s="32"/>
      <x:c r="F262" s="32"/>
      <x:c r="G262" s="32"/>
      <x:c r="H262" s="32"/>
      <x:c r="I262" s="32"/>
      <x:c r="J262" s="32"/>
      <x:c r="K262" s="32"/>
      <x:c r="L262" s="32"/>
      <x:c r="M262" s="32"/>
      <x:c r="N262" s="32"/>
      <x:c r="O262" s="32"/>
      <x:c r="P262" s="32"/>
      <x:c r="Q262" s="32"/>
      <x:c r="R262" s="32"/>
      <x:c r="S262" s="38"/>
      <x:c r="T262" s="38"/>
      <x:c r="U262" s="38"/>
      <x:c r="V262" s="38"/>
      <x:c r="W262" s="38"/>
      <x:c r="X262" s="38"/>
      <x:c r="Y262" s="38"/>
      <x:c r="Z262" s="38"/>
    </x:row>
    <x:row r="263" ht="18" customHeight="1">
      <x:c r="A263" s="32"/>
      <x:c r="B263" s="32"/>
      <x:c r="C263" s="32"/>
      <x:c r="D263" s="32"/>
      <x:c r="E263" s="32"/>
      <x:c r="F263" s="32"/>
      <x:c r="G263" s="32"/>
      <x:c r="H263" s="32"/>
      <x:c r="I263" s="32"/>
      <x:c r="J263" s="32"/>
      <x:c r="K263" s="32"/>
      <x:c r="L263" s="32"/>
      <x:c r="M263" s="32"/>
      <x:c r="N263" s="32"/>
      <x:c r="O263" s="32"/>
      <x:c r="P263" s="32"/>
      <x:c r="Q263" s="32"/>
      <x:c r="R263" s="32"/>
      <x:c r="S263" s="38"/>
      <x:c r="T263" s="38"/>
      <x:c r="U263" s="38"/>
      <x:c r="V263" s="38"/>
      <x:c r="W263" s="38"/>
      <x:c r="X263" s="38"/>
      <x:c r="Y263" s="38"/>
      <x:c r="Z263" s="38"/>
    </x:row>
    <x:row r="264" ht="18" customHeight="1">
      <x:c r="A264" s="32"/>
      <x:c r="B264" s="32"/>
      <x:c r="C264" s="32"/>
      <x:c r="D264" s="32"/>
      <x:c r="E264" s="32"/>
      <x:c r="F264" s="32"/>
      <x:c r="G264" s="32"/>
      <x:c r="H264" s="32"/>
      <x:c r="I264" s="32"/>
      <x:c r="J264" s="32"/>
      <x:c r="K264" s="32"/>
      <x:c r="L264" s="32"/>
      <x:c r="M264" s="32"/>
      <x:c r="N264" s="32"/>
      <x:c r="O264" s="32"/>
      <x:c r="P264" s="32"/>
      <x:c r="Q264" s="32"/>
      <x:c r="R264" s="32"/>
      <x:c r="S264" s="38"/>
      <x:c r="T264" s="38"/>
      <x:c r="U264" s="38"/>
      <x:c r="V264" s="38"/>
      <x:c r="W264" s="38"/>
      <x:c r="X264" s="38"/>
      <x:c r="Y264" s="38"/>
      <x:c r="Z264" s="38"/>
    </x:row>
    <x:row r="265" ht="18" customHeight="1">
      <x:c r="A265" s="32"/>
      <x:c r="B265" s="32"/>
      <x:c r="C265" s="32"/>
      <x:c r="D265" s="32"/>
      <x:c r="E265" s="32"/>
      <x:c r="F265" s="32"/>
      <x:c r="G265" s="32"/>
      <x:c r="H265" s="32"/>
      <x:c r="I265" s="32"/>
      <x:c r="J265" s="32"/>
      <x:c r="K265" s="32"/>
      <x:c r="L265" s="32"/>
      <x:c r="M265" s="32"/>
      <x:c r="N265" s="32"/>
      <x:c r="O265" s="32"/>
      <x:c r="P265" s="32"/>
      <x:c r="Q265" s="32"/>
      <x:c r="R265" s="32"/>
      <x:c r="S265" s="38"/>
      <x:c r="T265" s="38"/>
      <x:c r="U265" s="38"/>
      <x:c r="V265" s="38"/>
      <x:c r="W265" s="38"/>
      <x:c r="X265" s="38"/>
      <x:c r="Y265" s="38"/>
      <x:c r="Z265" s="38"/>
    </x:row>
    <x:row r="266" ht="18" customHeight="1">
      <x:c r="A266" s="32"/>
      <x:c r="B266" s="32"/>
      <x:c r="C266" s="32"/>
      <x:c r="D266" s="32"/>
      <x:c r="E266" s="32"/>
      <x:c r="F266" s="32"/>
      <x:c r="G266" s="32"/>
      <x:c r="H266" s="32"/>
      <x:c r="I266" s="32"/>
      <x:c r="J266" s="32"/>
      <x:c r="K266" s="32"/>
      <x:c r="L266" s="32"/>
      <x:c r="M266" s="32"/>
      <x:c r="N266" s="32"/>
      <x:c r="O266" s="32"/>
      <x:c r="P266" s="32"/>
      <x:c r="Q266" s="32"/>
      <x:c r="R266" s="32"/>
      <x:c r="S266" s="38"/>
      <x:c r="T266" s="38"/>
      <x:c r="U266" s="38"/>
      <x:c r="V266" s="38"/>
      <x:c r="W266" s="38"/>
      <x:c r="X266" s="38"/>
      <x:c r="Y266" s="38"/>
      <x:c r="Z266" s="38"/>
    </x:row>
    <x:row r="267" ht="18" customHeight="1">
      <x:c r="A267" s="32"/>
      <x:c r="B267" s="32"/>
      <x:c r="C267" s="32"/>
      <x:c r="D267" s="32"/>
      <x:c r="E267" s="32"/>
      <x:c r="F267" s="32"/>
      <x:c r="G267" s="32"/>
      <x:c r="H267" s="32"/>
      <x:c r="I267" s="32"/>
      <x:c r="J267" s="32"/>
      <x:c r="K267" s="32"/>
      <x:c r="L267" s="32"/>
      <x:c r="M267" s="32"/>
      <x:c r="N267" s="32"/>
      <x:c r="O267" s="32"/>
      <x:c r="P267" s="32"/>
      <x:c r="Q267" s="32"/>
      <x:c r="R267" s="32"/>
      <x:c r="S267" s="38"/>
      <x:c r="T267" s="38"/>
      <x:c r="U267" s="38"/>
      <x:c r="V267" s="38"/>
      <x:c r="W267" s="38"/>
      <x:c r="X267" s="38"/>
      <x:c r="Y267" s="38"/>
      <x:c r="Z267" s="38"/>
    </x:row>
    <x:row r="268" ht="18" customHeight="1">
      <x:c r="A268" s="32"/>
      <x:c r="B268" s="32"/>
      <x:c r="C268" s="32"/>
      <x:c r="D268" s="32"/>
      <x:c r="E268" s="32"/>
      <x:c r="F268" s="32"/>
      <x:c r="G268" s="32"/>
      <x:c r="H268" s="32"/>
      <x:c r="I268" s="32"/>
      <x:c r="J268" s="32"/>
      <x:c r="K268" s="32"/>
      <x:c r="L268" s="32"/>
      <x:c r="M268" s="32"/>
      <x:c r="N268" s="32"/>
      <x:c r="O268" s="32"/>
      <x:c r="P268" s="32"/>
      <x:c r="Q268" s="32"/>
      <x:c r="R268" s="32"/>
      <x:c r="S268" s="38"/>
      <x:c r="T268" s="38"/>
      <x:c r="U268" s="38"/>
      <x:c r="V268" s="38"/>
      <x:c r="W268" s="38"/>
      <x:c r="X268" s="38"/>
      <x:c r="Y268" s="38"/>
      <x:c r="Z268" s="38"/>
    </x:row>
    <x:row r="269" ht="18" customHeight="1">
      <x:c r="A269" s="32"/>
      <x:c r="B269" s="32"/>
      <x:c r="C269" s="32"/>
      <x:c r="D269" s="32"/>
      <x:c r="E269" s="32"/>
      <x:c r="F269" s="32"/>
      <x:c r="G269" s="32"/>
      <x:c r="H269" s="32"/>
      <x:c r="I269" s="32"/>
      <x:c r="J269" s="32"/>
      <x:c r="K269" s="32"/>
      <x:c r="L269" s="32"/>
      <x:c r="M269" s="32"/>
      <x:c r="N269" s="32"/>
      <x:c r="O269" s="32"/>
      <x:c r="P269" s="32"/>
      <x:c r="Q269" s="32"/>
      <x:c r="R269" s="32"/>
      <x:c r="S269" s="38"/>
      <x:c r="T269" s="38"/>
      <x:c r="U269" s="38"/>
      <x:c r="V269" s="38"/>
      <x:c r="W269" s="38"/>
      <x:c r="X269" s="38"/>
      <x:c r="Y269" s="38"/>
      <x:c r="Z269" s="38"/>
    </x:row>
    <x:row r="270" ht="18" customHeight="1">
      <x:c r="A270" s="32"/>
      <x:c r="B270" s="32"/>
      <x:c r="C270" s="32"/>
      <x:c r="D270" s="32"/>
      <x:c r="E270" s="32"/>
      <x:c r="F270" s="32"/>
      <x:c r="G270" s="32"/>
      <x:c r="H270" s="32"/>
      <x:c r="I270" s="32"/>
      <x:c r="J270" s="32"/>
      <x:c r="K270" s="32"/>
      <x:c r="L270" s="32"/>
      <x:c r="M270" s="32"/>
      <x:c r="N270" s="32"/>
      <x:c r="O270" s="32"/>
      <x:c r="P270" s="32"/>
      <x:c r="Q270" s="32"/>
      <x:c r="R270" s="32"/>
      <x:c r="S270" s="38"/>
      <x:c r="T270" s="38"/>
      <x:c r="U270" s="38"/>
      <x:c r="V270" s="38"/>
      <x:c r="W270" s="38"/>
      <x:c r="X270" s="38"/>
      <x:c r="Y270" s="38"/>
      <x:c r="Z270" s="38"/>
    </x:row>
    <x:row r="271" ht="18" customHeight="1">
      <x:c r="A271" s="32"/>
      <x:c r="B271" s="32"/>
      <x:c r="C271" s="32"/>
      <x:c r="D271" s="32"/>
      <x:c r="E271" s="32"/>
      <x:c r="F271" s="32"/>
      <x:c r="G271" s="32"/>
      <x:c r="H271" s="32"/>
      <x:c r="I271" s="32"/>
      <x:c r="J271" s="32"/>
      <x:c r="K271" s="32"/>
      <x:c r="L271" s="32"/>
      <x:c r="M271" s="32"/>
      <x:c r="N271" s="32"/>
      <x:c r="O271" s="32"/>
      <x:c r="P271" s="32"/>
      <x:c r="Q271" s="32"/>
      <x:c r="R271" s="32"/>
      <x:c r="S271" s="38"/>
      <x:c r="T271" s="38"/>
      <x:c r="U271" s="38"/>
      <x:c r="V271" s="38"/>
      <x:c r="W271" s="38"/>
      <x:c r="X271" s="38"/>
      <x:c r="Y271" s="38"/>
      <x:c r="Z271" s="38"/>
    </x:row>
    <x:row r="272" ht="18" customHeight="1">
      <x:c r="A272" s="32"/>
      <x:c r="B272" s="32"/>
      <x:c r="C272" s="32"/>
      <x:c r="D272" s="32"/>
      <x:c r="E272" s="32"/>
      <x:c r="F272" s="32"/>
      <x:c r="G272" s="32"/>
      <x:c r="H272" s="32"/>
      <x:c r="I272" s="32"/>
      <x:c r="J272" s="32"/>
      <x:c r="K272" s="32"/>
      <x:c r="L272" s="32"/>
      <x:c r="M272" s="32"/>
      <x:c r="N272" s="32"/>
      <x:c r="O272" s="32"/>
      <x:c r="P272" s="32"/>
      <x:c r="Q272" s="32"/>
      <x:c r="R272" s="32"/>
      <x:c r="S272" s="38"/>
      <x:c r="T272" s="38"/>
      <x:c r="U272" s="38"/>
      <x:c r="V272" s="38"/>
      <x:c r="W272" s="38"/>
      <x:c r="X272" s="38"/>
      <x:c r="Y272" s="38"/>
      <x:c r="Z272" s="38"/>
    </x:row>
    <x:row r="273" ht="18" customHeight="1">
      <x:c r="A273" s="32"/>
      <x:c r="B273" s="32"/>
      <x:c r="C273" s="32"/>
      <x:c r="D273" s="32"/>
      <x:c r="E273" s="32"/>
      <x:c r="F273" s="32"/>
      <x:c r="G273" s="32"/>
      <x:c r="H273" s="32"/>
      <x:c r="I273" s="32"/>
      <x:c r="J273" s="32"/>
      <x:c r="K273" s="32"/>
      <x:c r="L273" s="32"/>
      <x:c r="M273" s="32"/>
      <x:c r="N273" s="32"/>
      <x:c r="O273" s="32"/>
      <x:c r="P273" s="32"/>
      <x:c r="Q273" s="32"/>
      <x:c r="R273" s="32"/>
      <x:c r="S273" s="38"/>
      <x:c r="T273" s="38"/>
      <x:c r="U273" s="38"/>
      <x:c r="V273" s="38"/>
      <x:c r="W273" s="38"/>
      <x:c r="X273" s="38"/>
      <x:c r="Y273" s="38"/>
      <x:c r="Z273" s="38"/>
    </x:row>
    <x:row r="274" ht="18" customHeight="1">
      <x:c r="A274" s="32"/>
      <x:c r="B274" s="32"/>
      <x:c r="C274" s="32"/>
      <x:c r="D274" s="32"/>
      <x:c r="E274" s="32"/>
      <x:c r="F274" s="32"/>
      <x:c r="G274" s="32"/>
      <x:c r="H274" s="32"/>
      <x:c r="I274" s="32"/>
      <x:c r="J274" s="32"/>
      <x:c r="K274" s="32"/>
      <x:c r="L274" s="32"/>
      <x:c r="M274" s="32"/>
      <x:c r="N274" s="32"/>
      <x:c r="O274" s="32"/>
      <x:c r="P274" s="32"/>
      <x:c r="Q274" s="32"/>
      <x:c r="R274" s="32"/>
      <x:c r="S274" s="38"/>
      <x:c r="T274" s="38"/>
      <x:c r="U274" s="38"/>
      <x:c r="V274" s="38"/>
      <x:c r="W274" s="38"/>
      <x:c r="X274" s="38"/>
      <x:c r="Y274" s="38"/>
      <x:c r="Z274" s="38"/>
    </x:row>
    <x:row r="275" ht="18" customHeight="1">
      <x:c r="A275" s="32"/>
      <x:c r="B275" s="32"/>
      <x:c r="C275" s="32"/>
      <x:c r="D275" s="32"/>
      <x:c r="E275" s="32"/>
      <x:c r="F275" s="32"/>
      <x:c r="G275" s="32"/>
      <x:c r="H275" s="32"/>
      <x:c r="I275" s="32"/>
      <x:c r="J275" s="32"/>
      <x:c r="K275" s="32"/>
      <x:c r="L275" s="32"/>
      <x:c r="M275" s="32"/>
      <x:c r="N275" s="32"/>
      <x:c r="O275" s="32"/>
      <x:c r="P275" s="32"/>
      <x:c r="Q275" s="32"/>
      <x:c r="R275" s="32"/>
      <x:c r="S275" s="38"/>
      <x:c r="T275" s="38"/>
      <x:c r="U275" s="38"/>
      <x:c r="V275" s="38"/>
      <x:c r="W275" s="38"/>
      <x:c r="X275" s="38"/>
      <x:c r="Y275" s="38"/>
      <x:c r="Z275" s="38"/>
    </x:row>
    <x:row r="276" ht="18" customHeight="1">
      <x:c r="A276" s="32"/>
      <x:c r="B276" s="32"/>
      <x:c r="C276" s="32"/>
      <x:c r="D276" s="32"/>
      <x:c r="E276" s="32"/>
      <x:c r="F276" s="32"/>
      <x:c r="G276" s="32"/>
      <x:c r="H276" s="32"/>
      <x:c r="I276" s="32"/>
      <x:c r="J276" s="32"/>
      <x:c r="K276" s="32"/>
      <x:c r="L276" s="32"/>
      <x:c r="M276" s="32"/>
      <x:c r="N276" s="32"/>
      <x:c r="O276" s="32"/>
      <x:c r="P276" s="32"/>
      <x:c r="Q276" s="32"/>
      <x:c r="R276" s="32"/>
      <x:c r="S276" s="38"/>
      <x:c r="T276" s="38"/>
      <x:c r="U276" s="38"/>
      <x:c r="V276" s="38"/>
      <x:c r="W276" s="38"/>
      <x:c r="X276" s="38"/>
      <x:c r="Y276" s="38"/>
      <x:c r="Z276" s="38"/>
    </x:row>
    <x:row r="277" ht="18" customHeight="1">
      <x:c r="A277" s="32"/>
      <x:c r="B277" s="32"/>
      <x:c r="C277" s="32"/>
      <x:c r="D277" s="32"/>
      <x:c r="E277" s="32"/>
      <x:c r="F277" s="32"/>
      <x:c r="G277" s="32"/>
      <x:c r="H277" s="32"/>
      <x:c r="I277" s="32"/>
      <x:c r="J277" s="32"/>
      <x:c r="K277" s="32"/>
      <x:c r="L277" s="32"/>
      <x:c r="M277" s="32"/>
      <x:c r="N277" s="32"/>
      <x:c r="O277" s="32"/>
      <x:c r="P277" s="32"/>
      <x:c r="Q277" s="32"/>
      <x:c r="R277" s="32"/>
      <x:c r="S277" s="38"/>
      <x:c r="T277" s="38"/>
      <x:c r="U277" s="38"/>
      <x:c r="V277" s="38"/>
      <x:c r="W277" s="38"/>
      <x:c r="X277" s="38"/>
      <x:c r="Y277" s="38"/>
      <x:c r="Z277" s="38"/>
    </x:row>
    <x:row r="278" ht="18" customHeight="1">
      <x:c r="A278" s="32"/>
      <x:c r="B278" s="32"/>
      <x:c r="C278" s="32"/>
      <x:c r="D278" s="32"/>
      <x:c r="E278" s="32"/>
      <x:c r="F278" s="32"/>
      <x:c r="G278" s="32"/>
      <x:c r="H278" s="32"/>
      <x:c r="I278" s="32"/>
      <x:c r="J278" s="32"/>
      <x:c r="K278" s="32"/>
      <x:c r="L278" s="32"/>
      <x:c r="M278" s="32"/>
      <x:c r="N278" s="32"/>
      <x:c r="O278" s="32"/>
      <x:c r="P278" s="32"/>
      <x:c r="Q278" s="32"/>
      <x:c r="R278" s="32"/>
      <x:c r="S278" s="38"/>
      <x:c r="T278" s="38"/>
      <x:c r="U278" s="38"/>
      <x:c r="V278" s="38"/>
      <x:c r="W278" s="38"/>
      <x:c r="X278" s="38"/>
      <x:c r="Y278" s="38"/>
      <x:c r="Z278" s="38"/>
    </x:row>
    <x:row r="279" ht="18" customHeight="1">
      <x:c r="A279" s="32"/>
      <x:c r="B279" s="32"/>
      <x:c r="C279" s="32"/>
      <x:c r="D279" s="32"/>
      <x:c r="E279" s="32"/>
      <x:c r="F279" s="32"/>
      <x:c r="G279" s="32"/>
      <x:c r="H279" s="32"/>
      <x:c r="I279" s="32"/>
      <x:c r="J279" s="32"/>
      <x:c r="K279" s="32"/>
      <x:c r="L279" s="32"/>
      <x:c r="M279" s="32"/>
      <x:c r="N279" s="32"/>
      <x:c r="O279" s="32"/>
      <x:c r="P279" s="32"/>
      <x:c r="Q279" s="32"/>
      <x:c r="R279" s="32"/>
      <x:c r="S279" s="38"/>
      <x:c r="T279" s="38"/>
      <x:c r="U279" s="38"/>
      <x:c r="V279" s="38"/>
      <x:c r="W279" s="38"/>
      <x:c r="X279" s="38"/>
      <x:c r="Y279" s="38"/>
      <x:c r="Z279" s="38"/>
    </x:row>
    <x:row r="280" ht="18" customHeight="1">
      <x:c r="A280" s="32"/>
      <x:c r="B280" s="32"/>
      <x:c r="C280" s="32"/>
      <x:c r="D280" s="32"/>
      <x:c r="E280" s="32"/>
      <x:c r="F280" s="32"/>
      <x:c r="G280" s="32"/>
      <x:c r="H280" s="32"/>
      <x:c r="I280" s="32"/>
      <x:c r="J280" s="32"/>
      <x:c r="K280" s="32"/>
      <x:c r="L280" s="32"/>
      <x:c r="M280" s="32"/>
      <x:c r="N280" s="32"/>
      <x:c r="O280" s="32"/>
      <x:c r="P280" s="32"/>
      <x:c r="Q280" s="32"/>
      <x:c r="R280" s="32"/>
      <x:c r="S280" s="38"/>
      <x:c r="T280" s="38"/>
      <x:c r="U280" s="38"/>
      <x:c r="V280" s="38"/>
      <x:c r="W280" s="38"/>
      <x:c r="X280" s="38"/>
      <x:c r="Y280" s="38"/>
      <x:c r="Z280" s="38"/>
    </x:row>
    <x:row r="281" ht="18" customHeight="1">
      <x:c r="A281" s="32"/>
      <x:c r="B281" s="32"/>
      <x:c r="C281" s="32"/>
      <x:c r="D281" s="32"/>
      <x:c r="E281" s="32"/>
      <x:c r="F281" s="32"/>
      <x:c r="G281" s="32"/>
      <x:c r="H281" s="32"/>
      <x:c r="I281" s="32"/>
      <x:c r="J281" s="32"/>
      <x:c r="K281" s="32"/>
      <x:c r="L281" s="32"/>
      <x:c r="M281" s="32"/>
      <x:c r="N281" s="32"/>
      <x:c r="O281" s="32"/>
      <x:c r="P281" s="32"/>
      <x:c r="Q281" s="32"/>
      <x:c r="R281" s="32"/>
      <x:c r="S281" s="38"/>
      <x:c r="T281" s="38"/>
      <x:c r="U281" s="38"/>
      <x:c r="V281" s="38"/>
      <x:c r="W281" s="38"/>
      <x:c r="X281" s="38"/>
      <x:c r="Y281" s="38"/>
      <x:c r="Z281" s="38"/>
    </x:row>
    <x:row r="282" ht="18" customHeight="1">
      <x:c r="A282" s="32"/>
      <x:c r="B282" s="32"/>
      <x:c r="C282" s="32"/>
      <x:c r="D282" s="32"/>
      <x:c r="E282" s="32"/>
      <x:c r="F282" s="32"/>
      <x:c r="G282" s="32"/>
      <x:c r="H282" s="32"/>
      <x:c r="I282" s="32"/>
      <x:c r="J282" s="32"/>
      <x:c r="K282" s="32"/>
      <x:c r="L282" s="32"/>
      <x:c r="M282" s="32"/>
      <x:c r="N282" s="32"/>
      <x:c r="O282" s="32"/>
      <x:c r="P282" s="32"/>
      <x:c r="Q282" s="32"/>
      <x:c r="R282" s="32"/>
      <x:c r="S282" s="38"/>
      <x:c r="T282" s="38"/>
      <x:c r="U282" s="38"/>
      <x:c r="V282" s="38"/>
      <x:c r="W282" s="38"/>
      <x:c r="X282" s="38"/>
      <x:c r="Y282" s="38"/>
      <x:c r="Z282" s="38"/>
    </x:row>
    <x:row r="283" ht="18" customHeight="1">
      <x:c r="A283" s="32"/>
      <x:c r="B283" s="32"/>
      <x:c r="C283" s="32"/>
      <x:c r="D283" s="32"/>
      <x:c r="E283" s="32"/>
      <x:c r="F283" s="32"/>
      <x:c r="G283" s="32"/>
      <x:c r="H283" s="32"/>
      <x:c r="I283" s="32"/>
      <x:c r="J283" s="32"/>
      <x:c r="K283" s="32"/>
      <x:c r="L283" s="32"/>
      <x:c r="M283" s="32"/>
      <x:c r="N283" s="32"/>
      <x:c r="O283" s="32"/>
      <x:c r="P283" s="32"/>
      <x:c r="Q283" s="32"/>
      <x:c r="R283" s="32"/>
      <x:c r="S283" s="38"/>
      <x:c r="T283" s="38"/>
      <x:c r="U283" s="38"/>
      <x:c r="V283" s="38"/>
      <x:c r="W283" s="38"/>
      <x:c r="X283" s="38"/>
      <x:c r="Y283" s="38"/>
      <x:c r="Z283" s="38"/>
    </x:row>
    <x:row r="284" ht="18" customHeight="1">
      <x:c r="A284" s="32"/>
      <x:c r="B284" s="32"/>
      <x:c r="C284" s="32"/>
      <x:c r="D284" s="32"/>
      <x:c r="E284" s="32"/>
      <x:c r="F284" s="32"/>
      <x:c r="G284" s="32"/>
      <x:c r="H284" s="32"/>
      <x:c r="I284" s="32"/>
      <x:c r="J284" s="32"/>
      <x:c r="K284" s="32"/>
      <x:c r="L284" s="32"/>
      <x:c r="M284" s="32"/>
      <x:c r="N284" s="32"/>
      <x:c r="O284" s="32"/>
      <x:c r="P284" s="32"/>
      <x:c r="Q284" s="32"/>
      <x:c r="R284" s="32"/>
      <x:c r="S284" s="38"/>
      <x:c r="T284" s="38"/>
      <x:c r="U284" s="38"/>
      <x:c r="V284" s="38"/>
      <x:c r="W284" s="38"/>
      <x:c r="X284" s="38"/>
      <x:c r="Y284" s="38"/>
      <x:c r="Z284" s="38"/>
    </x:row>
    <x:row r="285" ht="18" customHeight="1">
      <x:c r="A285" s="32"/>
      <x:c r="B285" s="32"/>
      <x:c r="C285" s="32"/>
      <x:c r="D285" s="32"/>
      <x:c r="E285" s="32"/>
      <x:c r="F285" s="32"/>
      <x:c r="G285" s="32"/>
      <x:c r="H285" s="32"/>
      <x:c r="I285" s="32"/>
      <x:c r="J285" s="32"/>
      <x:c r="K285" s="32"/>
      <x:c r="L285" s="32"/>
      <x:c r="M285" s="32"/>
      <x:c r="N285" s="32"/>
      <x:c r="O285" s="32"/>
      <x:c r="P285" s="32"/>
      <x:c r="Q285" s="32"/>
      <x:c r="R285" s="32"/>
      <x:c r="S285" s="38"/>
      <x:c r="T285" s="38"/>
      <x:c r="U285" s="38"/>
      <x:c r="V285" s="38"/>
      <x:c r="W285" s="38"/>
      <x:c r="X285" s="38"/>
      <x:c r="Y285" s="38"/>
      <x:c r="Z285" s="38"/>
    </x:row>
    <x:row r="286" ht="18" customHeight="1">
      <x:c r="A286" s="32"/>
      <x:c r="B286" s="32"/>
      <x:c r="C286" s="32"/>
      <x:c r="D286" s="32"/>
      <x:c r="E286" s="32"/>
      <x:c r="F286" s="32"/>
      <x:c r="G286" s="32"/>
      <x:c r="H286" s="32"/>
      <x:c r="I286" s="32"/>
      <x:c r="J286" s="32"/>
      <x:c r="K286" s="32"/>
      <x:c r="L286" s="32"/>
      <x:c r="M286" s="32"/>
      <x:c r="N286" s="32"/>
      <x:c r="O286" s="32"/>
      <x:c r="P286" s="32"/>
      <x:c r="Q286" s="32"/>
      <x:c r="R286" s="32"/>
      <x:c r="S286" s="38"/>
      <x:c r="T286" s="38"/>
      <x:c r="U286" s="38"/>
      <x:c r="V286" s="38"/>
      <x:c r="W286" s="38"/>
      <x:c r="X286" s="38"/>
      <x:c r="Y286" s="38"/>
      <x:c r="Z286" s="38"/>
    </x:row>
    <x:row r="287" ht="18" customHeight="1">
      <x:c r="A287" s="32"/>
      <x:c r="B287" s="32"/>
      <x:c r="C287" s="32"/>
      <x:c r="D287" s="32"/>
      <x:c r="E287" s="32"/>
      <x:c r="F287" s="32"/>
      <x:c r="G287" s="32"/>
      <x:c r="H287" s="32"/>
      <x:c r="I287" s="32"/>
      <x:c r="J287" s="32"/>
      <x:c r="K287" s="32"/>
      <x:c r="L287" s="32"/>
      <x:c r="M287" s="32"/>
      <x:c r="N287" s="32"/>
      <x:c r="O287" s="32"/>
      <x:c r="P287" s="32"/>
      <x:c r="Q287" s="32"/>
      <x:c r="R287" s="32"/>
      <x:c r="S287" s="38"/>
      <x:c r="T287" s="38"/>
      <x:c r="U287" s="38"/>
      <x:c r="V287" s="38"/>
      <x:c r="W287" s="38"/>
      <x:c r="X287" s="38"/>
      <x:c r="Y287" s="38"/>
      <x:c r="Z287" s="38"/>
    </x:row>
    <x:row r="288" ht="18" customHeight="1">
      <x:c r="A288" s="32"/>
      <x:c r="B288" s="32"/>
      <x:c r="C288" s="32"/>
      <x:c r="D288" s="32"/>
      <x:c r="E288" s="32"/>
      <x:c r="F288" s="32"/>
      <x:c r="G288" s="32"/>
      <x:c r="H288" s="32"/>
      <x:c r="I288" s="32"/>
      <x:c r="J288" s="32"/>
      <x:c r="K288" s="32"/>
      <x:c r="L288" s="32"/>
      <x:c r="M288" s="32"/>
      <x:c r="N288" s="32"/>
      <x:c r="O288" s="32"/>
      <x:c r="P288" s="32"/>
      <x:c r="Q288" s="32"/>
      <x:c r="R288" s="32"/>
      <x:c r="S288" s="38"/>
      <x:c r="T288" s="38"/>
      <x:c r="U288" s="38"/>
      <x:c r="V288" s="38"/>
      <x:c r="W288" s="38"/>
      <x:c r="X288" s="38"/>
      <x:c r="Y288" s="38"/>
      <x:c r="Z288" s="38"/>
    </x:row>
    <x:row r="289" ht="18" customHeight="1">
      <x:c r="A289" s="32"/>
      <x:c r="B289" s="32"/>
      <x:c r="C289" s="32"/>
      <x:c r="D289" s="32"/>
      <x:c r="E289" s="32"/>
      <x:c r="F289" s="32"/>
      <x:c r="G289" s="32"/>
      <x:c r="H289" s="32"/>
      <x:c r="I289" s="32"/>
      <x:c r="J289" s="32"/>
      <x:c r="K289" s="32"/>
      <x:c r="L289" s="32"/>
      <x:c r="M289" s="32"/>
      <x:c r="N289" s="32"/>
      <x:c r="O289" s="32"/>
      <x:c r="P289" s="32"/>
      <x:c r="Q289" s="32"/>
      <x:c r="R289" s="32"/>
      <x:c r="S289" s="38"/>
      <x:c r="T289" s="38"/>
      <x:c r="U289" s="38"/>
      <x:c r="V289" s="38"/>
      <x:c r="W289" s="38"/>
      <x:c r="X289" s="38"/>
      <x:c r="Y289" s="38"/>
      <x:c r="Z289" s="38"/>
    </x:row>
    <x:row r="290" ht="18" customHeight="1">
      <x:c r="A290" s="32"/>
      <x:c r="B290" s="32"/>
      <x:c r="C290" s="32"/>
      <x:c r="D290" s="32"/>
      <x:c r="E290" s="32"/>
      <x:c r="F290" s="32"/>
      <x:c r="G290" s="32"/>
      <x:c r="H290" s="32"/>
      <x:c r="I290" s="32"/>
      <x:c r="J290" s="32"/>
      <x:c r="K290" s="32"/>
      <x:c r="L290" s="32"/>
      <x:c r="M290" s="32"/>
      <x:c r="N290" s="32"/>
      <x:c r="O290" s="32"/>
      <x:c r="P290" s="32"/>
      <x:c r="Q290" s="32"/>
      <x:c r="R290" s="32"/>
      <x:c r="S290" s="38"/>
      <x:c r="T290" s="38"/>
      <x:c r="U290" s="38"/>
      <x:c r="V290" s="38"/>
      <x:c r="W290" s="38"/>
      <x:c r="X290" s="38"/>
      <x:c r="Y290" s="38"/>
      <x:c r="Z290" s="38"/>
    </x:row>
    <x:row r="291" ht="18" customHeight="1">
      <x:c r="A291" s="32"/>
      <x:c r="B291" s="32"/>
      <x:c r="C291" s="32"/>
      <x:c r="D291" s="32"/>
      <x:c r="E291" s="32"/>
      <x:c r="F291" s="32"/>
      <x:c r="G291" s="32"/>
      <x:c r="H291" s="32"/>
      <x:c r="I291" s="32"/>
      <x:c r="J291" s="32"/>
      <x:c r="K291" s="32"/>
      <x:c r="L291" s="32"/>
      <x:c r="M291" s="32"/>
      <x:c r="N291" s="32"/>
      <x:c r="O291" s="32"/>
      <x:c r="P291" s="32"/>
      <x:c r="Q291" s="32"/>
      <x:c r="R291" s="32"/>
      <x:c r="S291" s="38"/>
      <x:c r="T291" s="38"/>
      <x:c r="U291" s="38"/>
      <x:c r="V291" s="38"/>
      <x:c r="W291" s="38"/>
      <x:c r="X291" s="38"/>
      <x:c r="Y291" s="38"/>
      <x:c r="Z291" s="38"/>
    </x:row>
    <x:row r="292" ht="18" customHeight="1">
      <x:c r="A292" s="32"/>
      <x:c r="B292" s="32"/>
      <x:c r="C292" s="32"/>
      <x:c r="D292" s="32"/>
      <x:c r="E292" s="32"/>
      <x:c r="F292" s="32"/>
      <x:c r="G292" s="32"/>
      <x:c r="H292" s="32"/>
      <x:c r="I292" s="32"/>
      <x:c r="J292" s="32"/>
      <x:c r="K292" s="32"/>
      <x:c r="L292" s="32"/>
      <x:c r="M292" s="32"/>
      <x:c r="N292" s="32"/>
      <x:c r="O292" s="32"/>
      <x:c r="P292" s="32"/>
      <x:c r="Q292" s="32"/>
      <x:c r="R292" s="32"/>
      <x:c r="S292" s="38"/>
      <x:c r="T292" s="38"/>
      <x:c r="U292" s="38"/>
      <x:c r="V292" s="38"/>
      <x:c r="W292" s="38"/>
      <x:c r="X292" s="38"/>
      <x:c r="Y292" s="38"/>
      <x:c r="Z292" s="38"/>
    </x:row>
    <x:row r="293" ht="18" customHeight="1">
      <x:c r="A293" s="32"/>
      <x:c r="B293" s="32"/>
      <x:c r="C293" s="32"/>
      <x:c r="D293" s="32"/>
      <x:c r="E293" s="32"/>
      <x:c r="F293" s="32"/>
      <x:c r="G293" s="32"/>
      <x:c r="H293" s="32"/>
      <x:c r="I293" s="32"/>
      <x:c r="J293" s="32"/>
      <x:c r="K293" s="32"/>
      <x:c r="L293" s="32"/>
      <x:c r="M293" s="32"/>
      <x:c r="N293" s="32"/>
      <x:c r="O293" s="32"/>
      <x:c r="P293" s="32"/>
      <x:c r="Q293" s="32"/>
      <x:c r="R293" s="32"/>
      <x:c r="S293" s="38"/>
      <x:c r="T293" s="38"/>
      <x:c r="U293" s="38"/>
      <x:c r="V293" s="38"/>
      <x:c r="W293" s="38"/>
      <x:c r="X293" s="38"/>
      <x:c r="Y293" s="38"/>
      <x:c r="Z293" s="38"/>
    </x:row>
    <x:row r="294" ht="18" customHeight="1">
      <x:c r="A294" s="32"/>
      <x:c r="B294" s="32"/>
      <x:c r="C294" s="32"/>
      <x:c r="D294" s="32"/>
      <x:c r="E294" s="32"/>
      <x:c r="F294" s="32"/>
      <x:c r="G294" s="32"/>
      <x:c r="H294" s="32"/>
      <x:c r="I294" s="32"/>
      <x:c r="J294" s="32"/>
      <x:c r="K294" s="32"/>
      <x:c r="L294" s="32"/>
      <x:c r="M294" s="32"/>
      <x:c r="N294" s="32"/>
      <x:c r="O294" s="32"/>
      <x:c r="P294" s="32"/>
      <x:c r="Q294" s="32"/>
      <x:c r="R294" s="32"/>
      <x:c r="S294" s="38"/>
      <x:c r="T294" s="38"/>
      <x:c r="U294" s="38"/>
      <x:c r="V294" s="38"/>
      <x:c r="W294" s="38"/>
      <x:c r="X294" s="38"/>
      <x:c r="Y294" s="38"/>
      <x:c r="Z294" s="38"/>
    </x:row>
    <x:row r="295" ht="18" customHeight="1">
      <x:c r="A295" s="32"/>
      <x:c r="B295" s="32"/>
      <x:c r="C295" s="32"/>
      <x:c r="D295" s="32"/>
      <x:c r="E295" s="32"/>
      <x:c r="F295" s="32"/>
      <x:c r="G295" s="32"/>
      <x:c r="H295" s="32"/>
      <x:c r="I295" s="32"/>
      <x:c r="J295" s="32"/>
      <x:c r="K295" s="32"/>
      <x:c r="L295" s="32"/>
      <x:c r="M295" s="32"/>
      <x:c r="N295" s="32"/>
      <x:c r="O295" s="32"/>
      <x:c r="P295" s="32"/>
      <x:c r="Q295" s="32"/>
      <x:c r="R295" s="32"/>
      <x:c r="S295" s="38"/>
      <x:c r="T295" s="38"/>
      <x:c r="U295" s="38"/>
      <x:c r="V295" s="38"/>
      <x:c r="W295" s="38"/>
      <x:c r="X295" s="38"/>
      <x:c r="Y295" s="38"/>
      <x:c r="Z295" s="38"/>
    </x:row>
    <x:row r="296" ht="18" customHeight="1">
      <x:c r="A296" s="32"/>
      <x:c r="B296" s="32"/>
      <x:c r="C296" s="32"/>
      <x:c r="D296" s="32"/>
      <x:c r="E296" s="32"/>
      <x:c r="F296" s="32"/>
      <x:c r="G296" s="32"/>
      <x:c r="H296" s="32"/>
      <x:c r="I296" s="32"/>
      <x:c r="J296" s="32"/>
      <x:c r="K296" s="32"/>
      <x:c r="L296" s="32"/>
      <x:c r="M296" s="32"/>
      <x:c r="N296" s="32"/>
      <x:c r="O296" s="32"/>
      <x:c r="P296" s="32"/>
      <x:c r="Q296" s="32"/>
      <x:c r="R296" s="32"/>
      <x:c r="S296" s="38"/>
      <x:c r="T296" s="38"/>
      <x:c r="U296" s="38"/>
      <x:c r="V296" s="38"/>
      <x:c r="W296" s="38"/>
      <x:c r="X296" s="38"/>
      <x:c r="Y296" s="38"/>
      <x:c r="Z296" s="38"/>
    </x:row>
    <x:row r="297" ht="18" customHeight="1">
      <x:c r="A297" s="32"/>
      <x:c r="B297" s="32"/>
      <x:c r="C297" s="32"/>
      <x:c r="D297" s="32"/>
      <x:c r="E297" s="32"/>
      <x:c r="F297" s="32"/>
      <x:c r="G297" s="32"/>
      <x:c r="H297" s="32"/>
      <x:c r="I297" s="32"/>
      <x:c r="J297" s="32"/>
      <x:c r="K297" s="32"/>
      <x:c r="L297" s="32"/>
      <x:c r="M297" s="32"/>
      <x:c r="N297" s="32"/>
      <x:c r="O297" s="32"/>
      <x:c r="P297" s="32"/>
      <x:c r="Q297" s="32"/>
      <x:c r="R297" s="32"/>
      <x:c r="S297" s="38"/>
      <x:c r="T297" s="38"/>
      <x:c r="U297" s="38"/>
      <x:c r="V297" s="38"/>
      <x:c r="W297" s="38"/>
      <x:c r="X297" s="38"/>
      <x:c r="Y297" s="38"/>
      <x:c r="Z297" s="38"/>
    </x:row>
    <x:row r="298" ht="18" customHeight="1">
      <x:c r="A298" s="32"/>
      <x:c r="B298" s="32"/>
      <x:c r="C298" s="32"/>
      <x:c r="D298" s="32"/>
      <x:c r="E298" s="32"/>
      <x:c r="F298" s="32"/>
      <x:c r="G298" s="32"/>
      <x:c r="H298" s="32"/>
      <x:c r="I298" s="32"/>
      <x:c r="J298" s="32"/>
      <x:c r="K298" s="32"/>
      <x:c r="L298" s="32"/>
      <x:c r="M298" s="32"/>
      <x:c r="N298" s="32"/>
      <x:c r="O298" s="32"/>
      <x:c r="P298" s="32"/>
      <x:c r="Q298" s="32"/>
      <x:c r="R298" s="32"/>
      <x:c r="S298" s="38"/>
      <x:c r="T298" s="38"/>
      <x:c r="U298" s="38"/>
      <x:c r="V298" s="38"/>
      <x:c r="W298" s="38"/>
      <x:c r="X298" s="38"/>
      <x:c r="Y298" s="38"/>
      <x:c r="Z298" s="38"/>
    </x:row>
    <x:row r="299" ht="18" customHeight="1">
      <x:c r="A299" s="32"/>
      <x:c r="B299" s="32"/>
      <x:c r="C299" s="32"/>
      <x:c r="D299" s="32"/>
      <x:c r="E299" s="32"/>
      <x:c r="F299" s="32"/>
      <x:c r="G299" s="32"/>
      <x:c r="H299" s="32"/>
      <x:c r="I299" s="32"/>
      <x:c r="J299" s="32"/>
      <x:c r="K299" s="32"/>
      <x:c r="L299" s="32"/>
      <x:c r="M299" s="32"/>
      <x:c r="N299" s="32"/>
      <x:c r="O299" s="32"/>
      <x:c r="P299" s="32"/>
      <x:c r="Q299" s="32"/>
      <x:c r="R299" s="32"/>
      <x:c r="S299" s="38"/>
      <x:c r="T299" s="38"/>
      <x:c r="U299" s="38"/>
      <x:c r="V299" s="38"/>
      <x:c r="W299" s="38"/>
      <x:c r="X299" s="38"/>
      <x:c r="Y299" s="38"/>
      <x:c r="Z299" s="38"/>
    </x:row>
    <x:row r="300" ht="18" customHeight="1">
      <x:c r="A300" s="32"/>
      <x:c r="B300" s="32"/>
      <x:c r="C300" s="32"/>
      <x:c r="D300" s="32"/>
      <x:c r="E300" s="32"/>
      <x:c r="F300" s="32"/>
      <x:c r="G300" s="32"/>
      <x:c r="H300" s="32"/>
      <x:c r="I300" s="32"/>
      <x:c r="J300" s="32"/>
      <x:c r="K300" s="32"/>
      <x:c r="L300" s="32"/>
      <x:c r="M300" s="32"/>
      <x:c r="N300" s="32"/>
      <x:c r="O300" s="32"/>
      <x:c r="P300" s="32"/>
      <x:c r="Q300" s="32"/>
      <x:c r="R300" s="32"/>
      <x:c r="S300" s="38"/>
      <x:c r="T300" s="38"/>
      <x:c r="U300" s="38"/>
      <x:c r="V300" s="38"/>
      <x:c r="W300" s="38"/>
      <x:c r="X300" s="38"/>
      <x:c r="Y300" s="38"/>
      <x:c r="Z300" s="38"/>
    </x:row>
    <x:row r="301" ht="18" customHeight="1">
      <x:c r="A301" s="32"/>
      <x:c r="B301" s="32"/>
      <x:c r="C301" s="32"/>
      <x:c r="D301" s="32"/>
      <x:c r="E301" s="32"/>
      <x:c r="F301" s="32"/>
      <x:c r="G301" s="32"/>
      <x:c r="H301" s="32"/>
      <x:c r="I301" s="32"/>
      <x:c r="J301" s="32"/>
      <x:c r="K301" s="32"/>
      <x:c r="L301" s="32"/>
      <x:c r="M301" s="32"/>
      <x:c r="N301" s="32"/>
      <x:c r="O301" s="32"/>
      <x:c r="P301" s="32"/>
      <x:c r="Q301" s="32"/>
      <x:c r="R301" s="32"/>
      <x:c r="S301" s="38"/>
      <x:c r="T301" s="38"/>
      <x:c r="U301" s="38"/>
      <x:c r="V301" s="38"/>
      <x:c r="W301" s="38"/>
      <x:c r="X301" s="38"/>
      <x:c r="Y301" s="38"/>
      <x:c r="Z301" s="38"/>
    </x:row>
    <x:row r="302" ht="18" customHeight="1">
      <x:c r="A302" s="32"/>
      <x:c r="B302" s="32"/>
      <x:c r="C302" s="32"/>
      <x:c r="D302" s="32"/>
      <x:c r="E302" s="32"/>
      <x:c r="F302" s="32"/>
      <x:c r="G302" s="32"/>
      <x:c r="H302" s="32"/>
      <x:c r="I302" s="32"/>
      <x:c r="J302" s="32"/>
      <x:c r="K302" s="32"/>
      <x:c r="L302" s="32"/>
      <x:c r="M302" s="32"/>
      <x:c r="N302" s="32"/>
      <x:c r="O302" s="32"/>
      <x:c r="P302" s="32"/>
      <x:c r="Q302" s="32"/>
      <x:c r="R302" s="32"/>
      <x:c r="S302" s="38"/>
      <x:c r="T302" s="38"/>
      <x:c r="U302" s="38"/>
      <x:c r="V302" s="38"/>
      <x:c r="W302" s="38"/>
      <x:c r="X302" s="38"/>
      <x:c r="Y302" s="38"/>
      <x:c r="Z302" s="38"/>
    </x:row>
    <x:row r="303" ht="18" customHeight="1">
      <x:c r="A303" s="32"/>
      <x:c r="B303" s="32"/>
      <x:c r="C303" s="32"/>
      <x:c r="D303" s="32"/>
      <x:c r="E303" s="32"/>
      <x:c r="F303" s="32"/>
      <x:c r="G303" s="32"/>
      <x:c r="H303" s="32"/>
      <x:c r="I303" s="32"/>
      <x:c r="J303" s="32"/>
      <x:c r="K303" s="32"/>
      <x:c r="L303" s="32"/>
      <x:c r="M303" s="32"/>
      <x:c r="N303" s="32"/>
      <x:c r="O303" s="32"/>
      <x:c r="P303" s="32"/>
      <x:c r="Q303" s="32"/>
      <x:c r="R303" s="32"/>
      <x:c r="S303" s="38"/>
      <x:c r="T303" s="38"/>
      <x:c r="U303" s="38"/>
      <x:c r="V303" s="38"/>
      <x:c r="W303" s="38"/>
      <x:c r="X303" s="38"/>
      <x:c r="Y303" s="38"/>
      <x:c r="Z303" s="38"/>
    </x:row>
    <x:row r="304" ht="18" customHeight="1">
      <x:c r="A304" s="32"/>
      <x:c r="B304" s="32"/>
      <x:c r="C304" s="32"/>
      <x:c r="D304" s="32"/>
      <x:c r="E304" s="32"/>
      <x:c r="F304" s="32"/>
      <x:c r="G304" s="32"/>
      <x:c r="H304" s="32"/>
      <x:c r="I304" s="32"/>
      <x:c r="J304" s="32"/>
      <x:c r="K304" s="32"/>
      <x:c r="L304" s="32"/>
      <x:c r="M304" s="32"/>
      <x:c r="N304" s="32"/>
      <x:c r="O304" s="32"/>
      <x:c r="P304" s="32"/>
      <x:c r="Q304" s="32"/>
      <x:c r="R304" s="32"/>
      <x:c r="S304" s="38"/>
      <x:c r="T304" s="38"/>
      <x:c r="U304" s="38"/>
      <x:c r="V304" s="38"/>
      <x:c r="W304" s="38"/>
      <x:c r="X304" s="38"/>
      <x:c r="Y304" s="38"/>
      <x:c r="Z304" s="38"/>
    </x:row>
    <x:row r="305" ht="18" customHeight="1">
      <x:c r="A305" s="38"/>
      <x:c r="B305" s="38"/>
      <x:c r="C305" s="38"/>
      <x:c r="D305" s="38"/>
      <x:c r="E305" s="38"/>
      <x:c r="F305" s="38"/>
      <x:c r="G305" s="38"/>
      <x:c r="H305" s="38"/>
      <x:c r="I305" s="38"/>
      <x:c r="J305" s="38"/>
      <x:c r="K305" s="38"/>
      <x:c r="L305" s="38"/>
      <x:c r="M305" s="38"/>
      <x:c r="N305" s="38"/>
      <x:c r="O305" s="38"/>
      <x:c r="P305" s="38"/>
      <x:c r="Q305" s="38"/>
      <x:c r="R305" s="38"/>
      <x:c r="S305" s="38"/>
      <x:c r="T305" s="38"/>
      <x:c r="U305" s="38"/>
      <x:c r="V305" s="38"/>
      <x:c r="W305" s="38"/>
      <x:c r="X305" s="38"/>
      <x:c r="Y305" s="38"/>
      <x:c r="Z305" s="38"/>
    </x:row>
    <x:row r="306" ht="18" customHeight="1">
      <x:c r="A306" s="38"/>
      <x:c r="B306" s="38"/>
      <x:c r="C306" s="38"/>
      <x:c r="D306" s="38"/>
      <x:c r="E306" s="38"/>
      <x:c r="F306" s="38"/>
      <x:c r="G306" s="38"/>
      <x:c r="H306" s="38"/>
      <x:c r="I306" s="38"/>
      <x:c r="J306" s="38"/>
      <x:c r="K306" s="38"/>
      <x:c r="L306" s="38"/>
      <x:c r="M306" s="38"/>
      <x:c r="N306" s="38"/>
      <x:c r="O306" s="38"/>
      <x:c r="P306" s="38"/>
      <x:c r="Q306" s="38"/>
      <x:c r="R306" s="38"/>
      <x:c r="S306" s="38"/>
      <x:c r="T306" s="38"/>
      <x:c r="U306" s="38"/>
      <x:c r="V306" s="38"/>
      <x:c r="W306" s="38"/>
      <x:c r="X306" s="38"/>
      <x:c r="Y306" s="38"/>
      <x:c r="Z306" s="38"/>
    </x:row>
    <x:row r="307" ht="18" customHeight="1">
      <x:c r="A307" s="38"/>
      <x:c r="B307" s="38"/>
      <x:c r="C307" s="38"/>
      <x:c r="D307" s="38"/>
      <x:c r="E307" s="38"/>
      <x:c r="F307" s="38"/>
      <x:c r="G307" s="38"/>
      <x:c r="H307" s="38"/>
      <x:c r="I307" s="38"/>
      <x:c r="J307" s="38"/>
      <x:c r="K307" s="38"/>
      <x:c r="L307" s="38"/>
      <x:c r="M307" s="38"/>
      <x:c r="N307" s="38"/>
      <x:c r="O307" s="38"/>
      <x:c r="P307" s="38"/>
      <x:c r="Q307" s="38"/>
      <x:c r="R307" s="38"/>
      <x:c r="S307" s="38"/>
      <x:c r="T307" s="38"/>
      <x:c r="U307" s="38"/>
      <x:c r="V307" s="38"/>
      <x:c r="W307" s="38"/>
      <x:c r="X307" s="38"/>
      <x:c r="Y307" s="38"/>
      <x:c r="Z307" s="38"/>
    </x:row>
    <x:row r="308" ht="18" customHeight="1">
      <x:c r="A308" s="38"/>
      <x:c r="B308" s="38"/>
      <x:c r="C308" s="38"/>
      <x:c r="D308" s="38"/>
      <x:c r="E308" s="38"/>
      <x:c r="F308" s="38"/>
      <x:c r="G308" s="38"/>
      <x:c r="H308" s="38"/>
      <x:c r="I308" s="38"/>
      <x:c r="J308" s="38"/>
      <x:c r="K308" s="38"/>
      <x:c r="L308" s="38"/>
      <x:c r="M308" s="38"/>
      <x:c r="N308" s="38"/>
      <x:c r="O308" s="38"/>
      <x:c r="P308" s="38"/>
      <x:c r="Q308" s="38"/>
      <x:c r="R308" s="38"/>
      <x:c r="S308" s="38"/>
      <x:c r="T308" s="38"/>
      <x:c r="U308" s="38"/>
      <x:c r="V308" s="38"/>
      <x:c r="W308" s="38"/>
      <x:c r="X308" s="38"/>
      <x:c r="Y308" s="38"/>
      <x:c r="Z308" s="38"/>
    </x:row>
    <x:row r="309" ht="18" customHeight="1">
      <x:c r="A309" s="38"/>
      <x:c r="B309" s="38"/>
      <x:c r="C309" s="38"/>
      <x:c r="D309" s="38"/>
      <x:c r="E309" s="38"/>
      <x:c r="F309" s="38"/>
      <x:c r="G309" s="38"/>
      <x:c r="H309" s="38"/>
      <x:c r="I309" s="38"/>
      <x:c r="J309" s="38"/>
      <x:c r="K309" s="38"/>
      <x:c r="L309" s="38"/>
      <x:c r="M309" s="38"/>
      <x:c r="N309" s="38"/>
      <x:c r="O309" s="38"/>
      <x:c r="P309" s="38"/>
      <x:c r="Q309" s="38"/>
      <x:c r="R309" s="38"/>
      <x:c r="S309" s="38"/>
      <x:c r="T309" s="38"/>
      <x:c r="U309" s="38"/>
      <x:c r="V309" s="38"/>
      <x:c r="W309" s="38"/>
      <x:c r="X309" s="38"/>
      <x:c r="Y309" s="38"/>
      <x:c r="Z309" s="38"/>
    </x:row>
    <x:row r="310" ht="18" customHeight="1">
      <x:c r="A310" s="38"/>
      <x:c r="B310" s="38"/>
      <x:c r="C310" s="38"/>
      <x:c r="D310" s="38"/>
      <x:c r="E310" s="38"/>
      <x:c r="F310" s="38"/>
      <x:c r="G310" s="38"/>
      <x:c r="H310" s="38"/>
      <x:c r="I310" s="38"/>
      <x:c r="J310" s="38"/>
      <x:c r="K310" s="38"/>
      <x:c r="L310" s="38"/>
      <x:c r="M310" s="38"/>
      <x:c r="N310" s="38"/>
      <x:c r="O310" s="38"/>
      <x:c r="P310" s="38"/>
      <x:c r="Q310" s="38"/>
      <x:c r="R310" s="38"/>
      <x:c r="S310" s="38"/>
      <x:c r="T310" s="38"/>
      <x:c r="U310" s="38"/>
      <x:c r="V310" s="38"/>
      <x:c r="W310" s="38"/>
      <x:c r="X310" s="38"/>
      <x:c r="Y310" s="38"/>
      <x:c r="Z310" s="38"/>
    </x:row>
    <x:row r="311" ht="18" customHeight="1">
      <x:c r="A311" s="38"/>
      <x:c r="B311" s="38"/>
      <x:c r="C311" s="38"/>
      <x:c r="D311" s="38"/>
      <x:c r="E311" s="38"/>
      <x:c r="F311" s="38"/>
      <x:c r="G311" s="38"/>
      <x:c r="H311" s="38"/>
      <x:c r="I311" s="38"/>
      <x:c r="J311" s="38"/>
      <x:c r="K311" s="38"/>
      <x:c r="L311" s="38"/>
      <x:c r="M311" s="38"/>
      <x:c r="N311" s="38"/>
      <x:c r="O311" s="38"/>
      <x:c r="P311" s="38"/>
      <x:c r="Q311" s="38"/>
      <x:c r="R311" s="38"/>
      <x:c r="S311" s="38"/>
      <x:c r="T311" s="38"/>
      <x:c r="U311" s="38"/>
      <x:c r="V311" s="38"/>
      <x:c r="W311" s="38"/>
      <x:c r="X311" s="38"/>
      <x:c r="Y311" s="38"/>
      <x:c r="Z311" s="38"/>
    </x:row>
    <x:row r="312" ht="18" customHeight="1">
      <x:c r="A312" s="38"/>
      <x:c r="B312" s="38"/>
      <x:c r="C312" s="38"/>
      <x:c r="D312" s="38"/>
      <x:c r="E312" s="38"/>
      <x:c r="F312" s="38"/>
      <x:c r="G312" s="38"/>
      <x:c r="H312" s="38"/>
      <x:c r="I312" s="38"/>
      <x:c r="J312" s="38"/>
      <x:c r="K312" s="38"/>
      <x:c r="L312" s="38"/>
      <x:c r="M312" s="38"/>
      <x:c r="N312" s="38"/>
      <x:c r="O312" s="38"/>
      <x:c r="P312" s="38"/>
      <x:c r="Q312" s="38"/>
      <x:c r="R312" s="38"/>
      <x:c r="S312" s="38"/>
      <x:c r="T312" s="38"/>
      <x:c r="U312" s="38"/>
      <x:c r="V312" s="38"/>
      <x:c r="W312" s="38"/>
      <x:c r="X312" s="38"/>
      <x:c r="Y312" s="38"/>
      <x:c r="Z312" s="38"/>
    </x:row>
    <x:row r="313" ht="18" customHeight="1">
      <x:c r="A313" s="38"/>
      <x:c r="B313" s="38"/>
      <x:c r="C313" s="38"/>
      <x:c r="D313" s="38"/>
      <x:c r="E313" s="38"/>
      <x:c r="F313" s="38"/>
      <x:c r="G313" s="38"/>
      <x:c r="H313" s="38"/>
      <x:c r="I313" s="38"/>
      <x:c r="J313" s="38"/>
      <x:c r="K313" s="38"/>
      <x:c r="L313" s="38"/>
      <x:c r="M313" s="38"/>
      <x:c r="N313" s="38"/>
      <x:c r="O313" s="38"/>
      <x:c r="P313" s="38"/>
      <x:c r="Q313" s="38"/>
      <x:c r="R313" s="38"/>
      <x:c r="S313" s="38"/>
      <x:c r="T313" s="38"/>
      <x:c r="U313" s="38"/>
      <x:c r="V313" s="38"/>
      <x:c r="W313" s="38"/>
      <x:c r="X313" s="38"/>
      <x:c r="Y313" s="38"/>
      <x:c r="Z313" s="38"/>
    </x:row>
    <x:row r="314" ht="18" customHeight="1">
      <x:c r="A314" s="38"/>
      <x:c r="B314" s="38"/>
      <x:c r="C314" s="38"/>
      <x:c r="D314" s="38"/>
      <x:c r="E314" s="38"/>
      <x:c r="F314" s="38"/>
      <x:c r="G314" s="38"/>
      <x:c r="H314" s="38"/>
      <x:c r="I314" s="38"/>
      <x:c r="J314" s="38"/>
      <x:c r="K314" s="38"/>
      <x:c r="L314" s="38"/>
      <x:c r="M314" s="38"/>
      <x:c r="N314" s="38"/>
      <x:c r="O314" s="38"/>
      <x:c r="P314" s="38"/>
      <x:c r="Q314" s="38"/>
      <x:c r="R314" s="38"/>
      <x:c r="S314" s="38"/>
      <x:c r="T314" s="38"/>
      <x:c r="U314" s="38"/>
      <x:c r="V314" s="38"/>
      <x:c r="W314" s="38"/>
      <x:c r="X314" s="38"/>
      <x:c r="Y314" s="38"/>
      <x:c r="Z314" s="38"/>
    </x:row>
    <x:row r="315" ht="18" customHeight="1">
      <x:c r="A315" s="38"/>
      <x:c r="B315" s="38"/>
      <x:c r="C315" s="38"/>
      <x:c r="D315" s="38"/>
      <x:c r="E315" s="38"/>
      <x:c r="F315" s="38"/>
      <x:c r="G315" s="38"/>
      <x:c r="H315" s="38"/>
      <x:c r="I315" s="38"/>
      <x:c r="J315" s="38"/>
      <x:c r="K315" s="38"/>
      <x:c r="L315" s="38"/>
      <x:c r="M315" s="38"/>
      <x:c r="N315" s="38"/>
      <x:c r="O315" s="38"/>
      <x:c r="P315" s="38"/>
      <x:c r="Q315" s="38"/>
      <x:c r="R315" s="38"/>
      <x:c r="S315" s="38"/>
      <x:c r="T315" s="38"/>
      <x:c r="U315" s="38"/>
      <x:c r="V315" s="38"/>
      <x:c r="W315" s="38"/>
      <x:c r="X315" s="38"/>
      <x:c r="Y315" s="38"/>
      <x:c r="Z315" s="38"/>
    </x:row>
    <x:row r="316" ht="18" customHeight="1">
      <x:c r="A316" s="38"/>
      <x:c r="B316" s="38"/>
      <x:c r="C316" s="38"/>
      <x:c r="D316" s="38"/>
      <x:c r="E316" s="38"/>
      <x:c r="F316" s="38"/>
      <x:c r="G316" s="38"/>
      <x:c r="H316" s="38"/>
      <x:c r="I316" s="38"/>
      <x:c r="J316" s="38"/>
      <x:c r="K316" s="38"/>
      <x:c r="L316" s="38"/>
      <x:c r="M316" s="38"/>
      <x:c r="N316" s="38"/>
      <x:c r="O316" s="38"/>
      <x:c r="P316" s="38"/>
      <x:c r="Q316" s="38"/>
      <x:c r="R316" s="38"/>
      <x:c r="S316" s="38"/>
      <x:c r="T316" s="38"/>
      <x:c r="U316" s="38"/>
      <x:c r="V316" s="38"/>
      <x:c r="W316" s="38"/>
      <x:c r="X316" s="38"/>
      <x:c r="Y316" s="38"/>
      <x:c r="Z316" s="38"/>
    </x:row>
    <x:row r="317" ht="18" customHeight="1">
      <x:c r="A317" s="38"/>
      <x:c r="B317" s="38"/>
      <x:c r="C317" s="38"/>
      <x:c r="D317" s="38"/>
      <x:c r="E317" s="38"/>
      <x:c r="F317" s="38"/>
      <x:c r="G317" s="38"/>
      <x:c r="H317" s="38"/>
      <x:c r="I317" s="38"/>
      <x:c r="J317" s="38"/>
      <x:c r="K317" s="38"/>
      <x:c r="L317" s="38"/>
      <x:c r="M317" s="38"/>
      <x:c r="N317" s="38"/>
      <x:c r="O317" s="38"/>
      <x:c r="P317" s="38"/>
      <x:c r="Q317" s="38"/>
      <x:c r="R317" s="38"/>
      <x:c r="S317" s="38"/>
      <x:c r="T317" s="38"/>
      <x:c r="U317" s="38"/>
      <x:c r="V317" s="38"/>
      <x:c r="W317" s="38"/>
      <x:c r="X317" s="38"/>
      <x:c r="Y317" s="38"/>
      <x:c r="Z317" s="38"/>
    </x:row>
    <x:row r="318" ht="18" customHeight="1">
      <x:c r="A318" s="38"/>
      <x:c r="B318" s="38"/>
      <x:c r="C318" s="38"/>
      <x:c r="D318" s="38"/>
      <x:c r="E318" s="38"/>
      <x:c r="F318" s="38"/>
      <x:c r="G318" s="38"/>
      <x:c r="H318" s="38"/>
      <x:c r="I318" s="38"/>
      <x:c r="J318" s="38"/>
      <x:c r="K318" s="38"/>
      <x:c r="L318" s="38"/>
      <x:c r="M318" s="38"/>
      <x:c r="N318" s="38"/>
      <x:c r="O318" s="38"/>
      <x:c r="P318" s="38"/>
      <x:c r="Q318" s="38"/>
      <x:c r="R318" s="38"/>
      <x:c r="S318" s="38"/>
      <x:c r="T318" s="38"/>
      <x:c r="U318" s="38"/>
      <x:c r="V318" s="38"/>
      <x:c r="W318" s="38"/>
      <x:c r="X318" s="38"/>
      <x:c r="Y318" s="38"/>
      <x:c r="Z318" s="38"/>
    </x:row>
    <x:row r="319" ht="18" customHeight="1">
      <x:c r="A319" s="38"/>
      <x:c r="B319" s="38"/>
      <x:c r="C319" s="38"/>
      <x:c r="D319" s="38"/>
      <x:c r="E319" s="38"/>
      <x:c r="F319" s="38"/>
      <x:c r="G319" s="38"/>
      <x:c r="H319" s="38"/>
      <x:c r="I319" s="38"/>
      <x:c r="J319" s="38"/>
      <x:c r="K319" s="38"/>
      <x:c r="L319" s="38"/>
      <x:c r="M319" s="38"/>
      <x:c r="N319" s="38"/>
      <x:c r="O319" s="38"/>
      <x:c r="P319" s="38"/>
      <x:c r="Q319" s="38"/>
      <x:c r="R319" s="38"/>
      <x:c r="S319" s="38"/>
      <x:c r="T319" s="38"/>
      <x:c r="U319" s="38"/>
      <x:c r="V319" s="38"/>
      <x:c r="W319" s="38"/>
      <x:c r="X319" s="38"/>
      <x:c r="Y319" s="38"/>
      <x:c r="Z319" s="38"/>
    </x:row>
    <x:row r="320" ht="18" customHeight="1">
      <x:c r="A320" s="38"/>
      <x:c r="B320" s="38"/>
      <x:c r="C320" s="38"/>
      <x:c r="D320" s="38"/>
      <x:c r="E320" s="38"/>
      <x:c r="F320" s="38"/>
      <x:c r="G320" s="38"/>
      <x:c r="H320" s="38"/>
      <x:c r="I320" s="38"/>
      <x:c r="J320" s="38"/>
      <x:c r="K320" s="38"/>
      <x:c r="L320" s="38"/>
      <x:c r="M320" s="38"/>
      <x:c r="N320" s="38"/>
      <x:c r="O320" s="38"/>
      <x:c r="P320" s="38"/>
      <x:c r="Q320" s="38"/>
      <x:c r="R320" s="38"/>
      <x:c r="S320" s="38"/>
      <x:c r="T320" s="38"/>
      <x:c r="U320" s="38"/>
      <x:c r="V320" s="38"/>
      <x:c r="W320" s="38"/>
      <x:c r="X320" s="38"/>
      <x:c r="Y320" s="38"/>
      <x:c r="Z320" s="38"/>
    </x:row>
    <x:row r="321" ht="18" customHeight="1">
      <x:c r="A321" s="38"/>
      <x:c r="B321" s="38"/>
      <x:c r="C321" s="38"/>
      <x:c r="D321" s="38"/>
      <x:c r="E321" s="38"/>
      <x:c r="F321" s="38"/>
      <x:c r="G321" s="38"/>
      <x:c r="H321" s="38"/>
      <x:c r="I321" s="38"/>
      <x:c r="J321" s="38"/>
      <x:c r="K321" s="38"/>
      <x:c r="L321" s="38"/>
      <x:c r="M321" s="38"/>
      <x:c r="N321" s="38"/>
      <x:c r="O321" s="38"/>
      <x:c r="P321" s="38"/>
      <x:c r="Q321" s="38"/>
      <x:c r="R321" s="38"/>
      <x:c r="S321" s="38"/>
      <x:c r="T321" s="38"/>
      <x:c r="U321" s="38"/>
      <x:c r="V321" s="38"/>
      <x:c r="W321" s="38"/>
      <x:c r="X321" s="38"/>
      <x:c r="Y321" s="38"/>
      <x:c r="Z321" s="38"/>
    </x:row>
    <x:row r="322" ht="18" customHeight="1">
      <x:c r="A322" s="38"/>
      <x:c r="B322" s="38"/>
      <x:c r="C322" s="38"/>
      <x:c r="D322" s="38"/>
      <x:c r="E322" s="38"/>
      <x:c r="F322" s="38"/>
      <x:c r="G322" s="38"/>
      <x:c r="H322" s="38"/>
      <x:c r="I322" s="38"/>
      <x:c r="J322" s="38"/>
      <x:c r="K322" s="38"/>
      <x:c r="L322" s="38"/>
      <x:c r="M322" s="38"/>
      <x:c r="N322" s="38"/>
      <x:c r="O322" s="38"/>
      <x:c r="P322" s="38"/>
      <x:c r="Q322" s="38"/>
      <x:c r="R322" s="38"/>
      <x:c r="S322" s="38"/>
      <x:c r="T322" s="38"/>
      <x:c r="U322" s="38"/>
      <x:c r="V322" s="38"/>
      <x:c r="W322" s="38"/>
      <x:c r="X322" s="38"/>
      <x:c r="Y322" s="38"/>
      <x:c r="Z322" s="38"/>
    </x:row>
    <x:row r="323" ht="18" customHeight="1">
      <x:c r="A323" s="38"/>
      <x:c r="B323" s="38"/>
      <x:c r="C323" s="38"/>
      <x:c r="D323" s="38"/>
      <x:c r="E323" s="38"/>
      <x:c r="F323" s="38"/>
      <x:c r="G323" s="38"/>
      <x:c r="H323" s="38"/>
      <x:c r="I323" s="38"/>
      <x:c r="J323" s="38"/>
      <x:c r="K323" s="38"/>
      <x:c r="L323" s="38"/>
      <x:c r="M323" s="38"/>
      <x:c r="N323" s="38"/>
      <x:c r="O323" s="38"/>
      <x:c r="P323" s="38"/>
      <x:c r="Q323" s="38"/>
      <x:c r="R323" s="38"/>
      <x:c r="S323" s="38"/>
      <x:c r="T323" s="38"/>
      <x:c r="U323" s="38"/>
      <x:c r="V323" s="38"/>
      <x:c r="W323" s="38"/>
      <x:c r="X323" s="38"/>
      <x:c r="Y323" s="38"/>
      <x:c r="Z323" s="38"/>
    </x:row>
    <x:row r="324" ht="18" customHeight="1">
      <x:c r="A324" s="38"/>
      <x:c r="B324" s="38"/>
      <x:c r="C324" s="38"/>
      <x:c r="D324" s="38"/>
      <x:c r="E324" s="38"/>
      <x:c r="F324" s="38"/>
      <x:c r="G324" s="38"/>
      <x:c r="H324" s="38"/>
      <x:c r="I324" s="38"/>
      <x:c r="J324" s="38"/>
      <x:c r="K324" s="38"/>
      <x:c r="L324" s="38"/>
      <x:c r="M324" s="38"/>
      <x:c r="N324" s="38"/>
      <x:c r="O324" s="38"/>
      <x:c r="P324" s="38"/>
      <x:c r="Q324" s="38"/>
      <x:c r="R324" s="38"/>
      <x:c r="S324" s="38"/>
      <x:c r="T324" s="38"/>
      <x:c r="U324" s="38"/>
      <x:c r="V324" s="38"/>
      <x:c r="W324" s="38"/>
      <x:c r="X324" s="38"/>
      <x:c r="Y324" s="38"/>
      <x:c r="Z324" s="38"/>
    </x:row>
    <x:row r="325" ht="18" customHeight="1">
      <x:c r="A325" s="38"/>
      <x:c r="B325" s="38"/>
      <x:c r="C325" s="38"/>
      <x:c r="D325" s="38"/>
      <x:c r="E325" s="38"/>
      <x:c r="F325" s="38"/>
      <x:c r="G325" s="38"/>
      <x:c r="H325" s="38"/>
      <x:c r="I325" s="38"/>
      <x:c r="J325" s="38"/>
      <x:c r="K325" s="38"/>
      <x:c r="L325" s="38"/>
      <x:c r="M325" s="38"/>
      <x:c r="N325" s="38"/>
      <x:c r="O325" s="38"/>
      <x:c r="P325" s="38"/>
      <x:c r="Q325" s="38"/>
      <x:c r="R325" s="38"/>
      <x:c r="S325" s="38"/>
      <x:c r="T325" s="38"/>
      <x:c r="U325" s="38"/>
      <x:c r="V325" s="38"/>
      <x:c r="W325" s="38"/>
      <x:c r="X325" s="38"/>
      <x:c r="Y325" s="38"/>
      <x:c r="Z325" s="38"/>
    </x:row>
    <x:row r="326" ht="18" customHeight="1">
      <x:c r="A326" s="38"/>
      <x:c r="B326" s="38"/>
      <x:c r="C326" s="38"/>
      <x:c r="D326" s="38"/>
      <x:c r="E326" s="38"/>
      <x:c r="F326" s="38"/>
      <x:c r="G326" s="38"/>
      <x:c r="H326" s="38"/>
      <x:c r="I326" s="38"/>
      <x:c r="J326" s="38"/>
      <x:c r="K326" s="38"/>
      <x:c r="L326" s="38"/>
      <x:c r="M326" s="38"/>
      <x:c r="N326" s="38"/>
      <x:c r="O326" s="38"/>
      <x:c r="P326" s="38"/>
      <x:c r="Q326" s="38"/>
      <x:c r="R326" s="38"/>
      <x:c r="S326" s="38"/>
      <x:c r="T326" s="38"/>
      <x:c r="U326" s="38"/>
      <x:c r="V326" s="38"/>
      <x:c r="W326" s="38"/>
      <x:c r="X326" s="38"/>
      <x:c r="Y326" s="38"/>
      <x:c r="Z326" s="38"/>
    </x:row>
    <x:row r="327" ht="18" customHeight="1">
      <x:c r="A327" s="38"/>
      <x:c r="B327" s="38"/>
      <x:c r="C327" s="38"/>
      <x:c r="D327" s="38"/>
      <x:c r="E327" s="38"/>
      <x:c r="F327" s="38"/>
      <x:c r="G327" s="38"/>
      <x:c r="H327" s="38"/>
      <x:c r="I327" s="38"/>
      <x:c r="J327" s="38"/>
      <x:c r="K327" s="38"/>
      <x:c r="L327" s="38"/>
      <x:c r="M327" s="38"/>
      <x:c r="N327" s="38"/>
      <x:c r="O327" s="38"/>
      <x:c r="P327" s="38"/>
      <x:c r="Q327" s="38"/>
      <x:c r="R327" s="38"/>
      <x:c r="S327" s="38"/>
      <x:c r="T327" s="38"/>
      <x:c r="U327" s="38"/>
      <x:c r="V327" s="38"/>
      <x:c r="W327" s="38"/>
      <x:c r="X327" s="38"/>
      <x:c r="Y327" s="38"/>
      <x:c r="Z327" s="38"/>
    </x:row>
    <x:row r="328" ht="18" customHeight="1">
      <x:c r="A328" s="38"/>
      <x:c r="B328" s="38"/>
      <x:c r="C328" s="38"/>
      <x:c r="D328" s="38"/>
      <x:c r="E328" s="38"/>
      <x:c r="F328" s="38"/>
      <x:c r="G328" s="38"/>
      <x:c r="H328" s="38"/>
      <x:c r="I328" s="38"/>
      <x:c r="J328" s="38"/>
      <x:c r="K328" s="38"/>
      <x:c r="L328" s="38"/>
      <x:c r="M328" s="38"/>
      <x:c r="N328" s="38"/>
      <x:c r="O328" s="38"/>
      <x:c r="P328" s="38"/>
      <x:c r="Q328" s="38"/>
      <x:c r="R328" s="38"/>
      <x:c r="S328" s="38"/>
      <x:c r="T328" s="38"/>
      <x:c r="U328" s="38"/>
      <x:c r="V328" s="38"/>
      <x:c r="W328" s="38"/>
      <x:c r="X328" s="38"/>
      <x:c r="Y328" s="38"/>
      <x:c r="Z328" s="38"/>
    </x:row>
    <x:row r="329" ht="18" customHeight="1">
      <x:c r="A329" s="38"/>
      <x:c r="B329" s="38"/>
      <x:c r="C329" s="38"/>
      <x:c r="D329" s="38"/>
      <x:c r="E329" s="38"/>
      <x:c r="F329" s="38"/>
      <x:c r="G329" s="38"/>
      <x:c r="H329" s="38"/>
      <x:c r="I329" s="38"/>
      <x:c r="J329" s="38"/>
      <x:c r="K329" s="38"/>
      <x:c r="L329" s="38"/>
      <x:c r="M329" s="38"/>
      <x:c r="N329" s="38"/>
      <x:c r="O329" s="38"/>
      <x:c r="P329" s="38"/>
      <x:c r="Q329" s="38"/>
      <x:c r="R329" s="38"/>
      <x:c r="S329" s="38"/>
      <x:c r="T329" s="38"/>
      <x:c r="U329" s="38"/>
      <x:c r="V329" s="38"/>
      <x:c r="W329" s="38"/>
      <x:c r="X329" s="38"/>
      <x:c r="Y329" s="38"/>
      <x:c r="Z329" s="38"/>
    </x:row>
    <x:row r="330" ht="18" customHeight="1">
      <x:c r="A330" s="38"/>
      <x:c r="B330" s="38"/>
      <x:c r="C330" s="38"/>
      <x:c r="D330" s="38"/>
      <x:c r="E330" s="38"/>
      <x:c r="F330" s="38"/>
      <x:c r="G330" s="38"/>
      <x:c r="H330" s="38"/>
      <x:c r="I330" s="38"/>
      <x:c r="J330" s="38"/>
      <x:c r="K330" s="38"/>
      <x:c r="L330" s="38"/>
      <x:c r="M330" s="38"/>
      <x:c r="N330" s="38"/>
      <x:c r="O330" s="38"/>
      <x:c r="P330" s="38"/>
      <x:c r="Q330" s="38"/>
      <x:c r="R330" s="38"/>
      <x:c r="S330" s="38"/>
      <x:c r="T330" s="38"/>
      <x:c r="U330" s="38"/>
      <x:c r="V330" s="38"/>
      <x:c r="W330" s="38"/>
      <x:c r="X330" s="38"/>
      <x:c r="Y330" s="38"/>
      <x:c r="Z330" s="38"/>
    </x:row>
    <x:row r="331" ht="18" customHeight="1">
      <x:c r="A331" s="38"/>
      <x:c r="B331" s="38"/>
      <x:c r="C331" s="38"/>
      <x:c r="D331" s="38"/>
      <x:c r="E331" s="38"/>
      <x:c r="F331" s="38"/>
      <x:c r="G331" s="38"/>
      <x:c r="H331" s="38"/>
      <x:c r="I331" s="38"/>
      <x:c r="J331" s="38"/>
      <x:c r="K331" s="38"/>
      <x:c r="L331" s="38"/>
      <x:c r="M331" s="38"/>
      <x:c r="N331" s="38"/>
      <x:c r="O331" s="38"/>
      <x:c r="P331" s="38"/>
      <x:c r="Q331" s="38"/>
      <x:c r="R331" s="38"/>
      <x:c r="S331" s="38"/>
      <x:c r="T331" s="38"/>
      <x:c r="U331" s="38"/>
      <x:c r="V331" s="38"/>
      <x:c r="W331" s="38"/>
      <x:c r="X331" s="38"/>
      <x:c r="Y331" s="38"/>
      <x:c r="Z331" s="38"/>
    </x:row>
    <x:row r="332" ht="18" customHeight="1">
      <x:c r="A332" s="38"/>
      <x:c r="B332" s="38"/>
      <x:c r="C332" s="38"/>
      <x:c r="D332" s="38"/>
      <x:c r="E332" s="38"/>
      <x:c r="F332" s="38"/>
      <x:c r="G332" s="38"/>
      <x:c r="H332" s="38"/>
      <x:c r="I332" s="38"/>
      <x:c r="J332" s="38"/>
      <x:c r="K332" s="38"/>
      <x:c r="L332" s="38"/>
      <x:c r="M332" s="38"/>
      <x:c r="N332" s="38"/>
      <x:c r="O332" s="38"/>
      <x:c r="P332" s="38"/>
      <x:c r="Q332" s="38"/>
      <x:c r="R332" s="38"/>
      <x:c r="S332" s="38"/>
      <x:c r="T332" s="38"/>
      <x:c r="U332" s="38"/>
      <x:c r="V332" s="38"/>
      <x:c r="W332" s="38"/>
      <x:c r="X332" s="38"/>
      <x:c r="Y332" s="38"/>
      <x:c r="Z332" s="38"/>
    </x:row>
    <x:row r="333" ht="18" customHeight="1">
      <x:c r="A333" s="38"/>
      <x:c r="B333" s="38"/>
      <x:c r="C333" s="38"/>
      <x:c r="D333" s="38"/>
      <x:c r="E333" s="38"/>
      <x:c r="F333" s="38"/>
      <x:c r="G333" s="38"/>
      <x:c r="H333" s="38"/>
      <x:c r="I333" s="38"/>
      <x:c r="J333" s="38"/>
      <x:c r="K333" s="38"/>
      <x:c r="L333" s="38"/>
      <x:c r="M333" s="38"/>
      <x:c r="N333" s="38"/>
      <x:c r="O333" s="38"/>
      <x:c r="P333" s="38"/>
      <x:c r="Q333" s="38"/>
      <x:c r="R333" s="38"/>
      <x:c r="S333" s="38"/>
      <x:c r="T333" s="38"/>
      <x:c r="U333" s="38"/>
      <x:c r="V333" s="38"/>
      <x:c r="W333" s="38"/>
      <x:c r="X333" s="38"/>
      <x:c r="Y333" s="38"/>
      <x:c r="Z333" s="38"/>
    </x:row>
    <x:row r="334" ht="18" customHeight="1">
      <x:c r="A334" s="38"/>
      <x:c r="B334" s="38"/>
      <x:c r="C334" s="38"/>
      <x:c r="D334" s="38"/>
      <x:c r="E334" s="38"/>
      <x:c r="F334" s="38"/>
      <x:c r="G334" s="38"/>
      <x:c r="H334" s="38"/>
      <x:c r="I334" s="38"/>
      <x:c r="J334" s="38"/>
      <x:c r="K334" s="38"/>
      <x:c r="L334" s="38"/>
      <x:c r="M334" s="38"/>
      <x:c r="N334" s="38"/>
      <x:c r="O334" s="38"/>
      <x:c r="P334" s="38"/>
      <x:c r="Q334" s="38"/>
      <x:c r="R334" s="38"/>
      <x:c r="S334" s="38"/>
      <x:c r="T334" s="38"/>
      <x:c r="U334" s="38"/>
      <x:c r="V334" s="38"/>
      <x:c r="W334" s="38"/>
      <x:c r="X334" s="38"/>
      <x:c r="Y334" s="38"/>
      <x:c r="Z334" s="38"/>
    </x:row>
    <x:row r="335" ht="18" customHeight="1">
      <x:c r="A335" s="38"/>
      <x:c r="B335" s="38"/>
      <x:c r="C335" s="38"/>
      <x:c r="D335" s="38"/>
      <x:c r="E335" s="38"/>
      <x:c r="F335" s="38"/>
      <x:c r="G335" s="38"/>
      <x:c r="H335" s="38"/>
      <x:c r="I335" s="38"/>
      <x:c r="J335" s="38"/>
      <x:c r="K335" s="38"/>
      <x:c r="L335" s="38"/>
      <x:c r="M335" s="38"/>
      <x:c r="N335" s="38"/>
      <x:c r="O335" s="38"/>
      <x:c r="P335" s="38"/>
      <x:c r="Q335" s="38"/>
      <x:c r="R335" s="38"/>
      <x:c r="S335" s="38"/>
      <x:c r="T335" s="38"/>
      <x:c r="U335" s="38"/>
      <x:c r="V335" s="38"/>
      <x:c r="W335" s="38"/>
      <x:c r="X335" s="38"/>
      <x:c r="Y335" s="38"/>
      <x:c r="Z335" s="38"/>
    </x:row>
    <x:row r="336" ht="18" customHeight="1">
      <x:c r="A336" s="38"/>
      <x:c r="B336" s="38"/>
      <x:c r="C336" s="38"/>
      <x:c r="D336" s="38"/>
      <x:c r="E336" s="38"/>
      <x:c r="F336" s="38"/>
      <x:c r="G336" s="38"/>
      <x:c r="H336" s="38"/>
      <x:c r="I336" s="38"/>
      <x:c r="J336" s="38"/>
      <x:c r="K336" s="38"/>
      <x:c r="L336" s="38"/>
      <x:c r="M336" s="38"/>
      <x:c r="N336" s="38"/>
      <x:c r="O336" s="38"/>
      <x:c r="P336" s="38"/>
      <x:c r="Q336" s="38"/>
      <x:c r="R336" s="38"/>
      <x:c r="S336" s="38"/>
      <x:c r="T336" s="38"/>
      <x:c r="U336" s="38"/>
      <x:c r="V336" s="38"/>
      <x:c r="W336" s="38"/>
      <x:c r="X336" s="38"/>
      <x:c r="Y336" s="38"/>
      <x:c r="Z336" s="38"/>
    </x:row>
    <x:row r="337" ht="18" customHeight="1">
      <x:c r="A337" s="38"/>
      <x:c r="B337" s="38"/>
      <x:c r="C337" s="38"/>
      <x:c r="D337" s="38"/>
      <x:c r="E337" s="38"/>
      <x:c r="F337" s="38"/>
      <x:c r="G337" s="38"/>
      <x:c r="H337" s="38"/>
      <x:c r="I337" s="38"/>
      <x:c r="J337" s="38"/>
      <x:c r="K337" s="38"/>
      <x:c r="L337" s="38"/>
      <x:c r="M337" s="38"/>
      <x:c r="N337" s="38"/>
      <x:c r="O337" s="38"/>
      <x:c r="P337" s="38"/>
      <x:c r="Q337" s="38"/>
      <x:c r="R337" s="38"/>
      <x:c r="S337" s="38"/>
      <x:c r="T337" s="38"/>
      <x:c r="U337" s="38"/>
      <x:c r="V337" s="38"/>
      <x:c r="W337" s="38"/>
      <x:c r="X337" s="38"/>
      <x:c r="Y337" s="38"/>
      <x:c r="Z337" s="38"/>
    </x:row>
    <x:row r="338" ht="18" customHeight="1">
      <x:c r="A338" s="38"/>
      <x:c r="B338" s="38"/>
      <x:c r="C338" s="38"/>
      <x:c r="D338" s="38"/>
      <x:c r="E338" s="38"/>
      <x:c r="F338" s="38"/>
      <x:c r="G338" s="38"/>
      <x:c r="H338" s="38"/>
      <x:c r="I338" s="38"/>
      <x:c r="J338" s="38"/>
      <x:c r="K338" s="38"/>
      <x:c r="L338" s="38"/>
      <x:c r="M338" s="38"/>
      <x:c r="N338" s="38"/>
      <x:c r="O338" s="38"/>
      <x:c r="P338" s="38"/>
      <x:c r="Q338" s="38"/>
      <x:c r="R338" s="38"/>
      <x:c r="S338" s="38"/>
      <x:c r="T338" s="38"/>
      <x:c r="U338" s="38"/>
      <x:c r="V338" s="38"/>
      <x:c r="W338" s="38"/>
      <x:c r="X338" s="38"/>
      <x:c r="Y338" s="38"/>
      <x:c r="Z338" s="38"/>
    </x:row>
    <x:row r="339" ht="18" customHeight="1">
      <x:c r="A339" s="38"/>
      <x:c r="B339" s="38"/>
      <x:c r="C339" s="38"/>
      <x:c r="D339" s="38"/>
      <x:c r="E339" s="38"/>
      <x:c r="F339" s="38"/>
      <x:c r="G339" s="38"/>
      <x:c r="H339" s="38"/>
      <x:c r="I339" s="38"/>
      <x:c r="J339" s="38"/>
      <x:c r="K339" s="38"/>
      <x:c r="L339" s="38"/>
      <x:c r="M339" s="38"/>
      <x:c r="N339" s="38"/>
      <x:c r="O339" s="38"/>
      <x:c r="P339" s="38"/>
      <x:c r="Q339" s="38"/>
      <x:c r="R339" s="38"/>
      <x:c r="S339" s="38"/>
      <x:c r="T339" s="38"/>
      <x:c r="U339" s="38"/>
      <x:c r="V339" s="38"/>
      <x:c r="W339" s="38"/>
      <x:c r="X339" s="38"/>
      <x:c r="Y339" s="38"/>
      <x:c r="Z339" s="38"/>
    </x:row>
    <x:row r="340" ht="18" customHeight="1">
      <x:c r="A340" s="38"/>
      <x:c r="B340" s="38"/>
      <x:c r="C340" s="38"/>
      <x:c r="D340" s="38"/>
      <x:c r="E340" s="38"/>
      <x:c r="F340" s="38"/>
      <x:c r="G340" s="38"/>
      <x:c r="H340" s="38"/>
      <x:c r="I340" s="38"/>
      <x:c r="J340" s="38"/>
      <x:c r="K340" s="38"/>
      <x:c r="L340" s="38"/>
      <x:c r="M340" s="38"/>
      <x:c r="N340" s="38"/>
      <x:c r="O340" s="38"/>
      <x:c r="P340" s="38"/>
      <x:c r="Q340" s="38"/>
      <x:c r="R340" s="38"/>
      <x:c r="S340" s="38"/>
      <x:c r="T340" s="38"/>
      <x:c r="U340" s="38"/>
      <x:c r="V340" s="38"/>
      <x:c r="W340" s="38"/>
      <x:c r="X340" s="38"/>
      <x:c r="Y340" s="38"/>
      <x:c r="Z340" s="38"/>
    </x:row>
    <x:row r="341" ht="18" customHeight="1">
      <x:c r="A341" s="38"/>
      <x:c r="B341" s="38"/>
      <x:c r="C341" s="38"/>
      <x:c r="D341" s="38"/>
      <x:c r="E341" s="38"/>
      <x:c r="F341" s="38"/>
      <x:c r="G341" s="38"/>
      <x:c r="H341" s="38"/>
      <x:c r="I341" s="38"/>
      <x:c r="J341" s="38"/>
      <x:c r="K341" s="38"/>
      <x:c r="L341" s="38"/>
      <x:c r="M341" s="38"/>
      <x:c r="N341" s="38"/>
      <x:c r="O341" s="38"/>
      <x:c r="P341" s="38"/>
      <x:c r="Q341" s="38"/>
      <x:c r="R341" s="38"/>
      <x:c r="S341" s="38"/>
      <x:c r="T341" s="38"/>
      <x:c r="U341" s="38"/>
      <x:c r="V341" s="38"/>
      <x:c r="W341" s="38"/>
      <x:c r="X341" s="38"/>
      <x:c r="Y341" s="38"/>
      <x:c r="Z341" s="38"/>
    </x:row>
    <x:row r="342" ht="18" customHeight="1">
      <x:c r="A342" s="38"/>
      <x:c r="B342" s="38"/>
      <x:c r="C342" s="38"/>
      <x:c r="D342" s="38"/>
      <x:c r="E342" s="38"/>
      <x:c r="F342" s="38"/>
      <x:c r="G342" s="38"/>
      <x:c r="H342" s="38"/>
      <x:c r="I342" s="38"/>
      <x:c r="J342" s="38"/>
      <x:c r="K342" s="38"/>
      <x:c r="L342" s="38"/>
      <x:c r="M342" s="38"/>
      <x:c r="N342" s="38"/>
      <x:c r="O342" s="38"/>
      <x:c r="P342" s="38"/>
      <x:c r="Q342" s="38"/>
      <x:c r="R342" s="38"/>
      <x:c r="S342" s="38"/>
      <x:c r="T342" s="38"/>
      <x:c r="U342" s="38"/>
      <x:c r="V342" s="38"/>
      <x:c r="W342" s="38"/>
      <x:c r="X342" s="38"/>
      <x:c r="Y342" s="38"/>
      <x:c r="Z342" s="38"/>
    </x:row>
    <x:row r="343" ht="18" customHeight="1">
      <x:c r="A343" s="38"/>
      <x:c r="B343" s="38"/>
      <x:c r="C343" s="38"/>
      <x:c r="D343" s="38"/>
      <x:c r="E343" s="38"/>
      <x:c r="F343" s="38"/>
      <x:c r="G343" s="38"/>
      <x:c r="H343" s="38"/>
      <x:c r="I343" s="38"/>
      <x:c r="J343" s="38"/>
      <x:c r="K343" s="38"/>
      <x:c r="L343" s="38"/>
      <x:c r="M343" s="38"/>
      <x:c r="N343" s="38"/>
      <x:c r="O343" s="38"/>
      <x:c r="P343" s="38"/>
      <x:c r="Q343" s="38"/>
      <x:c r="R343" s="38"/>
      <x:c r="S343" s="38"/>
      <x:c r="T343" s="38"/>
      <x:c r="U343" s="38"/>
      <x:c r="V343" s="38"/>
      <x:c r="W343" s="38"/>
      <x:c r="X343" s="38"/>
      <x:c r="Y343" s="38"/>
      <x:c r="Z343" s="38"/>
    </x:row>
    <x:row r="344" ht="18" customHeight="1">
      <x:c r="A344" s="38"/>
      <x:c r="B344" s="38"/>
      <x:c r="C344" s="38"/>
      <x:c r="D344" s="38"/>
      <x:c r="E344" s="38"/>
      <x:c r="F344" s="38"/>
      <x:c r="G344" s="38"/>
      <x:c r="H344" s="38"/>
      <x:c r="I344" s="38"/>
      <x:c r="J344" s="38"/>
      <x:c r="K344" s="38"/>
      <x:c r="L344" s="38"/>
      <x:c r="M344" s="38"/>
      <x:c r="N344" s="38"/>
      <x:c r="O344" s="38"/>
      <x:c r="P344" s="38"/>
      <x:c r="Q344" s="38"/>
      <x:c r="R344" s="38"/>
      <x:c r="S344" s="38"/>
      <x:c r="T344" s="38"/>
      <x:c r="U344" s="38"/>
      <x:c r="V344" s="38"/>
      <x:c r="W344" s="38"/>
      <x:c r="X344" s="38"/>
      <x:c r="Y344" s="38"/>
      <x:c r="Z344" s="38"/>
    </x:row>
    <x:row r="345" ht="18" customHeight="1">
      <x:c r="A345" s="38"/>
      <x:c r="B345" s="38"/>
      <x:c r="C345" s="38"/>
      <x:c r="D345" s="38"/>
      <x:c r="E345" s="38"/>
      <x:c r="F345" s="38"/>
      <x:c r="G345" s="38"/>
      <x:c r="H345" s="38"/>
      <x:c r="I345" s="38"/>
      <x:c r="J345" s="38"/>
      <x:c r="K345" s="38"/>
      <x:c r="L345" s="38"/>
      <x:c r="M345" s="38"/>
      <x:c r="N345" s="38"/>
      <x:c r="O345" s="38"/>
      <x:c r="P345" s="38"/>
      <x:c r="Q345" s="38"/>
      <x:c r="R345" s="38"/>
      <x:c r="S345" s="38"/>
      <x:c r="T345" s="38"/>
      <x:c r="U345" s="38"/>
      <x:c r="V345" s="38"/>
      <x:c r="W345" s="38"/>
      <x:c r="X345" s="38"/>
      <x:c r="Y345" s="38"/>
      <x:c r="Z345" s="38"/>
    </x:row>
    <x:row r="346" ht="18" customHeight="1">
      <x:c r="A346" s="38"/>
      <x:c r="B346" s="38"/>
      <x:c r="C346" s="38"/>
      <x:c r="D346" s="38"/>
      <x:c r="E346" s="38"/>
      <x:c r="F346" s="38"/>
      <x:c r="G346" s="38"/>
      <x:c r="H346" s="38"/>
      <x:c r="I346" s="38"/>
      <x:c r="J346" s="38"/>
      <x:c r="K346" s="38"/>
      <x:c r="L346" s="38"/>
      <x:c r="M346" s="38"/>
      <x:c r="N346" s="38"/>
      <x:c r="O346" s="38"/>
      <x:c r="P346" s="38"/>
      <x:c r="Q346" s="38"/>
      <x:c r="R346" s="38"/>
      <x:c r="S346" s="38"/>
      <x:c r="T346" s="38"/>
      <x:c r="U346" s="38"/>
      <x:c r="V346" s="38"/>
      <x:c r="W346" s="38"/>
      <x:c r="X346" s="38"/>
      <x:c r="Y346" s="38"/>
      <x:c r="Z346" s="38"/>
    </x:row>
    <x:row r="347" ht="18" customHeight="1">
      <x:c r="A347" s="38"/>
      <x:c r="B347" s="38"/>
      <x:c r="C347" s="38"/>
      <x:c r="D347" s="38"/>
      <x:c r="E347" s="38"/>
      <x:c r="F347" s="38"/>
      <x:c r="G347" s="38"/>
      <x:c r="H347" s="38"/>
      <x:c r="I347" s="38"/>
      <x:c r="J347" s="38"/>
      <x:c r="K347" s="38"/>
      <x:c r="L347" s="38"/>
      <x:c r="M347" s="38"/>
      <x:c r="N347" s="38"/>
      <x:c r="O347" s="38"/>
      <x:c r="P347" s="38"/>
      <x:c r="Q347" s="38"/>
      <x:c r="R347" s="38"/>
      <x:c r="S347" s="38"/>
      <x:c r="T347" s="38"/>
      <x:c r="U347" s="38"/>
      <x:c r="V347" s="38"/>
      <x:c r="W347" s="38"/>
      <x:c r="X347" s="38"/>
      <x:c r="Y347" s="38"/>
      <x:c r="Z347" s="38"/>
    </x:row>
    <x:row r="348" ht="18" customHeight="1">
      <x:c r="A348" s="38"/>
      <x:c r="B348" s="38"/>
      <x:c r="C348" s="38"/>
      <x:c r="D348" s="38"/>
      <x:c r="E348" s="38"/>
      <x:c r="F348" s="38"/>
      <x:c r="G348" s="38"/>
      <x:c r="H348" s="38"/>
      <x:c r="I348" s="38"/>
      <x:c r="J348" s="38"/>
      <x:c r="K348" s="38"/>
      <x:c r="L348" s="38"/>
      <x:c r="M348" s="38"/>
      <x:c r="N348" s="38"/>
      <x:c r="O348" s="38"/>
      <x:c r="P348" s="38"/>
      <x:c r="Q348" s="38"/>
      <x:c r="R348" s="38"/>
      <x:c r="S348" s="38"/>
      <x:c r="T348" s="38"/>
      <x:c r="U348" s="38"/>
      <x:c r="V348" s="38"/>
      <x:c r="W348" s="38"/>
      <x:c r="X348" s="38"/>
      <x:c r="Y348" s="38"/>
      <x:c r="Z348" s="38"/>
    </x:row>
    <x:row r="349" ht="18" customHeight="1">
      <x:c r="A349" s="38"/>
      <x:c r="B349" s="38"/>
      <x:c r="C349" s="38"/>
      <x:c r="D349" s="38"/>
      <x:c r="E349" s="38"/>
      <x:c r="F349" s="38"/>
      <x:c r="G349" s="38"/>
      <x:c r="H349" s="38"/>
      <x:c r="I349" s="38"/>
      <x:c r="J349" s="38"/>
      <x:c r="K349" s="38"/>
      <x:c r="L349" s="38"/>
      <x:c r="M349" s="38"/>
      <x:c r="N349" s="38"/>
      <x:c r="O349" s="38"/>
      <x:c r="P349" s="38"/>
      <x:c r="Q349" s="38"/>
      <x:c r="R349" s="38"/>
      <x:c r="S349" s="38"/>
      <x:c r="T349" s="38"/>
      <x:c r="U349" s="38"/>
      <x:c r="V349" s="38"/>
      <x:c r="W349" s="38"/>
      <x:c r="X349" s="38"/>
      <x:c r="Y349" s="38"/>
      <x:c r="Z349" s="38"/>
    </x:row>
    <x:row r="350" ht="18" customHeight="1">
      <x:c r="A350" s="38"/>
      <x:c r="B350" s="38"/>
      <x:c r="C350" s="38"/>
      <x:c r="D350" s="38"/>
      <x:c r="E350" s="38"/>
      <x:c r="F350" s="38"/>
      <x:c r="G350" s="38"/>
      <x:c r="H350" s="38"/>
      <x:c r="I350" s="38"/>
      <x:c r="J350" s="38"/>
      <x:c r="K350" s="38"/>
      <x:c r="L350" s="38"/>
      <x:c r="M350" s="38"/>
      <x:c r="N350" s="38"/>
      <x:c r="O350" s="38"/>
      <x:c r="P350" s="38"/>
      <x:c r="Q350" s="38"/>
      <x:c r="R350" s="38"/>
      <x:c r="S350" s="38"/>
      <x:c r="T350" s="38"/>
      <x:c r="U350" s="38"/>
      <x:c r="V350" s="38"/>
      <x:c r="W350" s="38"/>
      <x:c r="X350" s="38"/>
      <x:c r="Y350" s="38"/>
      <x:c r="Z350" s="38"/>
    </x:row>
  </x:sheetData>
  <x:mergeCells>
    <x:mergeCell ref="A1:R1"/>
    <x:mergeCell ref="A2:R2"/>
  </x:mergeCells>
  <x:dataValidations count="6">
    <x:dataValidation type="list" sqref="C5:C1000">
      <x:formula1>"PC-VCENTER,PC-ESXI,PC-VSAN,PC-NSX,PC-SDDC-MGR,PC-ARIA-OPS,PC-ARIA-LOGS,PC-ARIA-AUTO,PC-HCX,PC-TANZU,PC-IAM,PC-DATA-PROTECTION"</x:formula1>
    </x:dataValidation>
    <x:dataValidation type="list" sqref="I5:I1000">
      <x:formula1>"Compute,Storage,Network,Security,Operations,Automation,Lifecycle,Management,Migration,Kubernetes,Sovereignty,Resilience"</x:formula1>
    </x:dataValidation>
    <x:dataValidation type="list" sqref="K5:K1000">
      <x:formula1>"Low,Medium,High,Critical"</x:formula1>
    </x:dataValidation>
    <x:dataValidation type="list" sqref="L5:L1000">
      <x:formula1>"None,Low,Medium,High"</x:formula1>
    </x:dataValidation>
    <x:dataValidation type="list" sqref="O5:O1000">
      <x:formula1>"Yes,No"</x:formula1>
    </x:dataValidation>
    <x:dataValidation type="list" sqref="Q5:Q1000">
      <x:formula1>"Draft,Review,Approved,Deprecated"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77734c2471468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2" hidden="0" customWidth="1"/>
    <x:col min="4" max="4" width="60" hidden="0" customWidth="1"/>
  </x:cols>
  <x:sheetData>
    <x:row r="1" ht="28" customHeight="1">
      <x:c r="A1" s="5" t="str">
        <x:v>04 — Controlled Enumerations</x:v>
      </x:c>
    </x:row>
    <x:row r="2" ht="32" customHeight="1">
      <x:c r="A2" s="14" t="str">
        <x:v>Shared vocabulary authority for CN, VCF KB, Comparator KB, and assessment profile workbooks.</x:v>
      </x:c>
    </x:row>
    <x:row r="4" ht="36" customHeight="1">
      <x:c r="A4" s="24" t="str">
        <x:v>Enum_Group</x:v>
      </x:c>
      <x:c r="B4" s="24" t="str">
        <x:v>Value</x:v>
      </x:c>
      <x:c r="C4" s="24" t="str">
        <x:v>Sort_Order</x:v>
      </x:c>
      <x:c r="D4" s="24" t="str">
        <x:v>Description</x:v>
      </x:c>
      <x:c r="E4" s="38"/>
      <x:c r="F4" s="38"/>
      <x:c r="G4" s="38"/>
      <x:c r="H4" s="38"/>
      <x:c r="I4" s="38"/>
      <x:c r="J4" s="38"/>
      <x:c r="K4" s="38"/>
      <x:c r="L4" s="38"/>
      <x:c r="M4" s="38"/>
      <x:c r="N4" s="38"/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</x:row>
    <x:row r="5">
      <x:c r="A5" s="32" t="str">
        <x:v>Status</x:v>
      </x:c>
      <x:c r="B5" s="32" t="str">
        <x:v>Draft</x:v>
      </x:c>
      <x:c r="C5" s="32" t="n">
        <x:v>10</x:v>
      </x:c>
      <x:c r="D5" s="32" t="str">
        <x:v>Working item, not approved.</x:v>
      </x:c>
      <x:c r="E5" s="38"/>
      <x:c r="F5" s="38"/>
      <x:c r="G5" s="38"/>
      <x:c r="H5" s="38"/>
      <x:c r="I5" s="38"/>
      <x:c r="J5" s="38"/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</x:row>
    <x:row r="6">
      <x:c r="A6" s="32" t="str">
        <x:v>Status</x:v>
      </x:c>
      <x:c r="B6" s="32" t="str">
        <x:v>Review</x:v>
      </x:c>
      <x:c r="C6" s="32" t="n">
        <x:v>20</x:v>
      </x:c>
      <x:c r="D6" s="32" t="str">
        <x:v>Ready for governance review.</x:v>
      </x:c>
      <x:c r="E6" s="38"/>
      <x:c r="F6" s="38"/>
      <x:c r="G6" s="38"/>
      <x:c r="H6" s="38"/>
      <x:c r="I6" s="38"/>
      <x:c r="J6" s="38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</x:row>
    <x:row r="7">
      <x:c r="A7" s="32" t="str">
        <x:v>Status</x:v>
      </x:c>
      <x:c r="B7" s="32" t="str">
        <x:v>Approved</x:v>
      </x:c>
      <x:c r="C7" s="32" t="n">
        <x:v>30</x:v>
      </x:c>
      <x:c r="D7" s="32" t="str">
        <x:v>Approved for productive use.</x:v>
      </x:c>
      <x:c r="E7" s="38"/>
      <x:c r="F7" s="38"/>
      <x:c r="G7" s="38"/>
      <x:c r="H7" s="38"/>
      <x:c r="I7" s="38"/>
      <x:c r="J7" s="38"/>
      <x:c r="K7" s="38"/>
      <x:c r="L7" s="38"/>
      <x:c r="M7" s="38"/>
      <x:c r="N7" s="38"/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</x:row>
    <x:row r="8">
      <x:c r="A8" s="32" t="str">
        <x:v>Status</x:v>
      </x:c>
      <x:c r="B8" s="32" t="str">
        <x:v>Deprecated</x:v>
      </x:c>
      <x:c r="C8" s="32" t="n">
        <x:v>40</x:v>
      </x:c>
      <x:c r="D8" s="32" t="str">
        <x:v>Retained for history; not used for new assessment.</x:v>
      </x:c>
      <x:c r="E8" s="38"/>
      <x:c r="F8" s="38"/>
      <x:c r="G8" s="38"/>
      <x:c r="H8" s="38"/>
      <x:c r="I8" s="38"/>
      <x:c r="J8" s="38"/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</x:row>
    <x:row r="9">
      <x:c r="A9" s="32" t="str">
        <x:v>Yes_No</x:v>
      </x:c>
      <x:c r="B9" s="32" t="str">
        <x:v>Yes</x:v>
      </x:c>
      <x:c r="C9" s="32" t="n">
        <x:v>10</x:v>
      </x:c>
      <x:c r="D9" s="32" t="str">
        <x:v>Affirmative controlled value.</x:v>
      </x:c>
      <x:c r="E9" s="38"/>
      <x:c r="F9" s="38"/>
      <x:c r="G9" s="38"/>
      <x:c r="H9" s="38"/>
      <x:c r="I9" s="38"/>
      <x:c r="J9" s="38"/>
      <x:c r="K9" s="38"/>
      <x:c r="L9" s="38"/>
      <x:c r="M9" s="38"/>
      <x:c r="N9" s="38"/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</x:row>
    <x:row r="10">
      <x:c r="A10" s="32" t="str">
        <x:v>Yes_No</x:v>
      </x:c>
      <x:c r="B10" s="32" t="str">
        <x:v>No</x:v>
      </x:c>
      <x:c r="C10" s="32" t="n">
        <x:v>20</x:v>
      </x:c>
      <x:c r="D10" s="32" t="str">
        <x:v>Negative controlled value.</x:v>
      </x:c>
      <x:c r="E10" s="38"/>
      <x:c r="F10" s="38"/>
      <x:c r="G10" s="38"/>
      <x:c r="H10" s="38"/>
      <x:c r="I10" s="38"/>
      <x:c r="J10" s="38"/>
      <x:c r="K10" s="38"/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</x:row>
    <x:row r="11">
      <x:c r="A11" s="32" t="str">
        <x:v>Default_Assessment_Level</x:v>
      </x:c>
      <x:c r="B11" s="32" t="str">
        <x:v>Feature</x:v>
      </x:c>
      <x:c r="C11" s="32" t="n">
        <x:v>10</x:v>
      </x:c>
      <x:c r="D11" s="32" t="str">
        <x:v>Default customer assessment occurs at feature level.</x:v>
      </x:c>
      <x:c r="E11" s="38"/>
      <x:c r="F11" s="38"/>
      <x:c r="G11" s="38"/>
      <x:c r="H11" s="38"/>
      <x:c r="I11" s="38"/>
      <x:c r="J11" s="38"/>
      <x:c r="K11" s="38"/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</x:row>
    <x:row r="12">
      <x:c r="A12" s="32" t="str">
        <x:v>Default_Assessment_Level</x:v>
      </x:c>
      <x:c r="B12" s="32" t="str">
        <x:v>Functionality</x:v>
      </x:c>
      <x:c r="C12" s="32" t="n">
        <x:v>20</x:v>
      </x:c>
      <x:c r="D12" s="32" t="str">
        <x:v>Requires functionality-level assessment detail.</x:v>
      </x:c>
      <x:c r="E12" s="38"/>
      <x:c r="F12" s="38"/>
      <x:c r="G12" s="38"/>
      <x:c r="H12" s="38"/>
      <x:c r="I12" s="38"/>
      <x:c r="J12" s="38"/>
      <x:c r="K12" s="38"/>
      <x:c r="L12" s="38"/>
      <x:c r="M12" s="38"/>
      <x:c r="N12" s="38"/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</x:row>
    <x:row r="13">
      <x:c r="A13" s="32" t="str">
        <x:v>Criticality</x:v>
      </x:c>
      <x:c r="B13" s="32" t="str">
        <x:v>Low</x:v>
      </x:c>
      <x:c r="C13" s="32" t="n">
        <x:v>10</x:v>
      </x:c>
      <x:c r="D13" s="32" t="str">
        <x:v>Low default migration/advisory criticality.</x:v>
      </x:c>
      <x:c r="E13" s="38"/>
      <x:c r="F13" s="38"/>
      <x:c r="G13" s="38"/>
      <x:c r="H13" s="38"/>
      <x:c r="I13" s="38"/>
      <x:c r="J13" s="38"/>
      <x:c r="K13" s="38"/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</x:row>
    <x:row r="14">
      <x:c r="A14" s="32" t="str">
        <x:v>Criticality</x:v>
      </x:c>
      <x:c r="B14" s="32" t="str">
        <x:v>Medium</x:v>
      </x:c>
      <x:c r="C14" s="32" t="n">
        <x:v>20</x:v>
      </x:c>
      <x:c r="D14" s="32" t="str">
        <x:v>Medium default migration/advisory criticality.</x:v>
      </x:c>
      <x:c r="E14" s="38"/>
      <x:c r="F14" s="38"/>
      <x:c r="G14" s="38"/>
      <x:c r="H14" s="38"/>
      <x:c r="I14" s="38"/>
      <x:c r="J14" s="38"/>
      <x:c r="K14" s="38"/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</x:row>
    <x:row r="15">
      <x:c r="A15" s="32" t="str">
        <x:v>Criticality</x:v>
      </x:c>
      <x:c r="B15" s="32" t="str">
        <x:v>High</x:v>
      </x:c>
      <x:c r="C15" s="32" t="n">
        <x:v>30</x:v>
      </x:c>
      <x:c r="D15" s="32" t="str">
        <x:v>High default migration/advisory criticality.</x:v>
      </x:c>
      <x:c r="E15" s="38"/>
      <x:c r="F15" s="38"/>
      <x:c r="G15" s="38"/>
      <x:c r="H15" s="38"/>
      <x:c r="I15" s="38"/>
      <x:c r="J15" s="38"/>
      <x:c r="K15" s="38"/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</x:row>
    <x:row r="16">
      <x:c r="A16" s="32" t="str">
        <x:v>Criticality</x:v>
      </x:c>
      <x:c r="B16" s="32" t="str">
        <x:v>Critical</x:v>
      </x:c>
      <x:c r="C16" s="32" t="n">
        <x:v>40</x:v>
      </x:c>
      <x:c r="D16" s="32" t="str">
        <x:v>Critical default migration/advisory criticality.</x:v>
      </x:c>
      <x:c r="E16" s="38"/>
      <x:c r="F16" s="38"/>
      <x:c r="G16" s="38"/>
      <x:c r="H16" s="38"/>
      <x:c r="I16" s="38"/>
      <x:c r="J16" s="38"/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</x:row>
    <x:row r="17">
      <x:c r="A17" s="32" t="str">
        <x:v>Sovereignty_Relevance</x:v>
      </x:c>
      <x:c r="B17" s="32" t="str">
        <x:v>None</x:v>
      </x:c>
      <x:c r="C17" s="32" t="n">
        <x:v>0</x:v>
      </x:c>
      <x:c r="D17" s="32" t="str">
        <x:v>No specific sovereignty relevance.</x:v>
      </x:c>
      <x:c r="E17" s="38"/>
      <x:c r="F17" s="38"/>
      <x:c r="G17" s="38"/>
      <x:c r="H17" s="38"/>
      <x:c r="I17" s="38"/>
      <x:c r="J17" s="38"/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</x:row>
    <x:row r="18">
      <x:c r="A18" s="32" t="str">
        <x:v>Sovereignty_Relevance</x:v>
      </x:c>
      <x:c r="B18" s="32" t="str">
        <x:v>Low</x:v>
      </x:c>
      <x:c r="C18" s="32" t="n">
        <x:v>10</x:v>
      </x:c>
      <x:c r="D18" s="32" t="str">
        <x:v>Low sovereignty relevance.</x:v>
      </x:c>
      <x:c r="E18" s="38"/>
      <x:c r="F18" s="38"/>
      <x:c r="G18" s="38"/>
      <x:c r="H18" s="38"/>
      <x:c r="I18" s="38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</x:row>
    <x:row r="19">
      <x:c r="A19" s="32" t="str">
        <x:v>Sovereignty_Relevance</x:v>
      </x:c>
      <x:c r="B19" s="32" t="str">
        <x:v>Medium</x:v>
      </x:c>
      <x:c r="C19" s="32" t="n">
        <x:v>20</x:v>
      </x:c>
      <x:c r="D19" s="32" t="str">
        <x:v>Medium sovereignty relevance.</x:v>
      </x:c>
      <x:c r="E19" s="38"/>
      <x:c r="F19" s="38"/>
      <x:c r="G19" s="38"/>
      <x:c r="H19" s="38"/>
      <x:c r="I19" s="38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</x:row>
    <x:row r="20">
      <x:c r="A20" s="32" t="str">
        <x:v>Sovereignty_Relevance</x:v>
      </x:c>
      <x:c r="B20" s="32" t="str">
        <x:v>High</x:v>
      </x:c>
      <x:c r="C20" s="32" t="n">
        <x:v>30</x:v>
      </x:c>
      <x:c r="D20" s="32" t="str">
        <x:v>High sovereignty relevance.</x:v>
      </x:c>
      <x:c r="E20" s="38"/>
      <x:c r="F20" s="38"/>
      <x:c r="G20" s="38"/>
      <x:c r="H20" s="38"/>
      <x:c r="I20" s="38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</x:row>
    <x:row r="21">
      <x:c r="A21" s="32" t="str">
        <x:v>Analysis_Domain</x:v>
      </x:c>
      <x:c r="B21" s="32" t="str">
        <x:v>Compute</x:v>
      </x:c>
      <x:c r="C21" s="32" t="n">
        <x:v>10</x:v>
      </x:c>
      <x:c r="D21" s="32" t="str">
        <x:v>Compute virtualization and host/runtime behavior.</x:v>
      </x:c>
      <x:c r="E21" s="38"/>
      <x:c r="F21" s="38"/>
      <x:c r="G21" s="38"/>
      <x:c r="H21" s="38"/>
      <x:c r="I21" s="38"/>
      <x:c r="J21" s="38"/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</x:row>
    <x:row r="22">
      <x:c r="A22" s="32" t="str">
        <x:v>Analysis_Domain</x:v>
      </x:c>
      <x:c r="B22" s="32" t="str">
        <x:v>Storage</x:v>
      </x:c>
      <x:c r="C22" s="32" t="n">
        <x:v>20</x:v>
      </x:c>
      <x:c r="D22" s="32" t="str">
        <x:v>Storage platform capabilities.</x:v>
      </x:c>
      <x:c r="E22" s="38"/>
      <x:c r="F22" s="38"/>
      <x:c r="G22" s="38"/>
      <x:c r="H22" s="38"/>
      <x:c r="I22" s="38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</x:row>
    <x:row r="23">
      <x:c r="A23" s="32" t="str">
        <x:v>Analysis_Domain</x:v>
      </x:c>
      <x:c r="B23" s="32" t="str">
        <x:v>Network</x:v>
      </x:c>
      <x:c r="C23" s="32" t="n">
        <x:v>30</x:v>
      </x:c>
      <x:c r="D23" s="32" t="str">
        <x:v>Network virtualization/routing/connectivity.</x:v>
      </x:c>
      <x:c r="E23" s="38"/>
      <x:c r="F23" s="38"/>
      <x:c r="G23" s="38"/>
      <x:c r="H23" s="38"/>
      <x:c r="I23" s="38"/>
      <x:c r="J23" s="38"/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</x:row>
    <x:row r="24">
      <x:c r="A24" s="32" t="str">
        <x:v>Analysis_Domain</x:v>
      </x:c>
      <x:c r="B24" s="32" t="str">
        <x:v>Security</x:v>
      </x:c>
      <x:c r="C24" s="32" t="n">
        <x:v>40</x:v>
      </x:c>
      <x:c r="D24" s="32" t="str">
        <x:v>Security controls and segmentation.</x:v>
      </x:c>
      <x:c r="E24" s="38"/>
      <x:c r="F24" s="38"/>
      <x:c r="G24" s="38"/>
      <x:c r="H24" s="38"/>
      <x:c r="I24" s="38"/>
      <x:c r="J24" s="38"/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</x:row>
    <x:row r="25">
      <x:c r="A25" s="32" t="str">
        <x:v>Analysis_Domain</x:v>
      </x:c>
      <x:c r="B25" s="32" t="str">
        <x:v>Operations</x:v>
      </x:c>
      <x:c r="C25" s="32" t="n">
        <x:v>50</x:v>
      </x:c>
      <x:c r="D25" s="32" t="str">
        <x:v>Monitoring, logging, capacity, alerting.</x:v>
      </x:c>
      <x:c r="E25" s="38"/>
      <x:c r="F25" s="38"/>
      <x:c r="G25" s="38"/>
      <x:c r="H25" s="38"/>
      <x:c r="I25" s="38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</x:row>
    <x:row r="26">
      <x:c r="A26" s="32" t="str">
        <x:v>Analysis_Domain</x:v>
      </x:c>
      <x:c r="B26" s="32" t="str">
        <x:v>Automation</x:v>
      </x:c>
      <x:c r="C26" s="32" t="n">
        <x:v>60</x:v>
      </x:c>
      <x:c r="D26" s="32" t="str">
        <x:v>Automation and self-service.</x:v>
      </x:c>
      <x:c r="E26" s="38"/>
      <x:c r="F26" s="38"/>
      <x:c r="G26" s="38"/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</x:row>
    <x:row r="27">
      <x:c r="A27" s="32" t="str">
        <x:v>Analysis_Domain</x:v>
      </x:c>
      <x:c r="B27" s="32" t="str">
        <x:v>Lifecycle</x:v>
      </x:c>
      <x:c r="C27" s="32" t="n">
        <x:v>70</x:v>
      </x:c>
      <x:c r="D27" s="32" t="str">
        <x:v>Lifecycle, patching, upgrades, BOM governance.</x:v>
      </x:c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</x:row>
    <x:row r="28">
      <x:c r="A28" s="32" t="str">
        <x:v>Analysis_Domain</x:v>
      </x:c>
      <x:c r="B28" s="32" t="str">
        <x:v>Management</x:v>
      </x:c>
      <x:c r="C28" s="32" t="n">
        <x:v>80</x:v>
      </x:c>
      <x:c r="D28" s="32" t="str">
        <x:v>Management plane and administration.</x:v>
      </x:c>
      <x:c r="E28" s="38"/>
      <x:c r="F28" s="38"/>
      <x:c r="G28" s="38"/>
      <x:c r="H28" s="38"/>
      <x:c r="I28" s="38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</x:row>
    <x:row r="29">
      <x:c r="A29" s="32" t="str">
        <x:v>Analysis_Domain</x:v>
      </x:c>
      <x:c r="B29" s="32" t="str">
        <x:v>Migration</x:v>
      </x:c>
      <x:c r="C29" s="32" t="n">
        <x:v>90</x:v>
      </x:c>
      <x:c r="D29" s="32" t="str">
        <x:v>Migration and workload mobility.</x:v>
      </x:c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</x:row>
    <x:row r="30">
      <x:c r="A30" s="32" t="str">
        <x:v>Analysis_Domain</x:v>
      </x:c>
      <x:c r="B30" s="32" t="str">
        <x:v>Kubernetes</x:v>
      </x:c>
      <x:c r="C30" s="32" t="n">
        <x:v>100</x:v>
      </x:c>
      <x:c r="D30" s="32" t="str">
        <x:v>Container/Kubernetes capabilities.</x:v>
      </x:c>
      <x:c r="E30" s="38"/>
      <x:c r="F30" s="38"/>
      <x:c r="G30" s="38"/>
      <x:c r="H30" s="38"/>
      <x:c r="I30" s="38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</x:row>
    <x:row r="31">
      <x:c r="A31" s="32" t="str">
        <x:v>Analysis_Domain</x:v>
      </x:c>
      <x:c r="B31" s="32" t="str">
        <x:v>Sovereignty</x:v>
      </x:c>
      <x:c r="C31" s="32" t="n">
        <x:v>110</x:v>
      </x:c>
      <x:c r="D31" s="32" t="str">
        <x:v>Data, control, residency, policy and key-control concerns.</x:v>
      </x:c>
      <x:c r="E31" s="38"/>
      <x:c r="F31" s="38"/>
      <x:c r="G31" s="38"/>
      <x:c r="H31" s="38"/>
      <x:c r="I31" s="38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</x:row>
    <x:row r="32">
      <x:c r="A32" s="32" t="str">
        <x:v>Analysis_Domain</x:v>
      </x:c>
      <x:c r="B32" s="32" t="str">
        <x:v>Resilience</x:v>
      </x:c>
      <x:c r="C32" s="32" t="n">
        <x:v>120</x:v>
      </x:c>
      <x:c r="D32" s="32" t="str">
        <x:v>Backup, restore, HA, DR, recovery concerns.</x:v>
      </x:c>
      <x:c r="E32" s="38"/>
      <x:c r="F32" s="38"/>
      <x:c r="G32" s="38"/>
      <x:c r="H32" s="38"/>
      <x:c r="I32" s="38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</x:row>
    <x:row r="33">
      <x:c r="A33" s="32" t="str">
        <x:v>Requirement_Rating</x:v>
      </x:c>
      <x:c r="B33" s="32" t="str">
        <x:v>Required</x:v>
      </x:c>
      <x:c r="C33" s="32" t="n">
        <x:v>10</x:v>
      </x:c>
      <x:c r="D33" s="32" t="str">
        <x:v>Hard requirement.</x:v>
      </x:c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</x:row>
    <x:row r="34">
      <x:c r="A34" s="32" t="str">
        <x:v>Requirement_Rating</x:v>
      </x:c>
      <x:c r="B34" s="32" t="str">
        <x:v>Important</x:v>
      </x:c>
      <x:c r="C34" s="32" t="n">
        <x:v>20</x:v>
      </x:c>
      <x:c r="D34" s="32" t="str">
        <x:v>Important but not necessarily hard blocker.</x:v>
      </x:c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</x:row>
    <x:row r="35">
      <x:c r="A35" s="32" t="str">
        <x:v>Requirement_Rating</x:v>
      </x:c>
      <x:c r="B35" s="32" t="str">
        <x:v>Nice-to-have</x:v>
      </x:c>
      <x:c r="C35" s="32" t="n">
        <x:v>30</x:v>
      </x:c>
      <x:c r="D35" s="32" t="str">
        <x:v>Useful but lower advisory priority.</x:v>
      </x:c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</x:row>
    <x:row r="36">
      <x:c r="A36" s="32" t="str">
        <x:v>Requirement_Rating</x:v>
      </x:c>
      <x:c r="B36" s="32" t="str">
        <x:v>Not Required</x:v>
      </x:c>
      <x:c r="C36" s="32" t="n">
        <x:v>40</x:v>
      </x:c>
      <x:c r="D36" s="32" t="str">
        <x:v>Out of scope for this assessment.</x:v>
      </x:c>
      <x:c r="E36" s="38"/>
      <x:c r="F36" s="38"/>
      <x:c r="G36" s="38"/>
      <x:c r="H36" s="38"/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</x:row>
    <x:row r="37">
      <x:c r="A37" s="32" t="str">
        <x:v>Requirement_Rating</x:v>
      </x:c>
      <x:c r="B37" s="32" t="str">
        <x:v>Unknown</x:v>
      </x:c>
      <x:c r="C37" s="32" t="n">
        <x:v>50</x:v>
      </x:c>
      <x:c r="D37" s="32" t="str">
        <x:v>Discovery not complete.</x:v>
      </x:c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</x:row>
    <x:row r="38">
      <x:c r="A38" s="32" t="str">
        <x:v>Parity</x:v>
      </x:c>
      <x:c r="B38" s="32" t="str">
        <x:v>Full Parity</x:v>
      </x:c>
      <x:c r="C38" s="32" t="n">
        <x:v>10</x:v>
      </x:c>
      <x:c r="D38" s="32" t="str">
        <x:v>Comparator natively satisfies the functionality.</x:v>
      </x:c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</x:row>
    <x:row r="39">
      <x:c r="A39" s="32" t="str">
        <x:v>Parity</x:v>
      </x:c>
      <x:c r="B39" s="32" t="str">
        <x:v>Partial Parity</x:v>
      </x:c>
      <x:c r="C39" s="32" t="n">
        <x:v>20</x:v>
      </x:c>
      <x:c r="D39" s="32" t="str">
        <x:v>Comparator partially satisfies the functionality or requires workaround.</x:v>
      </x:c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</x:row>
    <x:row r="40">
      <x:c r="A40" s="32" t="str">
        <x:v>Parity</x:v>
      </x:c>
      <x:c r="B40" s="32" t="str">
        <x:v>No Parity</x:v>
      </x:c>
      <x:c r="C40" s="32" t="n">
        <x:v>30</x:v>
      </x:c>
      <x:c r="D40" s="32" t="str">
        <x:v>Comparator does not satisfy the functionality.</x:v>
      </x:c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</x:row>
    <x:row r="41">
      <x:c r="A41" s="32" t="str">
        <x:v>Parity</x:v>
      </x:c>
      <x:c r="B41" s="32" t="str">
        <x:v>Unknown</x:v>
      </x:c>
      <x:c r="C41" s="32" t="n">
        <x:v>40</x:v>
      </x:c>
      <x:c r="D41" s="32" t="str">
        <x:v>Insufficient evidence.</x:v>
      </x:c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</x:row>
    <x:row r="42">
      <x:c r="A42" s="32" t="str">
        <x:v>Workaround_Complexity</x:v>
      </x:c>
      <x:c r="B42" s="32" t="str">
        <x:v>None</x:v>
      </x:c>
      <x:c r="C42" s="32" t="n">
        <x:v>0</x:v>
      </x:c>
      <x:c r="D42" s="32" t="str">
        <x:v>No workaround required.</x:v>
      </x:c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</x:row>
    <x:row r="43">
      <x:c r="A43" s="32" t="str">
        <x:v>Workaround_Complexity</x:v>
      </x:c>
      <x:c r="B43" s="32" t="str">
        <x:v>Low</x:v>
      </x:c>
      <x:c r="C43" s="32" t="n">
        <x:v>10</x:v>
      </x:c>
      <x:c r="D43" s="32" t="str">
        <x:v>Low complexity workaround.</x:v>
      </x:c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</x:row>
    <x:row r="44">
      <x:c r="A44" s="32" t="str">
        <x:v>Workaround_Complexity</x:v>
      </x:c>
      <x:c r="B44" s="32" t="str">
        <x:v>Medium</x:v>
      </x:c>
      <x:c r="C44" s="32" t="n">
        <x:v>20</x:v>
      </x:c>
      <x:c r="D44" s="32" t="str">
        <x:v>Medium complexity workaround.</x:v>
      </x:c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</x:row>
    <x:row r="45">
      <x:c r="A45" s="32" t="str">
        <x:v>Workaround_Complexity</x:v>
      </x:c>
      <x:c r="B45" s="32" t="str">
        <x:v>High</x:v>
      </x:c>
      <x:c r="C45" s="32" t="n">
        <x:v>30</x:v>
      </x:c>
      <x:c r="D45" s="32" t="str">
        <x:v>High complexity workaround.</x:v>
      </x:c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</x:row>
    <x:row r="46">
      <x:c r="A46" s="32" t="str">
        <x:v>Workaround_Complexity</x:v>
      </x:c>
      <x:c r="B46" s="32" t="str">
        <x:v>Not Applicable</x:v>
      </x:c>
      <x:c r="C46" s="32" t="n">
        <x:v>40</x:v>
      </x:c>
      <x:c r="D46" s="32" t="str">
        <x:v>Not applicable.</x:v>
      </x:c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</x:row>
    <x:row r="47">
      <x:c r="A47" s="32" t="str">
        <x:v>Evidence_Confidence</x:v>
      </x:c>
      <x:c r="B47" s="32" t="str">
        <x:v>High</x:v>
      </x:c>
      <x:c r="C47" s="32" t="n">
        <x:v>10</x:v>
      </x:c>
      <x:c r="D47" s="32" t="str">
        <x:v>Strong official/evidence-backed source confidence.</x:v>
      </x:c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</x:row>
    <x:row r="48">
      <x:c r="A48" s="32" t="str">
        <x:v>Evidence_Confidence</x:v>
      </x:c>
      <x:c r="B48" s="32" t="str">
        <x:v>Medium</x:v>
      </x:c>
      <x:c r="C48" s="32" t="n">
        <x:v>20</x:v>
      </x:c>
      <x:c r="D48" s="32" t="str">
        <x:v>Reasonable but not fully conclusive source confidence.</x:v>
      </x:c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</x:row>
    <x:row r="49">
      <x:c r="A49" s="32" t="str">
        <x:v>Evidence_Confidence</x:v>
      </x:c>
      <x:c r="B49" s="32" t="str">
        <x:v>Low</x:v>
      </x:c>
      <x:c r="C49" s="32" t="n">
        <x:v>30</x:v>
      </x:c>
      <x:c r="D49" s="32" t="str">
        <x:v>Weak or incomplete confidence; needs review.</x:v>
      </x:c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</x:row>
    <x:row r="50">
      <x:c r="A50" s="32" t="str">
        <x:v>Impact_Level</x:v>
      </x:c>
      <x:c r="B50" s="32" t="str">
        <x:v>None</x:v>
      </x:c>
      <x:c r="C50" s="32" t="n">
        <x:v>0</x:v>
      </x:c>
      <x:c r="D50" s="32" t="str">
        <x:v>No material impact.</x:v>
      </x:c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</x:row>
    <x:row r="51">
      <x:c r="A51" s="32" t="str">
        <x:v>Impact_Level</x:v>
      </x:c>
      <x:c r="B51" s="32" t="str">
        <x:v>Low</x:v>
      </x:c>
      <x:c r="C51" s="32" t="n">
        <x:v>10</x:v>
      </x:c>
      <x:c r="D51" s="32" t="str">
        <x:v>Low impact.</x:v>
      </x:c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</x:row>
    <x:row r="52">
      <x:c r="A52" s="32" t="str">
        <x:v>Impact_Level</x:v>
      </x:c>
      <x:c r="B52" s="32" t="str">
        <x:v>Medium</x:v>
      </x:c>
      <x:c r="C52" s="32" t="n">
        <x:v>20</x:v>
      </x:c>
      <x:c r="D52" s="32" t="str">
        <x:v>Medium impact.</x:v>
      </x:c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</x:row>
    <x:row r="53">
      <x:c r="A53" s="32" t="str">
        <x:v>Impact_Level</x:v>
      </x:c>
      <x:c r="B53" s="32" t="str">
        <x:v>High</x:v>
      </x:c>
      <x:c r="C53" s="32" t="n">
        <x:v>30</x:v>
      </x:c>
      <x:c r="D53" s="32" t="str">
        <x:v>High impact.</x:v>
      </x:c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</x:row>
    <x:row r="54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</x:row>
    <x:row r="55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</x:row>
    <x:row r="56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</x:row>
    <x:row r="57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</x:row>
    <x:row r="58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</x:row>
    <x:row r="59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</x:row>
    <x:row r="60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</x:row>
    <x:row r="6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</x:row>
    <x:row r="62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</x:row>
    <x:row r="63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</x:row>
    <x:row r="64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</x:row>
    <x:row r="65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</x:row>
    <x:row r="66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</x:row>
    <x:row r="67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</x:row>
    <x:row r="68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</x:row>
    <x:row r="69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</x:row>
    <x:row r="70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</x:row>
    <x:row r="7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</x:row>
    <x:row r="72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</x:row>
    <x:row r="73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</x:row>
    <x:row r="74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</x:row>
    <x:row r="75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</x:row>
    <x:row r="76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</x:row>
    <x:row r="77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</x:row>
    <x:row r="78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</x:row>
    <x:row r="79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</x:row>
    <x:row r="80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</x:row>
    <x:row r="8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</x:row>
    <x:row r="82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</x:row>
    <x:row r="83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</x:row>
    <x:row r="84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</x:row>
    <x:row r="85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</x:row>
    <x:row r="86">
      <x:c r="A86" s="38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</x:row>
    <x:row r="87">
      <x:c r="A87" s="38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</x:row>
    <x:row r="88">
      <x:c r="A88" s="38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</x:row>
    <x:row r="89">
      <x:c r="A89" s="38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</x:row>
    <x:row r="90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</x:row>
    <x:row r="9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</x:row>
    <x:row r="92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</x:row>
    <x:row r="93">
      <x:c r="A93" s="38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</x:row>
    <x:row r="94">
      <x:c r="A94" s="38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</x:row>
    <x:row r="95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</x:row>
    <x:row r="96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</x:row>
    <x:row r="97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</x:row>
    <x:row r="98">
      <x:c r="A98" s="38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</x:row>
    <x:row r="99">
      <x:c r="A99" s="38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</x:row>
    <x:row r="100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</x:row>
    <x:row r="10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</x:row>
    <x:row r="102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</x:row>
    <x:row r="103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</x:row>
    <x:row r="104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</x:row>
    <x:row r="105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</x:row>
    <x:row r="106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</x:row>
    <x:row r="107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</x:row>
    <x:row r="108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</x:row>
    <x:row r="109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</x:row>
    <x:row r="110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</x:row>
    <x:row r="11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</x:row>
    <x:row r="112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</x:row>
    <x:row r="113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</x:row>
    <x:row r="114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</x:row>
    <x:row r="115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</x:row>
    <x:row r="116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</x:row>
    <x:row r="117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</x:row>
    <x:row r="118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</x:row>
    <x:row r="119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</x:row>
    <x:row r="120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  <x:row r="121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</x:row>
    <x:row r="122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</x:row>
    <x:row r="123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</x:row>
    <x:row r="124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</x:row>
    <x:row r="125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</x:row>
    <x:row r="126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</x:row>
    <x:row r="127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</x:row>
    <x:row r="128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</x:row>
    <x:row r="129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</x:row>
    <x:row r="130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</x:row>
    <x:row r="13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</x:row>
    <x:row r="132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</x:row>
    <x:row r="133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</x:row>
    <x:row r="134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</x:row>
    <x:row r="135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</x:row>
    <x:row r="136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</x:row>
    <x:row r="137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</x:row>
    <x:row r="138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</x:row>
    <x:row r="139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</x:row>
    <x:row r="140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</x:row>
    <x:row r="14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</x:row>
    <x:row r="142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</x:row>
    <x:row r="143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</x:row>
    <x:row r="144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</x:row>
    <x:row r="145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</x:row>
    <x:row r="146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</x:row>
    <x:row r="147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</x:row>
    <x:row r="148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</x:row>
    <x:row r="149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</x:row>
    <x:row r="150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</x:row>
    <x:row r="15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</x:row>
    <x:row r="152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</x:row>
    <x:row r="153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</x:row>
    <x:row r="154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</x:row>
    <x:row r="155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</x:row>
    <x:row r="156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</x:row>
    <x:row r="157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</x:row>
    <x:row r="158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</x:row>
    <x:row r="159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</x:row>
    <x:row r="160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</x:row>
    <x:row r="16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</x:row>
    <x:row r="162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</x:row>
    <x:row r="163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</x:row>
    <x:row r="164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</x:row>
    <x:row r="165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</x:row>
    <x:row r="166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</x:row>
    <x:row r="167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</x:row>
    <x:row r="168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</x:row>
    <x:row r="169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</x:row>
    <x:row r="170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</x:row>
    <x:row r="17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</x:row>
    <x:row r="172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</x:row>
    <x:row r="173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</x:row>
    <x:row r="174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</x:row>
    <x:row r="175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</x:row>
    <x:row r="176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</x:row>
    <x:row r="177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</x:row>
    <x:row r="178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</x:row>
    <x:row r="179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</x:row>
    <x:row r="180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</x:row>
    <x:row r="18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</x:row>
    <x:row r="182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</x:row>
    <x:row r="183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</x:row>
    <x:row r="184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</x:row>
    <x:row r="185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</x:row>
    <x:row r="186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</x:row>
    <x:row r="187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</x:row>
    <x:row r="188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</x:row>
    <x:row r="189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</x:row>
    <x:row r="190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</x:row>
    <x:row r="19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</x:row>
    <x:row r="192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</x:row>
    <x:row r="193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</x:row>
    <x:row r="194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</x:row>
    <x:row r="195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</x:row>
    <x:row r="196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</x:row>
    <x:row r="197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</x:row>
    <x:row r="198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</x:row>
    <x:row r="199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</x:row>
    <x:row r="200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</x:row>
    <x:row r="201">
      <x:c r="A201" s="38"/>
      <x:c r="B201" s="38"/>
      <x:c r="C201" s="38"/>
      <x:c r="D201" s="38"/>
      <x:c r="E201" s="38"/>
      <x:c r="F201" s="38"/>
      <x:c r="G201" s="38"/>
      <x:c r="H201" s="38"/>
      <x:c r="I201" s="38"/>
      <x:c r="J201" s="38"/>
      <x:c r="K201" s="38"/>
      <x:c r="L201" s="38"/>
      <x:c r="M201" s="38"/>
      <x:c r="N201" s="38"/>
      <x:c r="O201" s="38"/>
      <x:c r="P201" s="38"/>
      <x:c r="Q201" s="38"/>
      <x:c r="R201" s="38"/>
      <x:c r="S201" s="38"/>
      <x:c r="T201" s="38"/>
      <x:c r="U201" s="38"/>
      <x:c r="V201" s="38"/>
      <x:c r="W201" s="38"/>
      <x:c r="X201" s="38"/>
      <x:c r="Y201" s="38"/>
      <x:c r="Z201" s="38"/>
    </x:row>
    <x:row r="202">
      <x:c r="A202" s="38"/>
      <x:c r="B202" s="38"/>
      <x:c r="C202" s="38"/>
      <x:c r="D202" s="38"/>
      <x:c r="E202" s="38"/>
      <x:c r="F202" s="38"/>
      <x:c r="G202" s="38"/>
      <x:c r="H202" s="38"/>
      <x:c r="I202" s="38"/>
      <x:c r="J202" s="38"/>
      <x:c r="K202" s="38"/>
      <x:c r="L202" s="38"/>
      <x:c r="M202" s="38"/>
      <x:c r="N202" s="38"/>
      <x:c r="O202" s="38"/>
      <x:c r="P202" s="38"/>
      <x:c r="Q202" s="38"/>
      <x:c r="R202" s="38"/>
      <x:c r="S202" s="38"/>
      <x:c r="T202" s="38"/>
      <x:c r="U202" s="38"/>
      <x:c r="V202" s="38"/>
      <x:c r="W202" s="38"/>
      <x:c r="X202" s="38"/>
      <x:c r="Y202" s="38"/>
      <x:c r="Z202" s="38"/>
    </x:row>
    <x:row r="203">
      <x:c r="A203" s="38"/>
      <x:c r="B203" s="38"/>
      <x:c r="C203" s="38"/>
      <x:c r="D203" s="38"/>
      <x:c r="E203" s="38"/>
      <x:c r="F203" s="38"/>
      <x:c r="G203" s="38"/>
      <x:c r="H203" s="38"/>
      <x:c r="I203" s="38"/>
      <x:c r="J203" s="38"/>
      <x:c r="K203" s="38"/>
      <x:c r="L203" s="38"/>
      <x:c r="M203" s="38"/>
      <x:c r="N203" s="38"/>
      <x:c r="O203" s="38"/>
      <x:c r="P203" s="38"/>
      <x:c r="Q203" s="38"/>
      <x:c r="R203" s="38"/>
      <x:c r="S203" s="38"/>
      <x:c r="T203" s="38"/>
      <x:c r="U203" s="38"/>
      <x:c r="V203" s="38"/>
      <x:c r="W203" s="38"/>
      <x:c r="X203" s="38"/>
      <x:c r="Y203" s="38"/>
      <x:c r="Z203" s="38"/>
    </x:row>
    <x:row r="204">
      <x:c r="A204" s="38"/>
      <x:c r="B204" s="38"/>
      <x:c r="C204" s="38"/>
      <x:c r="D204" s="38"/>
      <x:c r="E204" s="38"/>
      <x:c r="F204" s="38"/>
      <x:c r="G204" s="38"/>
      <x:c r="H204" s="38"/>
      <x:c r="I204" s="38"/>
      <x:c r="J204" s="38"/>
      <x:c r="K204" s="38"/>
      <x:c r="L204" s="38"/>
      <x:c r="M204" s="38"/>
      <x:c r="N204" s="38"/>
      <x:c r="O204" s="38"/>
      <x:c r="P204" s="38"/>
      <x:c r="Q204" s="38"/>
      <x:c r="R204" s="38"/>
      <x:c r="S204" s="38"/>
      <x:c r="T204" s="38"/>
      <x:c r="U204" s="38"/>
      <x:c r="V204" s="38"/>
      <x:c r="W204" s="38"/>
      <x:c r="X204" s="38"/>
      <x:c r="Y204" s="38"/>
      <x:c r="Z204" s="38"/>
    </x:row>
    <x:row r="205">
      <x:c r="A205" s="38"/>
      <x:c r="B205" s="38"/>
      <x:c r="C205" s="38"/>
      <x:c r="D205" s="38"/>
      <x:c r="E205" s="38"/>
      <x:c r="F205" s="38"/>
      <x:c r="G205" s="38"/>
      <x:c r="H205" s="38"/>
      <x:c r="I205" s="38"/>
      <x:c r="J205" s="38"/>
      <x:c r="K205" s="38"/>
      <x:c r="L205" s="38"/>
      <x:c r="M205" s="38"/>
      <x:c r="N205" s="38"/>
      <x:c r="O205" s="38"/>
      <x:c r="P205" s="38"/>
      <x:c r="Q205" s="38"/>
      <x:c r="R205" s="38"/>
      <x:c r="S205" s="38"/>
      <x:c r="T205" s="38"/>
      <x:c r="U205" s="38"/>
      <x:c r="V205" s="38"/>
      <x:c r="W205" s="38"/>
      <x:c r="X205" s="38"/>
      <x:c r="Y205" s="38"/>
      <x:c r="Z205" s="38"/>
    </x:row>
    <x:row r="206">
      <x:c r="A206" s="38"/>
      <x:c r="B206" s="38"/>
      <x:c r="C206" s="38"/>
      <x:c r="D206" s="38"/>
      <x:c r="E206" s="38"/>
      <x:c r="F206" s="38"/>
      <x:c r="G206" s="38"/>
      <x:c r="H206" s="38"/>
      <x:c r="I206" s="38"/>
      <x:c r="J206" s="38"/>
      <x:c r="K206" s="38"/>
      <x:c r="L206" s="38"/>
      <x:c r="M206" s="38"/>
      <x:c r="N206" s="38"/>
      <x:c r="O206" s="38"/>
      <x:c r="P206" s="38"/>
      <x:c r="Q206" s="38"/>
      <x:c r="R206" s="38"/>
      <x:c r="S206" s="38"/>
      <x:c r="T206" s="38"/>
      <x:c r="U206" s="38"/>
      <x:c r="V206" s="38"/>
      <x:c r="W206" s="38"/>
      <x:c r="X206" s="38"/>
      <x:c r="Y206" s="38"/>
      <x:c r="Z206" s="38"/>
    </x:row>
    <x:row r="207">
      <x:c r="A207" s="38"/>
      <x:c r="B207" s="38"/>
      <x:c r="C207" s="38"/>
      <x:c r="D207" s="38"/>
      <x:c r="E207" s="38"/>
      <x:c r="F207" s="38"/>
      <x:c r="G207" s="38"/>
      <x:c r="H207" s="38"/>
      <x:c r="I207" s="38"/>
      <x:c r="J207" s="38"/>
      <x:c r="K207" s="38"/>
      <x:c r="L207" s="38"/>
      <x:c r="M207" s="38"/>
      <x:c r="N207" s="38"/>
      <x:c r="O207" s="38"/>
      <x:c r="P207" s="38"/>
      <x:c r="Q207" s="38"/>
      <x:c r="R207" s="38"/>
      <x:c r="S207" s="38"/>
      <x:c r="T207" s="38"/>
      <x:c r="U207" s="38"/>
      <x:c r="V207" s="38"/>
      <x:c r="W207" s="38"/>
      <x:c r="X207" s="38"/>
      <x:c r="Y207" s="38"/>
      <x:c r="Z207" s="38"/>
    </x:row>
    <x:row r="208">
      <x:c r="A208" s="38"/>
      <x:c r="B208" s="38"/>
      <x:c r="C208" s="38"/>
      <x:c r="D208" s="38"/>
      <x:c r="E208" s="38"/>
      <x:c r="F208" s="38"/>
      <x:c r="G208" s="38"/>
      <x:c r="H208" s="38"/>
      <x:c r="I208" s="38"/>
      <x:c r="J208" s="38"/>
      <x:c r="K208" s="38"/>
      <x:c r="L208" s="38"/>
      <x:c r="M208" s="38"/>
      <x:c r="N208" s="38"/>
      <x:c r="O208" s="38"/>
      <x:c r="P208" s="38"/>
      <x:c r="Q208" s="38"/>
      <x:c r="R208" s="38"/>
      <x:c r="S208" s="38"/>
      <x:c r="T208" s="38"/>
      <x:c r="U208" s="38"/>
      <x:c r="V208" s="38"/>
      <x:c r="W208" s="38"/>
      <x:c r="X208" s="38"/>
      <x:c r="Y208" s="38"/>
      <x:c r="Z208" s="38"/>
    </x:row>
    <x:row r="209">
      <x:c r="A209" s="38"/>
      <x:c r="B209" s="38"/>
      <x:c r="C209" s="38"/>
      <x:c r="D209" s="38"/>
      <x:c r="E209" s="38"/>
      <x:c r="F209" s="38"/>
      <x:c r="G209" s="38"/>
      <x:c r="H209" s="38"/>
      <x:c r="I209" s="38"/>
      <x:c r="J209" s="38"/>
      <x:c r="K209" s="38"/>
      <x:c r="L209" s="38"/>
      <x:c r="M209" s="38"/>
      <x:c r="N209" s="38"/>
      <x:c r="O209" s="38"/>
      <x:c r="P209" s="38"/>
      <x:c r="Q209" s="38"/>
      <x:c r="R209" s="38"/>
      <x:c r="S209" s="38"/>
      <x:c r="T209" s="38"/>
      <x:c r="U209" s="38"/>
      <x:c r="V209" s="38"/>
      <x:c r="W209" s="38"/>
      <x:c r="X209" s="38"/>
      <x:c r="Y209" s="38"/>
      <x:c r="Z209" s="38"/>
    </x:row>
    <x:row r="210">
      <x:c r="A210" s="38"/>
      <x:c r="B210" s="38"/>
      <x:c r="C210" s="38"/>
      <x:c r="D210" s="38"/>
      <x:c r="E210" s="38"/>
      <x:c r="F210" s="38"/>
      <x:c r="G210" s="38"/>
      <x:c r="H210" s="38"/>
      <x:c r="I210" s="38"/>
      <x:c r="J210" s="38"/>
      <x:c r="K210" s="38"/>
      <x:c r="L210" s="38"/>
      <x:c r="M210" s="38"/>
      <x:c r="N210" s="38"/>
      <x:c r="O210" s="38"/>
      <x:c r="P210" s="38"/>
      <x:c r="Q210" s="38"/>
      <x:c r="R210" s="38"/>
      <x:c r="S210" s="38"/>
      <x:c r="T210" s="38"/>
      <x:c r="U210" s="38"/>
      <x:c r="V210" s="38"/>
      <x:c r="W210" s="38"/>
      <x:c r="X210" s="38"/>
      <x:c r="Y210" s="38"/>
      <x:c r="Z210" s="38"/>
    </x:row>
    <x:row r="211">
      <x:c r="A211" s="38"/>
      <x:c r="B211" s="38"/>
      <x:c r="C211" s="38"/>
      <x:c r="D211" s="38"/>
      <x:c r="E211" s="38"/>
      <x:c r="F211" s="38"/>
      <x:c r="G211" s="38"/>
      <x:c r="H211" s="38"/>
      <x:c r="I211" s="38"/>
      <x:c r="J211" s="38"/>
      <x:c r="K211" s="38"/>
      <x:c r="L211" s="38"/>
      <x:c r="M211" s="38"/>
      <x:c r="N211" s="38"/>
      <x:c r="O211" s="38"/>
      <x:c r="P211" s="38"/>
      <x:c r="Q211" s="38"/>
      <x:c r="R211" s="38"/>
      <x:c r="S211" s="38"/>
      <x:c r="T211" s="38"/>
      <x:c r="U211" s="38"/>
      <x:c r="V211" s="38"/>
      <x:c r="W211" s="38"/>
      <x:c r="X211" s="38"/>
      <x:c r="Y211" s="38"/>
      <x:c r="Z211" s="38"/>
    </x:row>
    <x:row r="212">
      <x:c r="A212" s="38"/>
      <x:c r="B212" s="38"/>
      <x:c r="C212" s="38"/>
      <x:c r="D212" s="38"/>
      <x:c r="E212" s="38"/>
      <x:c r="F212" s="38"/>
      <x:c r="G212" s="38"/>
      <x:c r="H212" s="38"/>
      <x:c r="I212" s="38"/>
      <x:c r="J212" s="38"/>
      <x:c r="K212" s="38"/>
      <x:c r="L212" s="38"/>
      <x:c r="M212" s="38"/>
      <x:c r="N212" s="38"/>
      <x:c r="O212" s="38"/>
      <x:c r="P212" s="38"/>
      <x:c r="Q212" s="38"/>
      <x:c r="R212" s="38"/>
      <x:c r="S212" s="38"/>
      <x:c r="T212" s="38"/>
      <x:c r="U212" s="38"/>
      <x:c r="V212" s="38"/>
      <x:c r="W212" s="38"/>
      <x:c r="X212" s="38"/>
      <x:c r="Y212" s="38"/>
      <x:c r="Z212" s="38"/>
    </x:row>
    <x:row r="213">
      <x:c r="A213" s="38"/>
      <x:c r="B213" s="38"/>
      <x:c r="C213" s="38"/>
      <x:c r="D213" s="38"/>
      <x:c r="E213" s="38"/>
      <x:c r="F213" s="38"/>
      <x:c r="G213" s="38"/>
      <x:c r="H213" s="38"/>
      <x:c r="I213" s="38"/>
      <x:c r="J213" s="38"/>
      <x:c r="K213" s="38"/>
      <x:c r="L213" s="38"/>
      <x:c r="M213" s="38"/>
      <x:c r="N213" s="38"/>
      <x:c r="O213" s="38"/>
      <x:c r="P213" s="38"/>
      <x:c r="Q213" s="38"/>
      <x:c r="R213" s="38"/>
      <x:c r="S213" s="38"/>
      <x:c r="T213" s="38"/>
      <x:c r="U213" s="38"/>
      <x:c r="V213" s="38"/>
      <x:c r="W213" s="38"/>
      <x:c r="X213" s="38"/>
      <x:c r="Y213" s="38"/>
      <x:c r="Z213" s="38"/>
    </x:row>
    <x:row r="214">
      <x:c r="A214" s="38"/>
      <x:c r="B214" s="38"/>
      <x:c r="C214" s="38"/>
      <x:c r="D214" s="38"/>
      <x:c r="E214" s="38"/>
      <x:c r="F214" s="38"/>
      <x:c r="G214" s="38"/>
      <x:c r="H214" s="38"/>
      <x:c r="I214" s="38"/>
      <x:c r="J214" s="38"/>
      <x:c r="K214" s="38"/>
      <x:c r="L214" s="38"/>
      <x:c r="M214" s="38"/>
      <x:c r="N214" s="38"/>
      <x:c r="O214" s="38"/>
      <x:c r="P214" s="38"/>
      <x:c r="Q214" s="38"/>
      <x:c r="R214" s="38"/>
      <x:c r="S214" s="38"/>
      <x:c r="T214" s="38"/>
      <x:c r="U214" s="38"/>
      <x:c r="V214" s="38"/>
      <x:c r="W214" s="38"/>
      <x:c r="X214" s="38"/>
      <x:c r="Y214" s="38"/>
      <x:c r="Z214" s="38"/>
    </x:row>
    <x:row r="215">
      <x:c r="A215" s="38"/>
      <x:c r="B215" s="38"/>
      <x:c r="C215" s="38"/>
      <x:c r="D215" s="38"/>
      <x:c r="E215" s="38"/>
      <x:c r="F215" s="38"/>
      <x:c r="G215" s="38"/>
      <x:c r="H215" s="38"/>
      <x:c r="I215" s="38"/>
      <x:c r="J215" s="38"/>
      <x:c r="K215" s="38"/>
      <x:c r="L215" s="38"/>
      <x:c r="M215" s="38"/>
      <x:c r="N215" s="38"/>
      <x:c r="O215" s="38"/>
      <x:c r="P215" s="38"/>
      <x:c r="Q215" s="38"/>
      <x:c r="R215" s="38"/>
      <x:c r="S215" s="38"/>
      <x:c r="T215" s="38"/>
      <x:c r="U215" s="38"/>
      <x:c r="V215" s="38"/>
      <x:c r="W215" s="38"/>
      <x:c r="X215" s="38"/>
      <x:c r="Y215" s="38"/>
      <x:c r="Z215" s="38"/>
    </x:row>
    <x:row r="216">
      <x:c r="A216" s="38"/>
      <x:c r="B216" s="38"/>
      <x:c r="C216" s="38"/>
      <x:c r="D216" s="38"/>
      <x:c r="E216" s="38"/>
      <x:c r="F216" s="38"/>
      <x:c r="G216" s="38"/>
      <x:c r="H216" s="38"/>
      <x:c r="I216" s="38"/>
      <x:c r="J216" s="38"/>
      <x:c r="K216" s="38"/>
      <x:c r="L216" s="38"/>
      <x:c r="M216" s="38"/>
      <x:c r="N216" s="38"/>
      <x:c r="O216" s="38"/>
      <x:c r="P216" s="38"/>
      <x:c r="Q216" s="38"/>
      <x:c r="R216" s="38"/>
      <x:c r="S216" s="38"/>
      <x:c r="T216" s="38"/>
      <x:c r="U216" s="38"/>
      <x:c r="V216" s="38"/>
      <x:c r="W216" s="38"/>
      <x:c r="X216" s="38"/>
      <x:c r="Y216" s="38"/>
      <x:c r="Z216" s="38"/>
    </x:row>
    <x:row r="217">
      <x:c r="A217" s="38"/>
      <x:c r="B217" s="38"/>
      <x:c r="C217" s="38"/>
      <x:c r="D217" s="38"/>
      <x:c r="E217" s="38"/>
      <x:c r="F217" s="38"/>
      <x:c r="G217" s="38"/>
      <x:c r="H217" s="38"/>
      <x:c r="I217" s="38"/>
      <x:c r="J217" s="38"/>
      <x:c r="K217" s="38"/>
      <x:c r="L217" s="38"/>
      <x:c r="M217" s="38"/>
      <x:c r="N217" s="38"/>
      <x:c r="O217" s="38"/>
      <x:c r="P217" s="38"/>
      <x:c r="Q217" s="38"/>
      <x:c r="R217" s="38"/>
      <x:c r="S217" s="38"/>
      <x:c r="T217" s="38"/>
      <x:c r="U217" s="38"/>
      <x:c r="V217" s="38"/>
      <x:c r="W217" s="38"/>
      <x:c r="X217" s="38"/>
      <x:c r="Y217" s="38"/>
      <x:c r="Z217" s="38"/>
    </x:row>
    <x:row r="218">
      <x:c r="A218" s="38"/>
      <x:c r="B218" s="38"/>
      <x:c r="C218" s="38"/>
      <x:c r="D218" s="38"/>
      <x:c r="E218" s="38"/>
      <x:c r="F218" s="38"/>
      <x:c r="G218" s="38"/>
      <x:c r="H218" s="38"/>
      <x:c r="I218" s="38"/>
      <x:c r="J218" s="38"/>
      <x:c r="K218" s="38"/>
      <x:c r="L218" s="38"/>
      <x:c r="M218" s="38"/>
      <x:c r="N218" s="38"/>
      <x:c r="O218" s="38"/>
      <x:c r="P218" s="38"/>
      <x:c r="Q218" s="38"/>
      <x:c r="R218" s="38"/>
      <x:c r="S218" s="38"/>
      <x:c r="T218" s="38"/>
      <x:c r="U218" s="38"/>
      <x:c r="V218" s="38"/>
      <x:c r="W218" s="38"/>
      <x:c r="X218" s="38"/>
      <x:c r="Y218" s="38"/>
      <x:c r="Z218" s="38"/>
    </x:row>
    <x:row r="219">
      <x:c r="A219" s="38"/>
      <x:c r="B219" s="38"/>
      <x:c r="C219" s="38"/>
      <x:c r="D219" s="38"/>
      <x:c r="E219" s="38"/>
      <x:c r="F219" s="38"/>
      <x:c r="G219" s="38"/>
      <x:c r="H219" s="38"/>
      <x:c r="I219" s="38"/>
      <x:c r="J219" s="38"/>
      <x:c r="K219" s="38"/>
      <x:c r="L219" s="38"/>
      <x:c r="M219" s="38"/>
      <x:c r="N219" s="38"/>
      <x:c r="O219" s="38"/>
      <x:c r="P219" s="38"/>
      <x:c r="Q219" s="38"/>
      <x:c r="R219" s="38"/>
      <x:c r="S219" s="38"/>
      <x:c r="T219" s="38"/>
      <x:c r="U219" s="38"/>
      <x:c r="V219" s="38"/>
      <x:c r="W219" s="38"/>
      <x:c r="X219" s="38"/>
      <x:c r="Y219" s="38"/>
      <x:c r="Z219" s="38"/>
    </x:row>
    <x:row r="220">
      <x:c r="A220" s="38"/>
      <x:c r="B220" s="38"/>
      <x:c r="C220" s="38"/>
      <x:c r="D220" s="38"/>
      <x:c r="E220" s="38"/>
      <x:c r="F220" s="38"/>
      <x:c r="G220" s="38"/>
      <x:c r="H220" s="38"/>
      <x:c r="I220" s="38"/>
      <x:c r="J220" s="38"/>
      <x:c r="K220" s="38"/>
      <x:c r="L220" s="38"/>
      <x:c r="M220" s="38"/>
      <x:c r="N220" s="38"/>
      <x:c r="O220" s="38"/>
      <x:c r="P220" s="38"/>
      <x:c r="Q220" s="38"/>
      <x:c r="R220" s="38"/>
      <x:c r="S220" s="38"/>
      <x:c r="T220" s="38"/>
      <x:c r="U220" s="38"/>
      <x:c r="V220" s="38"/>
      <x:c r="W220" s="38"/>
      <x:c r="X220" s="38"/>
      <x:c r="Y220" s="38"/>
      <x:c r="Z220" s="38"/>
    </x:row>
    <x:row r="221">
      <x:c r="A221" s="38"/>
      <x:c r="B221" s="38"/>
      <x:c r="C221" s="38"/>
      <x:c r="D221" s="38"/>
      <x:c r="E221" s="38"/>
      <x:c r="F221" s="38"/>
      <x:c r="G221" s="38"/>
      <x:c r="H221" s="38"/>
      <x:c r="I221" s="38"/>
      <x:c r="J221" s="38"/>
      <x:c r="K221" s="38"/>
      <x:c r="L221" s="38"/>
      <x:c r="M221" s="38"/>
      <x:c r="N221" s="38"/>
      <x:c r="O221" s="38"/>
      <x:c r="P221" s="38"/>
      <x:c r="Q221" s="38"/>
      <x:c r="R221" s="38"/>
      <x:c r="S221" s="38"/>
      <x:c r="T221" s="38"/>
      <x:c r="U221" s="38"/>
      <x:c r="V221" s="38"/>
      <x:c r="W221" s="38"/>
      <x:c r="X221" s="38"/>
      <x:c r="Y221" s="38"/>
      <x:c r="Z221" s="38"/>
    </x:row>
    <x:row r="222">
      <x:c r="A222" s="38"/>
      <x:c r="B222" s="38"/>
      <x:c r="C222" s="38"/>
      <x:c r="D222" s="38"/>
      <x:c r="E222" s="38"/>
      <x:c r="F222" s="38"/>
      <x:c r="G222" s="38"/>
      <x:c r="H222" s="38"/>
      <x:c r="I222" s="38"/>
      <x:c r="J222" s="38"/>
      <x:c r="K222" s="38"/>
      <x:c r="L222" s="38"/>
      <x:c r="M222" s="38"/>
      <x:c r="N222" s="38"/>
      <x:c r="O222" s="38"/>
      <x:c r="P222" s="38"/>
      <x:c r="Q222" s="38"/>
      <x:c r="R222" s="38"/>
      <x:c r="S222" s="38"/>
      <x:c r="T222" s="38"/>
      <x:c r="U222" s="38"/>
      <x:c r="V222" s="38"/>
      <x:c r="W222" s="38"/>
      <x:c r="X222" s="38"/>
      <x:c r="Y222" s="38"/>
      <x:c r="Z222" s="38"/>
    </x:row>
    <x:row r="223">
      <x:c r="A223" s="38"/>
      <x:c r="B223" s="38"/>
      <x:c r="C223" s="38"/>
      <x:c r="D223" s="38"/>
      <x:c r="E223" s="38"/>
      <x:c r="F223" s="38"/>
      <x:c r="G223" s="38"/>
      <x:c r="H223" s="38"/>
      <x:c r="I223" s="38"/>
      <x:c r="J223" s="38"/>
      <x:c r="K223" s="38"/>
      <x:c r="L223" s="38"/>
      <x:c r="M223" s="38"/>
      <x:c r="N223" s="38"/>
      <x:c r="O223" s="38"/>
      <x:c r="P223" s="38"/>
      <x:c r="Q223" s="38"/>
      <x:c r="R223" s="38"/>
      <x:c r="S223" s="38"/>
      <x:c r="T223" s="38"/>
      <x:c r="U223" s="38"/>
      <x:c r="V223" s="38"/>
      <x:c r="W223" s="38"/>
      <x:c r="X223" s="38"/>
      <x:c r="Y223" s="38"/>
      <x:c r="Z223" s="38"/>
    </x:row>
    <x:row r="224">
      <x:c r="A224" s="38"/>
      <x:c r="B224" s="38"/>
      <x:c r="C224" s="38"/>
      <x:c r="D224" s="38"/>
      <x:c r="E224" s="38"/>
      <x:c r="F224" s="38"/>
      <x:c r="G224" s="38"/>
      <x:c r="H224" s="38"/>
      <x:c r="I224" s="38"/>
      <x:c r="J224" s="38"/>
      <x:c r="K224" s="38"/>
      <x:c r="L224" s="38"/>
      <x:c r="M224" s="38"/>
      <x:c r="N224" s="38"/>
      <x:c r="O224" s="38"/>
      <x:c r="P224" s="38"/>
      <x:c r="Q224" s="38"/>
      <x:c r="R224" s="38"/>
      <x:c r="S224" s="38"/>
      <x:c r="T224" s="38"/>
      <x:c r="U224" s="38"/>
      <x:c r="V224" s="38"/>
      <x:c r="W224" s="38"/>
      <x:c r="X224" s="38"/>
      <x:c r="Y224" s="38"/>
      <x:c r="Z224" s="38"/>
    </x:row>
    <x:row r="225">
      <x:c r="A225" s="38"/>
      <x:c r="B225" s="38"/>
      <x:c r="C225" s="38"/>
      <x:c r="D225" s="38"/>
      <x:c r="E225" s="38"/>
      <x:c r="F225" s="38"/>
      <x:c r="G225" s="38"/>
      <x:c r="H225" s="38"/>
      <x:c r="I225" s="38"/>
      <x:c r="J225" s="38"/>
      <x:c r="K225" s="38"/>
      <x:c r="L225" s="38"/>
      <x:c r="M225" s="38"/>
      <x:c r="N225" s="38"/>
      <x:c r="O225" s="38"/>
      <x:c r="P225" s="38"/>
      <x:c r="Q225" s="38"/>
      <x:c r="R225" s="38"/>
      <x:c r="S225" s="38"/>
      <x:c r="T225" s="38"/>
      <x:c r="U225" s="38"/>
      <x:c r="V225" s="38"/>
      <x:c r="W225" s="38"/>
      <x:c r="X225" s="38"/>
      <x:c r="Y225" s="38"/>
      <x:c r="Z225" s="38"/>
    </x:row>
    <x:row r="226">
      <x:c r="A226" s="38"/>
      <x:c r="B226" s="38"/>
      <x:c r="C226" s="38"/>
      <x:c r="D226" s="38"/>
      <x:c r="E226" s="38"/>
      <x:c r="F226" s="38"/>
      <x:c r="G226" s="38"/>
      <x:c r="H226" s="38"/>
      <x:c r="I226" s="38"/>
      <x:c r="J226" s="38"/>
      <x:c r="K226" s="38"/>
      <x:c r="L226" s="38"/>
      <x:c r="M226" s="38"/>
      <x:c r="N226" s="38"/>
      <x:c r="O226" s="38"/>
      <x:c r="P226" s="38"/>
      <x:c r="Q226" s="38"/>
      <x:c r="R226" s="38"/>
      <x:c r="S226" s="38"/>
      <x:c r="T226" s="38"/>
      <x:c r="U226" s="38"/>
      <x:c r="V226" s="38"/>
      <x:c r="W226" s="38"/>
      <x:c r="X226" s="38"/>
      <x:c r="Y226" s="38"/>
      <x:c r="Z226" s="38"/>
    </x:row>
    <x:row r="227">
      <x:c r="A227" s="38"/>
      <x:c r="B227" s="38"/>
      <x:c r="C227" s="38"/>
      <x:c r="D227" s="38"/>
      <x:c r="E227" s="38"/>
      <x:c r="F227" s="38"/>
      <x:c r="G227" s="38"/>
      <x:c r="H227" s="38"/>
      <x:c r="I227" s="38"/>
      <x:c r="J227" s="38"/>
      <x:c r="K227" s="38"/>
      <x:c r="L227" s="38"/>
      <x:c r="M227" s="38"/>
      <x:c r="N227" s="38"/>
      <x:c r="O227" s="38"/>
      <x:c r="P227" s="38"/>
      <x:c r="Q227" s="38"/>
      <x:c r="R227" s="38"/>
      <x:c r="S227" s="38"/>
      <x:c r="T227" s="38"/>
      <x:c r="U227" s="38"/>
      <x:c r="V227" s="38"/>
      <x:c r="W227" s="38"/>
      <x:c r="X227" s="38"/>
      <x:c r="Y227" s="38"/>
      <x:c r="Z227" s="38"/>
    </x:row>
    <x:row r="228">
      <x:c r="A228" s="38"/>
      <x:c r="B228" s="38"/>
      <x:c r="C228" s="38"/>
      <x:c r="D228" s="38"/>
      <x:c r="E228" s="38"/>
      <x:c r="F228" s="38"/>
      <x:c r="G228" s="38"/>
      <x:c r="H228" s="38"/>
      <x:c r="I228" s="38"/>
      <x:c r="J228" s="38"/>
      <x:c r="K228" s="38"/>
      <x:c r="L228" s="38"/>
      <x:c r="M228" s="38"/>
      <x:c r="N228" s="38"/>
      <x:c r="O228" s="38"/>
      <x:c r="P228" s="38"/>
      <x:c r="Q228" s="38"/>
      <x:c r="R228" s="38"/>
      <x:c r="S228" s="38"/>
      <x:c r="T228" s="38"/>
      <x:c r="U228" s="38"/>
      <x:c r="V228" s="38"/>
      <x:c r="W228" s="38"/>
      <x:c r="X228" s="38"/>
      <x:c r="Y228" s="38"/>
      <x:c r="Z228" s="38"/>
    </x:row>
    <x:row r="229">
      <x:c r="A229" s="38"/>
      <x:c r="B229" s="38"/>
      <x:c r="C229" s="38"/>
      <x:c r="D229" s="38"/>
      <x:c r="E229" s="38"/>
      <x:c r="F229" s="38"/>
      <x:c r="G229" s="38"/>
      <x:c r="H229" s="38"/>
      <x:c r="I229" s="38"/>
      <x:c r="J229" s="38"/>
      <x:c r="K229" s="38"/>
      <x:c r="L229" s="38"/>
      <x:c r="M229" s="38"/>
      <x:c r="N229" s="38"/>
      <x:c r="O229" s="38"/>
      <x:c r="P229" s="38"/>
      <x:c r="Q229" s="38"/>
      <x:c r="R229" s="38"/>
      <x:c r="S229" s="38"/>
      <x:c r="T229" s="38"/>
      <x:c r="U229" s="38"/>
      <x:c r="V229" s="38"/>
      <x:c r="W229" s="38"/>
      <x:c r="X229" s="38"/>
      <x:c r="Y229" s="38"/>
      <x:c r="Z229" s="38"/>
    </x:row>
    <x:row r="230">
      <x:c r="A230" s="38"/>
      <x:c r="B230" s="38"/>
      <x:c r="C230" s="38"/>
      <x:c r="D230" s="38"/>
      <x:c r="E230" s="38"/>
      <x:c r="F230" s="38"/>
      <x:c r="G230" s="38"/>
      <x:c r="H230" s="38"/>
      <x:c r="I230" s="38"/>
      <x:c r="J230" s="38"/>
      <x:c r="K230" s="38"/>
      <x:c r="L230" s="38"/>
      <x:c r="M230" s="38"/>
      <x:c r="N230" s="38"/>
      <x:c r="O230" s="38"/>
      <x:c r="P230" s="38"/>
      <x:c r="Q230" s="38"/>
      <x:c r="R230" s="38"/>
      <x:c r="S230" s="38"/>
      <x:c r="T230" s="38"/>
      <x:c r="U230" s="38"/>
      <x:c r="V230" s="38"/>
      <x:c r="W230" s="38"/>
      <x:c r="X230" s="38"/>
      <x:c r="Y230" s="38"/>
      <x:c r="Z230" s="38"/>
    </x:row>
    <x:row r="231">
      <x:c r="A231" s="38"/>
      <x:c r="B231" s="38"/>
      <x:c r="C231" s="38"/>
      <x:c r="D231" s="38"/>
      <x:c r="E231" s="38"/>
      <x:c r="F231" s="38"/>
      <x:c r="G231" s="38"/>
      <x:c r="H231" s="38"/>
      <x:c r="I231" s="38"/>
      <x:c r="J231" s="38"/>
      <x:c r="K231" s="38"/>
      <x:c r="L231" s="38"/>
      <x:c r="M231" s="38"/>
      <x:c r="N231" s="38"/>
      <x:c r="O231" s="38"/>
      <x:c r="P231" s="38"/>
      <x:c r="Q231" s="38"/>
      <x:c r="R231" s="38"/>
      <x:c r="S231" s="38"/>
      <x:c r="T231" s="38"/>
      <x:c r="U231" s="38"/>
      <x:c r="V231" s="38"/>
      <x:c r="W231" s="38"/>
      <x:c r="X231" s="38"/>
      <x:c r="Y231" s="38"/>
      <x:c r="Z231" s="38"/>
    </x:row>
    <x:row r="232">
      <x:c r="A232" s="38"/>
      <x:c r="B232" s="38"/>
      <x:c r="C232" s="38"/>
      <x:c r="D232" s="38"/>
      <x:c r="E232" s="38"/>
      <x:c r="F232" s="38"/>
      <x:c r="G232" s="38"/>
      <x:c r="H232" s="38"/>
      <x:c r="I232" s="38"/>
      <x:c r="J232" s="38"/>
      <x:c r="K232" s="38"/>
      <x:c r="L232" s="38"/>
      <x:c r="M232" s="38"/>
      <x:c r="N232" s="38"/>
      <x:c r="O232" s="38"/>
      <x:c r="P232" s="38"/>
      <x:c r="Q232" s="38"/>
      <x:c r="R232" s="38"/>
      <x:c r="S232" s="38"/>
      <x:c r="T232" s="38"/>
      <x:c r="U232" s="38"/>
      <x:c r="V232" s="38"/>
      <x:c r="W232" s="38"/>
      <x:c r="X232" s="38"/>
      <x:c r="Y232" s="38"/>
      <x:c r="Z232" s="38"/>
    </x:row>
    <x:row r="233">
      <x:c r="A233" s="38"/>
      <x:c r="B233" s="38"/>
      <x:c r="C233" s="38"/>
      <x:c r="D233" s="38"/>
      <x:c r="E233" s="38"/>
      <x:c r="F233" s="38"/>
      <x:c r="G233" s="38"/>
      <x:c r="H233" s="38"/>
      <x:c r="I233" s="38"/>
      <x:c r="J233" s="38"/>
      <x:c r="K233" s="38"/>
      <x:c r="L233" s="38"/>
      <x:c r="M233" s="38"/>
      <x:c r="N233" s="38"/>
      <x:c r="O233" s="38"/>
      <x:c r="P233" s="38"/>
      <x:c r="Q233" s="38"/>
      <x:c r="R233" s="38"/>
      <x:c r="S233" s="38"/>
      <x:c r="T233" s="38"/>
      <x:c r="U233" s="38"/>
      <x:c r="V233" s="38"/>
      <x:c r="W233" s="38"/>
      <x:c r="X233" s="38"/>
      <x:c r="Y233" s="38"/>
      <x:c r="Z233" s="38"/>
    </x:row>
    <x:row r="234">
      <x:c r="A234" s="38"/>
      <x:c r="B234" s="38"/>
      <x:c r="C234" s="38"/>
      <x:c r="D234" s="38"/>
      <x:c r="E234" s="38"/>
      <x:c r="F234" s="38"/>
      <x:c r="G234" s="38"/>
      <x:c r="H234" s="38"/>
      <x:c r="I234" s="38"/>
      <x:c r="J234" s="38"/>
      <x:c r="K234" s="38"/>
      <x:c r="L234" s="38"/>
      <x:c r="M234" s="38"/>
      <x:c r="N234" s="38"/>
      <x:c r="O234" s="38"/>
      <x:c r="P234" s="38"/>
      <x:c r="Q234" s="38"/>
      <x:c r="R234" s="38"/>
      <x:c r="S234" s="38"/>
      <x:c r="T234" s="38"/>
      <x:c r="U234" s="38"/>
      <x:c r="V234" s="38"/>
      <x:c r="W234" s="38"/>
      <x:c r="X234" s="38"/>
      <x:c r="Y234" s="38"/>
      <x:c r="Z234" s="38"/>
    </x:row>
    <x:row r="235">
      <x:c r="A235" s="38"/>
      <x:c r="B235" s="38"/>
      <x:c r="C235" s="38"/>
      <x:c r="D235" s="38"/>
      <x:c r="E235" s="38"/>
      <x:c r="F235" s="38"/>
      <x:c r="G235" s="38"/>
      <x:c r="H235" s="38"/>
      <x:c r="I235" s="38"/>
      <x:c r="J235" s="38"/>
      <x:c r="K235" s="38"/>
      <x:c r="L235" s="38"/>
      <x:c r="M235" s="38"/>
      <x:c r="N235" s="38"/>
      <x:c r="O235" s="38"/>
      <x:c r="P235" s="38"/>
      <x:c r="Q235" s="38"/>
      <x:c r="R235" s="38"/>
      <x:c r="S235" s="38"/>
      <x:c r="T235" s="38"/>
      <x:c r="U235" s="38"/>
      <x:c r="V235" s="38"/>
      <x:c r="W235" s="38"/>
      <x:c r="X235" s="38"/>
      <x:c r="Y235" s="38"/>
      <x:c r="Z235" s="38"/>
    </x:row>
    <x:row r="236">
      <x:c r="A236" s="38"/>
      <x:c r="B236" s="38"/>
      <x:c r="C236" s="38"/>
      <x:c r="D236" s="38"/>
      <x:c r="E236" s="38"/>
      <x:c r="F236" s="38"/>
      <x:c r="G236" s="38"/>
      <x:c r="H236" s="38"/>
      <x:c r="I236" s="38"/>
      <x:c r="J236" s="38"/>
      <x:c r="K236" s="38"/>
      <x:c r="L236" s="38"/>
      <x:c r="M236" s="38"/>
      <x:c r="N236" s="38"/>
      <x:c r="O236" s="38"/>
      <x:c r="P236" s="38"/>
      <x:c r="Q236" s="38"/>
      <x:c r="R236" s="38"/>
      <x:c r="S236" s="38"/>
      <x:c r="T236" s="38"/>
      <x:c r="U236" s="38"/>
      <x:c r="V236" s="38"/>
      <x:c r="W236" s="38"/>
      <x:c r="X236" s="38"/>
      <x:c r="Y236" s="38"/>
      <x:c r="Z236" s="38"/>
    </x:row>
    <x:row r="237">
      <x:c r="A237" s="38"/>
      <x:c r="B237" s="38"/>
      <x:c r="C237" s="38"/>
      <x:c r="D237" s="38"/>
      <x:c r="E237" s="38"/>
      <x:c r="F237" s="38"/>
      <x:c r="G237" s="38"/>
      <x:c r="H237" s="38"/>
      <x:c r="I237" s="38"/>
      <x:c r="J237" s="38"/>
      <x:c r="K237" s="38"/>
      <x:c r="L237" s="38"/>
      <x:c r="M237" s="38"/>
      <x:c r="N237" s="38"/>
      <x:c r="O237" s="38"/>
      <x:c r="P237" s="38"/>
      <x:c r="Q237" s="38"/>
      <x:c r="R237" s="38"/>
      <x:c r="S237" s="38"/>
      <x:c r="T237" s="38"/>
      <x:c r="U237" s="38"/>
      <x:c r="V237" s="38"/>
      <x:c r="W237" s="38"/>
      <x:c r="X237" s="38"/>
      <x:c r="Y237" s="38"/>
      <x:c r="Z237" s="38"/>
    </x:row>
    <x:row r="238">
      <x:c r="A238" s="38"/>
      <x:c r="B238" s="38"/>
      <x:c r="C238" s="38"/>
      <x:c r="D238" s="38"/>
      <x:c r="E238" s="38"/>
      <x:c r="F238" s="38"/>
      <x:c r="G238" s="38"/>
      <x:c r="H238" s="38"/>
      <x:c r="I238" s="38"/>
      <x:c r="J238" s="38"/>
      <x:c r="K238" s="38"/>
      <x:c r="L238" s="38"/>
      <x:c r="M238" s="38"/>
      <x:c r="N238" s="38"/>
      <x:c r="O238" s="38"/>
      <x:c r="P238" s="38"/>
      <x:c r="Q238" s="38"/>
      <x:c r="R238" s="38"/>
      <x:c r="S238" s="38"/>
      <x:c r="T238" s="38"/>
      <x:c r="U238" s="38"/>
      <x:c r="V238" s="38"/>
      <x:c r="W238" s="38"/>
      <x:c r="X238" s="38"/>
      <x:c r="Y238" s="38"/>
      <x:c r="Z238" s="38"/>
    </x:row>
    <x:row r="239">
      <x:c r="A239" s="38"/>
      <x:c r="B239" s="38"/>
      <x:c r="C239" s="38"/>
      <x:c r="D239" s="38"/>
      <x:c r="E239" s="38"/>
      <x:c r="F239" s="38"/>
      <x:c r="G239" s="38"/>
      <x:c r="H239" s="38"/>
      <x:c r="I239" s="38"/>
      <x:c r="J239" s="38"/>
      <x:c r="K239" s="38"/>
      <x:c r="L239" s="38"/>
      <x:c r="M239" s="38"/>
      <x:c r="N239" s="38"/>
      <x:c r="O239" s="38"/>
      <x:c r="P239" s="38"/>
      <x:c r="Q239" s="38"/>
      <x:c r="R239" s="38"/>
      <x:c r="S239" s="38"/>
      <x:c r="T239" s="38"/>
      <x:c r="U239" s="38"/>
      <x:c r="V239" s="38"/>
      <x:c r="W239" s="38"/>
      <x:c r="X239" s="38"/>
      <x:c r="Y239" s="38"/>
      <x:c r="Z239" s="38"/>
    </x:row>
    <x:row r="240">
      <x:c r="A240" s="38"/>
      <x:c r="B240" s="38"/>
      <x:c r="C240" s="38"/>
      <x:c r="D240" s="38"/>
      <x:c r="E240" s="38"/>
      <x:c r="F240" s="38"/>
      <x:c r="G240" s="38"/>
      <x:c r="H240" s="38"/>
      <x:c r="I240" s="38"/>
      <x:c r="J240" s="38"/>
      <x:c r="K240" s="38"/>
      <x:c r="L240" s="38"/>
      <x:c r="M240" s="38"/>
      <x:c r="N240" s="38"/>
      <x:c r="O240" s="38"/>
      <x:c r="P240" s="38"/>
      <x:c r="Q240" s="38"/>
      <x:c r="R240" s="38"/>
      <x:c r="S240" s="38"/>
      <x:c r="T240" s="38"/>
      <x:c r="U240" s="38"/>
      <x:c r="V240" s="38"/>
      <x:c r="W240" s="38"/>
      <x:c r="X240" s="38"/>
      <x:c r="Y240" s="38"/>
      <x:c r="Z240" s="38"/>
    </x:row>
    <x:row r="241">
      <x:c r="A241" s="38"/>
      <x:c r="B241" s="38"/>
      <x:c r="C241" s="38"/>
      <x:c r="D241" s="38"/>
      <x:c r="E241" s="38"/>
      <x:c r="F241" s="38"/>
      <x:c r="G241" s="38"/>
      <x:c r="H241" s="38"/>
      <x:c r="I241" s="38"/>
      <x:c r="J241" s="38"/>
      <x:c r="K241" s="38"/>
      <x:c r="L241" s="38"/>
      <x:c r="M241" s="38"/>
      <x:c r="N241" s="38"/>
      <x:c r="O241" s="38"/>
      <x:c r="P241" s="38"/>
      <x:c r="Q241" s="38"/>
      <x:c r="R241" s="38"/>
      <x:c r="S241" s="38"/>
      <x:c r="T241" s="38"/>
      <x:c r="U241" s="38"/>
      <x:c r="V241" s="38"/>
      <x:c r="W241" s="38"/>
      <x:c r="X241" s="38"/>
      <x:c r="Y241" s="38"/>
      <x:c r="Z241" s="38"/>
    </x:row>
    <x:row r="242">
      <x:c r="A242" s="38"/>
      <x:c r="B242" s="38"/>
      <x:c r="C242" s="38"/>
      <x:c r="D242" s="38"/>
      <x:c r="E242" s="38"/>
      <x:c r="F242" s="38"/>
      <x:c r="G242" s="38"/>
      <x:c r="H242" s="38"/>
      <x:c r="I242" s="38"/>
      <x:c r="J242" s="38"/>
      <x:c r="K242" s="38"/>
      <x:c r="L242" s="38"/>
      <x:c r="M242" s="38"/>
      <x:c r="N242" s="38"/>
      <x:c r="O242" s="38"/>
      <x:c r="P242" s="38"/>
      <x:c r="Q242" s="38"/>
      <x:c r="R242" s="38"/>
      <x:c r="S242" s="38"/>
      <x:c r="T242" s="38"/>
      <x:c r="U242" s="38"/>
      <x:c r="V242" s="38"/>
      <x:c r="W242" s="38"/>
      <x:c r="X242" s="38"/>
      <x:c r="Y242" s="38"/>
      <x:c r="Z242" s="38"/>
    </x:row>
    <x:row r="243">
      <x:c r="A243" s="38"/>
      <x:c r="B243" s="38"/>
      <x:c r="C243" s="38"/>
      <x:c r="D243" s="38"/>
      <x:c r="E243" s="38"/>
      <x:c r="F243" s="38"/>
      <x:c r="G243" s="38"/>
      <x:c r="H243" s="38"/>
      <x:c r="I243" s="38"/>
      <x:c r="J243" s="38"/>
      <x:c r="K243" s="38"/>
      <x:c r="L243" s="38"/>
      <x:c r="M243" s="38"/>
      <x:c r="N243" s="38"/>
      <x:c r="O243" s="38"/>
      <x:c r="P243" s="38"/>
      <x:c r="Q243" s="38"/>
      <x:c r="R243" s="38"/>
      <x:c r="S243" s="38"/>
      <x:c r="T243" s="38"/>
      <x:c r="U243" s="38"/>
      <x:c r="V243" s="38"/>
      <x:c r="W243" s="38"/>
      <x:c r="X243" s="38"/>
      <x:c r="Y243" s="38"/>
      <x:c r="Z243" s="38"/>
    </x:row>
    <x:row r="244">
      <x:c r="A244" s="38"/>
      <x:c r="B244" s="38"/>
      <x:c r="C244" s="38"/>
      <x:c r="D244" s="38"/>
      <x:c r="E244" s="38"/>
      <x:c r="F244" s="38"/>
      <x:c r="G244" s="38"/>
      <x:c r="H244" s="38"/>
      <x:c r="I244" s="38"/>
      <x:c r="J244" s="38"/>
      <x:c r="K244" s="38"/>
      <x:c r="L244" s="38"/>
      <x:c r="M244" s="38"/>
      <x:c r="N244" s="38"/>
      <x:c r="O244" s="38"/>
      <x:c r="P244" s="38"/>
      <x:c r="Q244" s="38"/>
      <x:c r="R244" s="38"/>
      <x:c r="S244" s="38"/>
      <x:c r="T244" s="38"/>
      <x:c r="U244" s="38"/>
      <x:c r="V244" s="38"/>
      <x:c r="W244" s="38"/>
      <x:c r="X244" s="38"/>
      <x:c r="Y244" s="38"/>
      <x:c r="Z244" s="38"/>
    </x:row>
    <x:row r="245">
      <x:c r="A245" s="38"/>
      <x:c r="B245" s="38"/>
      <x:c r="C245" s="38"/>
      <x:c r="D245" s="38"/>
      <x:c r="E245" s="38"/>
      <x:c r="F245" s="38"/>
      <x:c r="G245" s="38"/>
      <x:c r="H245" s="38"/>
      <x:c r="I245" s="38"/>
      <x:c r="J245" s="38"/>
      <x:c r="K245" s="38"/>
      <x:c r="L245" s="38"/>
      <x:c r="M245" s="38"/>
      <x:c r="N245" s="38"/>
      <x:c r="O245" s="38"/>
      <x:c r="P245" s="38"/>
      <x:c r="Q245" s="38"/>
      <x:c r="R245" s="38"/>
      <x:c r="S245" s="38"/>
      <x:c r="T245" s="38"/>
      <x:c r="U245" s="38"/>
      <x:c r="V245" s="38"/>
      <x:c r="W245" s="38"/>
      <x:c r="X245" s="38"/>
      <x:c r="Y245" s="38"/>
      <x:c r="Z245" s="38"/>
    </x:row>
    <x:row r="246">
      <x:c r="A246" s="38"/>
      <x:c r="B246" s="38"/>
      <x:c r="C246" s="38"/>
      <x:c r="D246" s="38"/>
      <x:c r="E246" s="38"/>
      <x:c r="F246" s="38"/>
      <x:c r="G246" s="38"/>
      <x:c r="H246" s="38"/>
      <x:c r="I246" s="38"/>
      <x:c r="J246" s="38"/>
      <x:c r="K246" s="38"/>
      <x:c r="L246" s="38"/>
      <x:c r="M246" s="38"/>
      <x:c r="N246" s="38"/>
      <x:c r="O246" s="38"/>
      <x:c r="P246" s="38"/>
      <x:c r="Q246" s="38"/>
      <x:c r="R246" s="38"/>
      <x:c r="S246" s="38"/>
      <x:c r="T246" s="38"/>
      <x:c r="U246" s="38"/>
      <x:c r="V246" s="38"/>
      <x:c r="W246" s="38"/>
      <x:c r="X246" s="38"/>
      <x:c r="Y246" s="38"/>
      <x:c r="Z246" s="38"/>
    </x:row>
    <x:row r="247">
      <x:c r="A247" s="38"/>
      <x:c r="B247" s="38"/>
      <x:c r="C247" s="38"/>
      <x:c r="D247" s="38"/>
      <x:c r="E247" s="38"/>
      <x:c r="F247" s="38"/>
      <x:c r="G247" s="38"/>
      <x:c r="H247" s="38"/>
      <x:c r="I247" s="38"/>
      <x:c r="J247" s="38"/>
      <x:c r="K247" s="38"/>
      <x:c r="L247" s="38"/>
      <x:c r="M247" s="38"/>
      <x:c r="N247" s="38"/>
      <x:c r="O247" s="38"/>
      <x:c r="P247" s="38"/>
      <x:c r="Q247" s="38"/>
      <x:c r="R247" s="38"/>
      <x:c r="S247" s="38"/>
      <x:c r="T247" s="38"/>
      <x:c r="U247" s="38"/>
      <x:c r="V247" s="38"/>
      <x:c r="W247" s="38"/>
      <x:c r="X247" s="38"/>
      <x:c r="Y247" s="38"/>
      <x:c r="Z247" s="38"/>
    </x:row>
    <x:row r="248">
      <x:c r="A248" s="38"/>
      <x:c r="B248" s="38"/>
      <x:c r="C248" s="38"/>
      <x:c r="D248" s="38"/>
      <x:c r="E248" s="38"/>
      <x:c r="F248" s="38"/>
      <x:c r="G248" s="38"/>
      <x:c r="H248" s="38"/>
      <x:c r="I248" s="38"/>
      <x:c r="J248" s="38"/>
      <x:c r="K248" s="38"/>
      <x:c r="L248" s="38"/>
      <x:c r="M248" s="38"/>
      <x:c r="N248" s="38"/>
      <x:c r="O248" s="38"/>
      <x:c r="P248" s="38"/>
      <x:c r="Q248" s="38"/>
      <x:c r="R248" s="38"/>
      <x:c r="S248" s="38"/>
      <x:c r="T248" s="38"/>
      <x:c r="U248" s="38"/>
      <x:c r="V248" s="38"/>
      <x:c r="W248" s="38"/>
      <x:c r="X248" s="38"/>
      <x:c r="Y248" s="38"/>
      <x:c r="Z248" s="38"/>
    </x:row>
    <x:row r="249">
      <x:c r="A249" s="38"/>
      <x:c r="B249" s="38"/>
      <x:c r="C249" s="38"/>
      <x:c r="D249" s="38"/>
      <x:c r="E249" s="38"/>
      <x:c r="F249" s="38"/>
      <x:c r="G249" s="38"/>
      <x:c r="H249" s="38"/>
      <x:c r="I249" s="38"/>
      <x:c r="J249" s="38"/>
      <x:c r="K249" s="38"/>
      <x:c r="L249" s="38"/>
      <x:c r="M249" s="38"/>
      <x:c r="N249" s="38"/>
      <x:c r="O249" s="38"/>
      <x:c r="P249" s="38"/>
      <x:c r="Q249" s="38"/>
      <x:c r="R249" s="38"/>
      <x:c r="S249" s="38"/>
      <x:c r="T249" s="38"/>
      <x:c r="U249" s="38"/>
      <x:c r="V249" s="38"/>
      <x:c r="W249" s="38"/>
      <x:c r="X249" s="38"/>
      <x:c r="Y249" s="38"/>
      <x:c r="Z249" s="38"/>
    </x:row>
    <x:row r="250">
      <x:c r="A250" s="38"/>
      <x:c r="B250" s="38"/>
      <x:c r="C250" s="38"/>
      <x:c r="D250" s="38"/>
      <x:c r="E250" s="38"/>
      <x:c r="F250" s="38"/>
      <x:c r="G250" s="38"/>
      <x:c r="H250" s="38"/>
      <x:c r="I250" s="38"/>
      <x:c r="J250" s="38"/>
      <x:c r="K250" s="38"/>
      <x:c r="L250" s="38"/>
      <x:c r="M250" s="38"/>
      <x:c r="N250" s="38"/>
      <x:c r="O250" s="38"/>
      <x:c r="P250" s="38"/>
      <x:c r="Q250" s="38"/>
      <x:c r="R250" s="38"/>
      <x:c r="S250" s="38"/>
      <x:c r="T250" s="38"/>
      <x:c r="U250" s="38"/>
      <x:c r="V250" s="38"/>
      <x:c r="W250" s="38"/>
      <x:c r="X250" s="38"/>
      <x:c r="Y250" s="38"/>
      <x:c r="Z250" s="38"/>
    </x:row>
    <x:row r="251">
      <x:c r="A251" s="38"/>
      <x:c r="B251" s="38"/>
      <x:c r="C251" s="38"/>
      <x:c r="D251" s="38"/>
      <x:c r="E251" s="38"/>
      <x:c r="F251" s="38"/>
      <x:c r="G251" s="38"/>
      <x:c r="H251" s="38"/>
      <x:c r="I251" s="38"/>
      <x:c r="J251" s="38"/>
      <x:c r="K251" s="38"/>
      <x:c r="L251" s="38"/>
      <x:c r="M251" s="38"/>
      <x:c r="N251" s="38"/>
      <x:c r="O251" s="38"/>
      <x:c r="P251" s="38"/>
      <x:c r="Q251" s="38"/>
      <x:c r="R251" s="38"/>
      <x:c r="S251" s="38"/>
      <x:c r="T251" s="38"/>
      <x:c r="U251" s="38"/>
      <x:c r="V251" s="38"/>
      <x:c r="W251" s="38"/>
      <x:c r="X251" s="38"/>
      <x:c r="Y251" s="38"/>
      <x:c r="Z251" s="38"/>
    </x:row>
    <x:row r="252">
      <x:c r="A252" s="38"/>
      <x:c r="B252" s="38"/>
      <x:c r="C252" s="38"/>
      <x:c r="D252" s="38"/>
      <x:c r="E252" s="38"/>
      <x:c r="F252" s="38"/>
      <x:c r="G252" s="38"/>
      <x:c r="H252" s="38"/>
      <x:c r="I252" s="38"/>
      <x:c r="J252" s="38"/>
      <x:c r="K252" s="38"/>
      <x:c r="L252" s="38"/>
      <x:c r="M252" s="38"/>
      <x:c r="N252" s="38"/>
      <x:c r="O252" s="38"/>
      <x:c r="P252" s="38"/>
      <x:c r="Q252" s="38"/>
      <x:c r="R252" s="38"/>
      <x:c r="S252" s="38"/>
      <x:c r="T252" s="38"/>
      <x:c r="U252" s="38"/>
      <x:c r="V252" s="38"/>
      <x:c r="W252" s="38"/>
      <x:c r="X252" s="38"/>
      <x:c r="Y252" s="38"/>
      <x:c r="Z252" s="38"/>
    </x:row>
    <x:row r="253">
      <x:c r="A253" s="38"/>
      <x:c r="B253" s="38"/>
      <x:c r="C253" s="38"/>
      <x:c r="D253" s="38"/>
      <x:c r="E253" s="38"/>
      <x:c r="F253" s="38"/>
      <x:c r="G253" s="38"/>
      <x:c r="H253" s="38"/>
      <x:c r="I253" s="38"/>
      <x:c r="J253" s="38"/>
      <x:c r="K253" s="38"/>
      <x:c r="L253" s="38"/>
      <x:c r="M253" s="38"/>
      <x:c r="N253" s="38"/>
      <x:c r="O253" s="38"/>
      <x:c r="P253" s="38"/>
      <x:c r="Q253" s="38"/>
      <x:c r="R253" s="38"/>
      <x:c r="S253" s="38"/>
      <x:c r="T253" s="38"/>
      <x:c r="U253" s="38"/>
      <x:c r="V253" s="38"/>
      <x:c r="W253" s="38"/>
      <x:c r="X253" s="38"/>
      <x:c r="Y253" s="38"/>
      <x:c r="Z253" s="38"/>
    </x:row>
    <x:row r="254">
      <x:c r="A254" s="38"/>
      <x:c r="B254" s="38"/>
      <x:c r="C254" s="38"/>
      <x:c r="D254" s="38"/>
      <x:c r="E254" s="38"/>
      <x:c r="F254" s="38"/>
      <x:c r="G254" s="38"/>
      <x:c r="H254" s="38"/>
      <x:c r="I254" s="38"/>
      <x:c r="J254" s="38"/>
      <x:c r="K254" s="38"/>
      <x:c r="L254" s="38"/>
      <x:c r="M254" s="38"/>
      <x:c r="N254" s="38"/>
      <x:c r="O254" s="38"/>
      <x:c r="P254" s="38"/>
      <x:c r="Q254" s="38"/>
      <x:c r="R254" s="38"/>
      <x:c r="S254" s="38"/>
      <x:c r="T254" s="38"/>
      <x:c r="U254" s="38"/>
      <x:c r="V254" s="38"/>
      <x:c r="W254" s="38"/>
      <x:c r="X254" s="38"/>
      <x:c r="Y254" s="38"/>
      <x:c r="Z254" s="38"/>
    </x:row>
    <x:row r="255">
      <x:c r="A255" s="38"/>
      <x:c r="B255" s="38"/>
      <x:c r="C255" s="38"/>
      <x:c r="D255" s="38"/>
      <x:c r="E255" s="38"/>
      <x:c r="F255" s="38"/>
      <x:c r="G255" s="38"/>
      <x:c r="H255" s="38"/>
      <x:c r="I255" s="38"/>
      <x:c r="J255" s="38"/>
      <x:c r="K255" s="38"/>
      <x:c r="L255" s="38"/>
      <x:c r="M255" s="38"/>
      <x:c r="N255" s="38"/>
      <x:c r="O255" s="38"/>
      <x:c r="P255" s="38"/>
      <x:c r="Q255" s="38"/>
      <x:c r="R255" s="38"/>
      <x:c r="S255" s="38"/>
      <x:c r="T255" s="38"/>
      <x:c r="U255" s="38"/>
      <x:c r="V255" s="38"/>
      <x:c r="W255" s="38"/>
      <x:c r="X255" s="38"/>
      <x:c r="Y255" s="38"/>
      <x:c r="Z255" s="38"/>
    </x:row>
    <x:row r="256">
      <x:c r="A256" s="38"/>
      <x:c r="B256" s="38"/>
      <x:c r="C256" s="38"/>
      <x:c r="D256" s="38"/>
      <x:c r="E256" s="38"/>
      <x:c r="F256" s="38"/>
      <x:c r="G256" s="38"/>
      <x:c r="H256" s="38"/>
      <x:c r="I256" s="38"/>
      <x:c r="J256" s="38"/>
      <x:c r="K256" s="38"/>
      <x:c r="L256" s="38"/>
      <x:c r="M256" s="38"/>
      <x:c r="N256" s="38"/>
      <x:c r="O256" s="38"/>
      <x:c r="P256" s="38"/>
      <x:c r="Q256" s="38"/>
      <x:c r="R256" s="38"/>
      <x:c r="S256" s="38"/>
      <x:c r="T256" s="38"/>
      <x:c r="U256" s="38"/>
      <x:c r="V256" s="38"/>
      <x:c r="W256" s="38"/>
      <x:c r="X256" s="38"/>
      <x:c r="Y256" s="38"/>
      <x:c r="Z256" s="38"/>
    </x:row>
    <x:row r="257">
      <x:c r="A257" s="38"/>
      <x:c r="B257" s="38"/>
      <x:c r="C257" s="38"/>
      <x:c r="D257" s="38"/>
      <x:c r="E257" s="38"/>
      <x:c r="F257" s="38"/>
      <x:c r="G257" s="38"/>
      <x:c r="H257" s="38"/>
      <x:c r="I257" s="38"/>
      <x:c r="J257" s="38"/>
      <x:c r="K257" s="38"/>
      <x:c r="L257" s="38"/>
      <x:c r="M257" s="38"/>
      <x:c r="N257" s="38"/>
      <x:c r="O257" s="38"/>
      <x:c r="P257" s="38"/>
      <x:c r="Q257" s="38"/>
      <x:c r="R257" s="38"/>
      <x:c r="S257" s="38"/>
      <x:c r="T257" s="38"/>
      <x:c r="U257" s="38"/>
      <x:c r="V257" s="38"/>
      <x:c r="W257" s="38"/>
      <x:c r="X257" s="38"/>
      <x:c r="Y257" s="38"/>
      <x:c r="Z257" s="38"/>
    </x:row>
    <x:row r="258">
      <x:c r="A258" s="38"/>
      <x:c r="B258" s="38"/>
      <x:c r="C258" s="38"/>
      <x:c r="D258" s="38"/>
      <x:c r="E258" s="38"/>
      <x:c r="F258" s="38"/>
      <x:c r="G258" s="38"/>
      <x:c r="H258" s="38"/>
      <x:c r="I258" s="38"/>
      <x:c r="J258" s="38"/>
      <x:c r="K258" s="38"/>
      <x:c r="L258" s="38"/>
      <x:c r="M258" s="38"/>
      <x:c r="N258" s="38"/>
      <x:c r="O258" s="38"/>
      <x:c r="P258" s="38"/>
      <x:c r="Q258" s="38"/>
      <x:c r="R258" s="38"/>
      <x:c r="S258" s="38"/>
      <x:c r="T258" s="38"/>
      <x:c r="U258" s="38"/>
      <x:c r="V258" s="38"/>
      <x:c r="W258" s="38"/>
      <x:c r="X258" s="38"/>
      <x:c r="Y258" s="38"/>
      <x:c r="Z258" s="38"/>
    </x:row>
    <x:row r="259">
      <x:c r="A259" s="38"/>
      <x:c r="B259" s="38"/>
      <x:c r="C259" s="38"/>
      <x:c r="D259" s="38"/>
      <x:c r="E259" s="38"/>
      <x:c r="F259" s="38"/>
      <x:c r="G259" s="38"/>
      <x:c r="H259" s="38"/>
      <x:c r="I259" s="38"/>
      <x:c r="J259" s="38"/>
      <x:c r="K259" s="38"/>
      <x:c r="L259" s="38"/>
      <x:c r="M259" s="38"/>
      <x:c r="N259" s="38"/>
      <x:c r="O259" s="38"/>
      <x:c r="P259" s="38"/>
      <x:c r="Q259" s="38"/>
      <x:c r="R259" s="38"/>
      <x:c r="S259" s="38"/>
      <x:c r="T259" s="38"/>
      <x:c r="U259" s="38"/>
      <x:c r="V259" s="38"/>
      <x:c r="W259" s="38"/>
      <x:c r="X259" s="38"/>
      <x:c r="Y259" s="38"/>
      <x:c r="Z259" s="38"/>
    </x:row>
    <x:row r="260">
      <x:c r="A260" s="38"/>
      <x:c r="B260" s="38"/>
      <x:c r="C260" s="38"/>
      <x:c r="D260" s="38"/>
      <x:c r="E260" s="38"/>
      <x:c r="F260" s="38"/>
      <x:c r="G260" s="38"/>
      <x:c r="H260" s="38"/>
      <x:c r="I260" s="38"/>
      <x:c r="J260" s="38"/>
      <x:c r="K260" s="38"/>
      <x:c r="L260" s="38"/>
      <x:c r="M260" s="38"/>
      <x:c r="N260" s="38"/>
      <x:c r="O260" s="38"/>
      <x:c r="P260" s="38"/>
      <x:c r="Q260" s="38"/>
      <x:c r="R260" s="38"/>
      <x:c r="S260" s="38"/>
      <x:c r="T260" s="38"/>
      <x:c r="U260" s="38"/>
      <x:c r="V260" s="38"/>
      <x:c r="W260" s="38"/>
      <x:c r="X260" s="38"/>
      <x:c r="Y260" s="38"/>
      <x:c r="Z260" s="38"/>
    </x:row>
    <x:row r="261">
      <x:c r="A261" s="38"/>
      <x:c r="B261" s="38"/>
      <x:c r="C261" s="38"/>
      <x:c r="D261" s="38"/>
      <x:c r="E261" s="38"/>
      <x:c r="F261" s="38"/>
      <x:c r="G261" s="38"/>
      <x:c r="H261" s="38"/>
      <x:c r="I261" s="38"/>
      <x:c r="J261" s="38"/>
      <x:c r="K261" s="38"/>
      <x:c r="L261" s="38"/>
      <x:c r="M261" s="38"/>
      <x:c r="N261" s="38"/>
      <x:c r="O261" s="38"/>
      <x:c r="P261" s="38"/>
      <x:c r="Q261" s="38"/>
      <x:c r="R261" s="38"/>
      <x:c r="S261" s="38"/>
      <x:c r="T261" s="38"/>
      <x:c r="U261" s="38"/>
      <x:c r="V261" s="38"/>
      <x:c r="W261" s="38"/>
      <x:c r="X261" s="38"/>
      <x:c r="Y261" s="38"/>
      <x:c r="Z261" s="38"/>
    </x:row>
    <x:row r="262">
      <x:c r="A262" s="38"/>
      <x:c r="B262" s="38"/>
      <x:c r="C262" s="38"/>
      <x:c r="D262" s="38"/>
      <x:c r="E262" s="38"/>
      <x:c r="F262" s="38"/>
      <x:c r="G262" s="38"/>
      <x:c r="H262" s="38"/>
      <x:c r="I262" s="38"/>
      <x:c r="J262" s="38"/>
      <x:c r="K262" s="38"/>
      <x:c r="L262" s="38"/>
      <x:c r="M262" s="38"/>
      <x:c r="N262" s="38"/>
      <x:c r="O262" s="38"/>
      <x:c r="P262" s="38"/>
      <x:c r="Q262" s="38"/>
      <x:c r="R262" s="38"/>
      <x:c r="S262" s="38"/>
      <x:c r="T262" s="38"/>
      <x:c r="U262" s="38"/>
      <x:c r="V262" s="38"/>
      <x:c r="W262" s="38"/>
      <x:c r="X262" s="38"/>
      <x:c r="Y262" s="38"/>
      <x:c r="Z262" s="38"/>
    </x:row>
    <x:row r="263">
      <x:c r="A263" s="38"/>
      <x:c r="B263" s="38"/>
      <x:c r="C263" s="38"/>
      <x:c r="D263" s="38"/>
      <x:c r="E263" s="38"/>
      <x:c r="F263" s="38"/>
      <x:c r="G263" s="38"/>
      <x:c r="H263" s="38"/>
      <x:c r="I263" s="38"/>
      <x:c r="J263" s="38"/>
      <x:c r="K263" s="38"/>
      <x:c r="L263" s="38"/>
      <x:c r="M263" s="38"/>
      <x:c r="N263" s="38"/>
      <x:c r="O263" s="38"/>
      <x:c r="P263" s="38"/>
      <x:c r="Q263" s="38"/>
      <x:c r="R263" s="38"/>
      <x:c r="S263" s="38"/>
      <x:c r="T263" s="38"/>
      <x:c r="U263" s="38"/>
      <x:c r="V263" s="38"/>
      <x:c r="W263" s="38"/>
      <x:c r="X263" s="38"/>
      <x:c r="Y263" s="38"/>
      <x:c r="Z263" s="38"/>
    </x:row>
    <x:row r="264">
      <x:c r="A264" s="38"/>
      <x:c r="B264" s="38"/>
      <x:c r="C264" s="38"/>
      <x:c r="D264" s="38"/>
      <x:c r="E264" s="38"/>
      <x:c r="F264" s="38"/>
      <x:c r="G264" s="38"/>
      <x:c r="H264" s="38"/>
      <x:c r="I264" s="38"/>
      <x:c r="J264" s="38"/>
      <x:c r="K264" s="38"/>
      <x:c r="L264" s="38"/>
      <x:c r="M264" s="38"/>
      <x:c r="N264" s="38"/>
      <x:c r="O264" s="38"/>
      <x:c r="P264" s="38"/>
      <x:c r="Q264" s="38"/>
      <x:c r="R264" s="38"/>
      <x:c r="S264" s="38"/>
      <x:c r="T264" s="38"/>
      <x:c r="U264" s="38"/>
      <x:c r="V264" s="38"/>
      <x:c r="W264" s="38"/>
      <x:c r="X264" s="38"/>
      <x:c r="Y264" s="38"/>
      <x:c r="Z264" s="38"/>
    </x:row>
    <x:row r="265">
      <x:c r="A265" s="38"/>
      <x:c r="B265" s="38"/>
      <x:c r="C265" s="38"/>
      <x:c r="D265" s="38"/>
      <x:c r="E265" s="38"/>
      <x:c r="F265" s="38"/>
      <x:c r="G265" s="38"/>
      <x:c r="H265" s="38"/>
      <x:c r="I265" s="38"/>
      <x:c r="J265" s="38"/>
      <x:c r="K265" s="38"/>
      <x:c r="L265" s="38"/>
      <x:c r="M265" s="38"/>
      <x:c r="N265" s="38"/>
      <x:c r="O265" s="38"/>
      <x:c r="P265" s="38"/>
      <x:c r="Q265" s="38"/>
      <x:c r="R265" s="38"/>
      <x:c r="S265" s="38"/>
      <x:c r="T265" s="38"/>
      <x:c r="U265" s="38"/>
      <x:c r="V265" s="38"/>
      <x:c r="W265" s="38"/>
      <x:c r="X265" s="38"/>
      <x:c r="Y265" s="38"/>
      <x:c r="Z265" s="38"/>
    </x:row>
    <x:row r="266">
      <x:c r="A266" s="38"/>
      <x:c r="B266" s="38"/>
      <x:c r="C266" s="38"/>
      <x:c r="D266" s="38"/>
      <x:c r="E266" s="38"/>
      <x:c r="F266" s="38"/>
      <x:c r="G266" s="38"/>
      <x:c r="H266" s="38"/>
      <x:c r="I266" s="38"/>
      <x:c r="J266" s="38"/>
      <x:c r="K266" s="38"/>
      <x:c r="L266" s="38"/>
      <x:c r="M266" s="38"/>
      <x:c r="N266" s="38"/>
      <x:c r="O266" s="38"/>
      <x:c r="P266" s="38"/>
      <x:c r="Q266" s="38"/>
      <x:c r="R266" s="38"/>
      <x:c r="S266" s="38"/>
      <x:c r="T266" s="38"/>
      <x:c r="U266" s="38"/>
      <x:c r="V266" s="38"/>
      <x:c r="W266" s="38"/>
      <x:c r="X266" s="38"/>
      <x:c r="Y266" s="38"/>
      <x:c r="Z266" s="38"/>
    </x:row>
    <x:row r="267">
      <x:c r="A267" s="38"/>
      <x:c r="B267" s="38"/>
      <x:c r="C267" s="38"/>
      <x:c r="D267" s="38"/>
      <x:c r="E267" s="38"/>
      <x:c r="F267" s="38"/>
      <x:c r="G267" s="38"/>
      <x:c r="H267" s="38"/>
      <x:c r="I267" s="38"/>
      <x:c r="J267" s="38"/>
      <x:c r="K267" s="38"/>
      <x:c r="L267" s="38"/>
      <x:c r="M267" s="38"/>
      <x:c r="N267" s="38"/>
      <x:c r="O267" s="38"/>
      <x:c r="P267" s="38"/>
      <x:c r="Q267" s="38"/>
      <x:c r="R267" s="38"/>
      <x:c r="S267" s="38"/>
      <x:c r="T267" s="38"/>
      <x:c r="U267" s="38"/>
      <x:c r="V267" s="38"/>
      <x:c r="W267" s="38"/>
      <x:c r="X267" s="38"/>
      <x:c r="Y267" s="38"/>
      <x:c r="Z267" s="38"/>
    </x:row>
    <x:row r="268">
      <x:c r="A268" s="38"/>
      <x:c r="B268" s="38"/>
      <x:c r="C268" s="38"/>
      <x:c r="D268" s="38"/>
      <x:c r="E268" s="38"/>
      <x:c r="F268" s="38"/>
      <x:c r="G268" s="38"/>
      <x:c r="H268" s="38"/>
      <x:c r="I268" s="38"/>
      <x:c r="J268" s="38"/>
      <x:c r="K268" s="38"/>
      <x:c r="L268" s="38"/>
      <x:c r="M268" s="38"/>
      <x:c r="N268" s="38"/>
      <x:c r="O268" s="38"/>
      <x:c r="P268" s="38"/>
      <x:c r="Q268" s="38"/>
      <x:c r="R268" s="38"/>
      <x:c r="S268" s="38"/>
      <x:c r="T268" s="38"/>
      <x:c r="U268" s="38"/>
      <x:c r="V268" s="38"/>
      <x:c r="W268" s="38"/>
      <x:c r="X268" s="38"/>
      <x:c r="Y268" s="38"/>
      <x:c r="Z268" s="38"/>
    </x:row>
    <x:row r="269">
      <x:c r="A269" s="38"/>
      <x:c r="B269" s="38"/>
      <x:c r="C269" s="38"/>
      <x:c r="D269" s="38"/>
      <x:c r="E269" s="38"/>
      <x:c r="F269" s="38"/>
      <x:c r="G269" s="38"/>
      <x:c r="H269" s="38"/>
      <x:c r="I269" s="38"/>
      <x:c r="J269" s="38"/>
      <x:c r="K269" s="38"/>
      <x:c r="L269" s="38"/>
      <x:c r="M269" s="38"/>
      <x:c r="N269" s="38"/>
      <x:c r="O269" s="38"/>
      <x:c r="P269" s="38"/>
      <x:c r="Q269" s="38"/>
      <x:c r="R269" s="38"/>
      <x:c r="S269" s="38"/>
      <x:c r="T269" s="38"/>
      <x:c r="U269" s="38"/>
      <x:c r="V269" s="38"/>
      <x:c r="W269" s="38"/>
      <x:c r="X269" s="38"/>
      <x:c r="Y269" s="38"/>
      <x:c r="Z269" s="38"/>
    </x:row>
    <x:row r="270">
      <x:c r="A270" s="38"/>
      <x:c r="B270" s="38"/>
      <x:c r="C270" s="38"/>
      <x:c r="D270" s="38"/>
      <x:c r="E270" s="38"/>
      <x:c r="F270" s="38"/>
      <x:c r="G270" s="38"/>
      <x:c r="H270" s="38"/>
      <x:c r="I270" s="38"/>
      <x:c r="J270" s="38"/>
      <x:c r="K270" s="38"/>
      <x:c r="L270" s="38"/>
      <x:c r="M270" s="38"/>
      <x:c r="N270" s="38"/>
      <x:c r="O270" s="38"/>
      <x:c r="P270" s="38"/>
      <x:c r="Q270" s="38"/>
      <x:c r="R270" s="38"/>
      <x:c r="S270" s="38"/>
      <x:c r="T270" s="38"/>
      <x:c r="U270" s="38"/>
      <x:c r="V270" s="38"/>
      <x:c r="W270" s="38"/>
      <x:c r="X270" s="38"/>
      <x:c r="Y270" s="38"/>
      <x:c r="Z270" s="38"/>
    </x:row>
    <x:row r="271">
      <x:c r="A271" s="38"/>
      <x:c r="B271" s="38"/>
      <x:c r="C271" s="38"/>
      <x:c r="D271" s="38"/>
      <x:c r="E271" s="38"/>
      <x:c r="F271" s="38"/>
      <x:c r="G271" s="38"/>
      <x:c r="H271" s="38"/>
      <x:c r="I271" s="38"/>
      <x:c r="J271" s="38"/>
      <x:c r="K271" s="38"/>
      <x:c r="L271" s="38"/>
      <x:c r="M271" s="38"/>
      <x:c r="N271" s="38"/>
      <x:c r="O271" s="38"/>
      <x:c r="P271" s="38"/>
      <x:c r="Q271" s="38"/>
      <x:c r="R271" s="38"/>
      <x:c r="S271" s="38"/>
      <x:c r="T271" s="38"/>
      <x:c r="U271" s="38"/>
      <x:c r="V271" s="38"/>
      <x:c r="W271" s="38"/>
      <x:c r="X271" s="38"/>
      <x:c r="Y271" s="38"/>
      <x:c r="Z271" s="38"/>
    </x:row>
    <x:row r="272">
      <x:c r="A272" s="38"/>
      <x:c r="B272" s="38"/>
      <x:c r="C272" s="38"/>
      <x:c r="D272" s="38"/>
      <x:c r="E272" s="38"/>
      <x:c r="F272" s="38"/>
      <x:c r="G272" s="38"/>
      <x:c r="H272" s="38"/>
      <x:c r="I272" s="38"/>
      <x:c r="J272" s="38"/>
      <x:c r="K272" s="38"/>
      <x:c r="L272" s="38"/>
      <x:c r="M272" s="38"/>
      <x:c r="N272" s="38"/>
      <x:c r="O272" s="38"/>
      <x:c r="P272" s="38"/>
      <x:c r="Q272" s="38"/>
      <x:c r="R272" s="38"/>
      <x:c r="S272" s="38"/>
      <x:c r="T272" s="38"/>
      <x:c r="U272" s="38"/>
      <x:c r="V272" s="38"/>
      <x:c r="W272" s="38"/>
      <x:c r="X272" s="38"/>
      <x:c r="Y272" s="38"/>
      <x:c r="Z272" s="38"/>
    </x:row>
    <x:row r="273">
      <x:c r="A273" s="38"/>
      <x:c r="B273" s="38"/>
      <x:c r="C273" s="38"/>
      <x:c r="D273" s="38"/>
      <x:c r="E273" s="38"/>
      <x:c r="F273" s="38"/>
      <x:c r="G273" s="38"/>
      <x:c r="H273" s="38"/>
      <x:c r="I273" s="38"/>
      <x:c r="J273" s="38"/>
      <x:c r="K273" s="38"/>
      <x:c r="L273" s="38"/>
      <x:c r="M273" s="38"/>
      <x:c r="N273" s="38"/>
      <x:c r="O273" s="38"/>
      <x:c r="P273" s="38"/>
      <x:c r="Q273" s="38"/>
      <x:c r="R273" s="38"/>
      <x:c r="S273" s="38"/>
      <x:c r="T273" s="38"/>
      <x:c r="U273" s="38"/>
      <x:c r="V273" s="38"/>
      <x:c r="W273" s="38"/>
      <x:c r="X273" s="38"/>
      <x:c r="Y273" s="38"/>
      <x:c r="Z273" s="38"/>
    </x:row>
    <x:row r="274">
      <x:c r="A274" s="38"/>
      <x:c r="B274" s="38"/>
      <x:c r="C274" s="38"/>
      <x:c r="D274" s="38"/>
      <x:c r="E274" s="38"/>
      <x:c r="F274" s="38"/>
      <x:c r="G274" s="38"/>
      <x:c r="H274" s="38"/>
      <x:c r="I274" s="38"/>
      <x:c r="J274" s="38"/>
      <x:c r="K274" s="38"/>
      <x:c r="L274" s="38"/>
      <x:c r="M274" s="38"/>
      <x:c r="N274" s="38"/>
      <x:c r="O274" s="38"/>
      <x:c r="P274" s="38"/>
      <x:c r="Q274" s="38"/>
      <x:c r="R274" s="38"/>
      <x:c r="S274" s="38"/>
      <x:c r="T274" s="38"/>
      <x:c r="U274" s="38"/>
      <x:c r="V274" s="38"/>
      <x:c r="W274" s="38"/>
      <x:c r="X274" s="38"/>
      <x:c r="Y274" s="38"/>
      <x:c r="Z274" s="38"/>
    </x:row>
    <x:row r="275">
      <x:c r="A275" s="38"/>
      <x:c r="B275" s="38"/>
      <x:c r="C275" s="38"/>
      <x:c r="D275" s="38"/>
      <x:c r="E275" s="38"/>
      <x:c r="F275" s="38"/>
      <x:c r="G275" s="38"/>
      <x:c r="H275" s="38"/>
      <x:c r="I275" s="38"/>
      <x:c r="J275" s="38"/>
      <x:c r="K275" s="38"/>
      <x:c r="L275" s="38"/>
      <x:c r="M275" s="38"/>
      <x:c r="N275" s="38"/>
      <x:c r="O275" s="38"/>
      <x:c r="P275" s="38"/>
      <x:c r="Q275" s="38"/>
      <x:c r="R275" s="38"/>
      <x:c r="S275" s="38"/>
      <x:c r="T275" s="38"/>
      <x:c r="U275" s="38"/>
      <x:c r="V275" s="38"/>
      <x:c r="W275" s="38"/>
      <x:c r="X275" s="38"/>
      <x:c r="Y275" s="38"/>
      <x:c r="Z275" s="38"/>
    </x:row>
    <x:row r="276">
      <x:c r="A276" s="38"/>
      <x:c r="B276" s="38"/>
      <x:c r="C276" s="38"/>
      <x:c r="D276" s="38"/>
      <x:c r="E276" s="38"/>
      <x:c r="F276" s="38"/>
      <x:c r="G276" s="38"/>
      <x:c r="H276" s="38"/>
      <x:c r="I276" s="38"/>
      <x:c r="J276" s="38"/>
      <x:c r="K276" s="38"/>
      <x:c r="L276" s="38"/>
      <x:c r="M276" s="38"/>
      <x:c r="N276" s="38"/>
      <x:c r="O276" s="38"/>
      <x:c r="P276" s="38"/>
      <x:c r="Q276" s="38"/>
      <x:c r="R276" s="38"/>
      <x:c r="S276" s="38"/>
      <x:c r="T276" s="38"/>
      <x:c r="U276" s="38"/>
      <x:c r="V276" s="38"/>
      <x:c r="W276" s="38"/>
      <x:c r="X276" s="38"/>
      <x:c r="Y276" s="38"/>
      <x:c r="Z276" s="38"/>
    </x:row>
    <x:row r="277">
      <x:c r="A277" s="38"/>
      <x:c r="B277" s="38"/>
      <x:c r="C277" s="38"/>
      <x:c r="D277" s="38"/>
      <x:c r="E277" s="38"/>
      <x:c r="F277" s="38"/>
      <x:c r="G277" s="38"/>
      <x:c r="H277" s="38"/>
      <x:c r="I277" s="38"/>
      <x:c r="J277" s="38"/>
      <x:c r="K277" s="38"/>
      <x:c r="L277" s="38"/>
      <x:c r="M277" s="38"/>
      <x:c r="N277" s="38"/>
      <x:c r="O277" s="38"/>
      <x:c r="P277" s="38"/>
      <x:c r="Q277" s="38"/>
      <x:c r="R277" s="38"/>
      <x:c r="S277" s="38"/>
      <x:c r="T277" s="38"/>
      <x:c r="U277" s="38"/>
      <x:c r="V277" s="38"/>
      <x:c r="W277" s="38"/>
      <x:c r="X277" s="38"/>
      <x:c r="Y277" s="38"/>
      <x:c r="Z277" s="38"/>
    </x:row>
    <x:row r="278">
      <x:c r="A278" s="38"/>
      <x:c r="B278" s="38"/>
      <x:c r="C278" s="38"/>
      <x:c r="D278" s="38"/>
      <x:c r="E278" s="38"/>
      <x:c r="F278" s="38"/>
      <x:c r="G278" s="38"/>
      <x:c r="H278" s="38"/>
      <x:c r="I278" s="38"/>
      <x:c r="J278" s="38"/>
      <x:c r="K278" s="38"/>
      <x:c r="L278" s="38"/>
      <x:c r="M278" s="38"/>
      <x:c r="N278" s="38"/>
      <x:c r="O278" s="38"/>
      <x:c r="P278" s="38"/>
      <x:c r="Q278" s="38"/>
      <x:c r="R278" s="38"/>
      <x:c r="S278" s="38"/>
      <x:c r="T278" s="38"/>
      <x:c r="U278" s="38"/>
      <x:c r="V278" s="38"/>
      <x:c r="W278" s="38"/>
      <x:c r="X278" s="38"/>
      <x:c r="Y278" s="38"/>
      <x:c r="Z278" s="38"/>
    </x:row>
    <x:row r="279">
      <x:c r="A279" s="38"/>
      <x:c r="B279" s="38"/>
      <x:c r="C279" s="38"/>
      <x:c r="D279" s="38"/>
      <x:c r="E279" s="38"/>
      <x:c r="F279" s="38"/>
      <x:c r="G279" s="38"/>
      <x:c r="H279" s="38"/>
      <x:c r="I279" s="38"/>
      <x:c r="J279" s="38"/>
      <x:c r="K279" s="38"/>
      <x:c r="L279" s="38"/>
      <x:c r="M279" s="38"/>
      <x:c r="N279" s="38"/>
      <x:c r="O279" s="38"/>
      <x:c r="P279" s="38"/>
      <x:c r="Q279" s="38"/>
      <x:c r="R279" s="38"/>
      <x:c r="S279" s="38"/>
      <x:c r="T279" s="38"/>
      <x:c r="U279" s="38"/>
      <x:c r="V279" s="38"/>
      <x:c r="W279" s="38"/>
      <x:c r="X279" s="38"/>
      <x:c r="Y279" s="38"/>
      <x:c r="Z279" s="38"/>
    </x:row>
    <x:row r="280">
      <x:c r="A280" s="38"/>
      <x:c r="B280" s="38"/>
      <x:c r="C280" s="38"/>
      <x:c r="D280" s="38"/>
      <x:c r="E280" s="38"/>
      <x:c r="F280" s="38"/>
      <x:c r="G280" s="38"/>
      <x:c r="H280" s="38"/>
      <x:c r="I280" s="38"/>
      <x:c r="J280" s="38"/>
      <x:c r="K280" s="38"/>
      <x:c r="L280" s="38"/>
      <x:c r="M280" s="38"/>
      <x:c r="N280" s="38"/>
      <x:c r="O280" s="38"/>
      <x:c r="P280" s="38"/>
      <x:c r="Q280" s="38"/>
      <x:c r="R280" s="38"/>
      <x:c r="S280" s="38"/>
      <x:c r="T280" s="38"/>
      <x:c r="U280" s="38"/>
      <x:c r="V280" s="38"/>
      <x:c r="W280" s="38"/>
      <x:c r="X280" s="38"/>
      <x:c r="Y280" s="38"/>
      <x:c r="Z280" s="38"/>
    </x:row>
    <x:row r="281">
      <x:c r="A281" s="38"/>
      <x:c r="B281" s="38"/>
      <x:c r="C281" s="38"/>
      <x:c r="D281" s="38"/>
      <x:c r="E281" s="38"/>
      <x:c r="F281" s="38"/>
      <x:c r="G281" s="38"/>
      <x:c r="H281" s="38"/>
      <x:c r="I281" s="38"/>
      <x:c r="J281" s="38"/>
      <x:c r="K281" s="38"/>
      <x:c r="L281" s="38"/>
      <x:c r="M281" s="38"/>
      <x:c r="N281" s="38"/>
      <x:c r="O281" s="38"/>
      <x:c r="P281" s="38"/>
      <x:c r="Q281" s="38"/>
      <x:c r="R281" s="38"/>
      <x:c r="S281" s="38"/>
      <x:c r="T281" s="38"/>
      <x:c r="U281" s="38"/>
      <x:c r="V281" s="38"/>
      <x:c r="W281" s="38"/>
      <x:c r="X281" s="38"/>
      <x:c r="Y281" s="38"/>
      <x:c r="Z281" s="38"/>
    </x:row>
    <x:row r="282">
      <x:c r="A282" s="38"/>
      <x:c r="B282" s="38"/>
      <x:c r="C282" s="38"/>
      <x:c r="D282" s="38"/>
      <x:c r="E282" s="38"/>
      <x:c r="F282" s="38"/>
      <x:c r="G282" s="38"/>
      <x:c r="H282" s="38"/>
      <x:c r="I282" s="38"/>
      <x:c r="J282" s="38"/>
      <x:c r="K282" s="38"/>
      <x:c r="L282" s="38"/>
      <x:c r="M282" s="38"/>
      <x:c r="N282" s="38"/>
      <x:c r="O282" s="38"/>
      <x:c r="P282" s="38"/>
      <x:c r="Q282" s="38"/>
      <x:c r="R282" s="38"/>
      <x:c r="S282" s="38"/>
      <x:c r="T282" s="38"/>
      <x:c r="U282" s="38"/>
      <x:c r="V282" s="38"/>
      <x:c r="W282" s="38"/>
      <x:c r="X282" s="38"/>
      <x:c r="Y282" s="38"/>
      <x:c r="Z282" s="38"/>
    </x:row>
    <x:row r="283">
      <x:c r="A283" s="38"/>
      <x:c r="B283" s="38"/>
      <x:c r="C283" s="38"/>
      <x:c r="D283" s="38"/>
      <x:c r="E283" s="38"/>
      <x:c r="F283" s="38"/>
      <x:c r="G283" s="38"/>
      <x:c r="H283" s="38"/>
      <x:c r="I283" s="38"/>
      <x:c r="J283" s="38"/>
      <x:c r="K283" s="38"/>
      <x:c r="L283" s="38"/>
      <x:c r="M283" s="38"/>
      <x:c r="N283" s="38"/>
      <x:c r="O283" s="38"/>
      <x:c r="P283" s="38"/>
      <x:c r="Q283" s="38"/>
      <x:c r="R283" s="38"/>
      <x:c r="S283" s="38"/>
      <x:c r="T283" s="38"/>
      <x:c r="U283" s="38"/>
      <x:c r="V283" s="38"/>
      <x:c r="W283" s="38"/>
      <x:c r="X283" s="38"/>
      <x:c r="Y283" s="38"/>
      <x:c r="Z283" s="38"/>
    </x:row>
    <x:row r="284">
      <x:c r="A284" s="38"/>
      <x:c r="B284" s="38"/>
      <x:c r="C284" s="38"/>
      <x:c r="D284" s="38"/>
      <x:c r="E284" s="38"/>
      <x:c r="F284" s="38"/>
      <x:c r="G284" s="38"/>
      <x:c r="H284" s="38"/>
      <x:c r="I284" s="38"/>
      <x:c r="J284" s="38"/>
      <x:c r="K284" s="38"/>
      <x:c r="L284" s="38"/>
      <x:c r="M284" s="38"/>
      <x:c r="N284" s="38"/>
      <x:c r="O284" s="38"/>
      <x:c r="P284" s="38"/>
      <x:c r="Q284" s="38"/>
      <x:c r="R284" s="38"/>
      <x:c r="S284" s="38"/>
      <x:c r="T284" s="38"/>
      <x:c r="U284" s="38"/>
      <x:c r="V284" s="38"/>
      <x:c r="W284" s="38"/>
      <x:c r="X284" s="38"/>
      <x:c r="Y284" s="38"/>
      <x:c r="Z284" s="38"/>
    </x:row>
    <x:row r="285">
      <x:c r="A285" s="38"/>
      <x:c r="B285" s="38"/>
      <x:c r="C285" s="38"/>
      <x:c r="D285" s="38"/>
      <x:c r="E285" s="38"/>
      <x:c r="F285" s="38"/>
      <x:c r="G285" s="38"/>
      <x:c r="H285" s="38"/>
      <x:c r="I285" s="38"/>
      <x:c r="J285" s="38"/>
      <x:c r="K285" s="38"/>
      <x:c r="L285" s="38"/>
      <x:c r="M285" s="38"/>
      <x:c r="N285" s="38"/>
      <x:c r="O285" s="38"/>
      <x:c r="P285" s="38"/>
      <x:c r="Q285" s="38"/>
      <x:c r="R285" s="38"/>
      <x:c r="S285" s="38"/>
      <x:c r="T285" s="38"/>
      <x:c r="U285" s="38"/>
      <x:c r="V285" s="38"/>
      <x:c r="W285" s="38"/>
      <x:c r="X285" s="38"/>
      <x:c r="Y285" s="38"/>
      <x:c r="Z285" s="38"/>
    </x:row>
    <x:row r="286">
      <x:c r="A286" s="38"/>
      <x:c r="B286" s="38"/>
      <x:c r="C286" s="38"/>
      <x:c r="D286" s="38"/>
      <x:c r="E286" s="38"/>
      <x:c r="F286" s="38"/>
      <x:c r="G286" s="38"/>
      <x:c r="H286" s="38"/>
      <x:c r="I286" s="38"/>
      <x:c r="J286" s="38"/>
      <x:c r="K286" s="38"/>
      <x:c r="L286" s="38"/>
      <x:c r="M286" s="38"/>
      <x:c r="N286" s="38"/>
      <x:c r="O286" s="38"/>
      <x:c r="P286" s="38"/>
      <x:c r="Q286" s="38"/>
      <x:c r="R286" s="38"/>
      <x:c r="S286" s="38"/>
      <x:c r="T286" s="38"/>
      <x:c r="U286" s="38"/>
      <x:c r="V286" s="38"/>
      <x:c r="W286" s="38"/>
      <x:c r="X286" s="38"/>
      <x:c r="Y286" s="38"/>
      <x:c r="Z286" s="38"/>
    </x:row>
    <x:row r="287">
      <x:c r="A287" s="38"/>
      <x:c r="B287" s="38"/>
      <x:c r="C287" s="38"/>
      <x:c r="D287" s="38"/>
      <x:c r="E287" s="38"/>
      <x:c r="F287" s="38"/>
      <x:c r="G287" s="38"/>
      <x:c r="H287" s="38"/>
      <x:c r="I287" s="38"/>
      <x:c r="J287" s="38"/>
      <x:c r="K287" s="38"/>
      <x:c r="L287" s="38"/>
      <x:c r="M287" s="38"/>
      <x:c r="N287" s="38"/>
      <x:c r="O287" s="38"/>
      <x:c r="P287" s="38"/>
      <x:c r="Q287" s="38"/>
      <x:c r="R287" s="38"/>
      <x:c r="S287" s="38"/>
      <x:c r="T287" s="38"/>
      <x:c r="U287" s="38"/>
      <x:c r="V287" s="38"/>
      <x:c r="W287" s="38"/>
      <x:c r="X287" s="38"/>
      <x:c r="Y287" s="38"/>
      <x:c r="Z287" s="38"/>
    </x:row>
    <x:row r="288">
      <x:c r="A288" s="38"/>
      <x:c r="B288" s="38"/>
      <x:c r="C288" s="38"/>
      <x:c r="D288" s="38"/>
      <x:c r="E288" s="38"/>
      <x:c r="F288" s="38"/>
      <x:c r="G288" s="38"/>
      <x:c r="H288" s="38"/>
      <x:c r="I288" s="38"/>
      <x:c r="J288" s="38"/>
      <x:c r="K288" s="38"/>
      <x:c r="L288" s="38"/>
      <x:c r="M288" s="38"/>
      <x:c r="N288" s="38"/>
      <x:c r="O288" s="38"/>
      <x:c r="P288" s="38"/>
      <x:c r="Q288" s="38"/>
      <x:c r="R288" s="38"/>
      <x:c r="S288" s="38"/>
      <x:c r="T288" s="38"/>
      <x:c r="U288" s="38"/>
      <x:c r="V288" s="38"/>
      <x:c r="W288" s="38"/>
      <x:c r="X288" s="38"/>
      <x:c r="Y288" s="38"/>
      <x:c r="Z288" s="38"/>
    </x:row>
    <x:row r="289">
      <x:c r="A289" s="38"/>
      <x:c r="B289" s="38"/>
      <x:c r="C289" s="38"/>
      <x:c r="D289" s="38"/>
      <x:c r="E289" s="38"/>
      <x:c r="F289" s="38"/>
      <x:c r="G289" s="38"/>
      <x:c r="H289" s="38"/>
      <x:c r="I289" s="38"/>
      <x:c r="J289" s="38"/>
      <x:c r="K289" s="38"/>
      <x:c r="L289" s="38"/>
      <x:c r="M289" s="38"/>
      <x:c r="N289" s="38"/>
      <x:c r="O289" s="38"/>
      <x:c r="P289" s="38"/>
      <x:c r="Q289" s="38"/>
      <x:c r="R289" s="38"/>
      <x:c r="S289" s="38"/>
      <x:c r="T289" s="38"/>
      <x:c r="U289" s="38"/>
      <x:c r="V289" s="38"/>
      <x:c r="W289" s="38"/>
      <x:c r="X289" s="38"/>
      <x:c r="Y289" s="38"/>
      <x:c r="Z289" s="38"/>
    </x:row>
    <x:row r="290">
      <x:c r="A290" s="38"/>
      <x:c r="B290" s="38"/>
      <x:c r="C290" s="38"/>
      <x:c r="D290" s="38"/>
      <x:c r="E290" s="38"/>
      <x:c r="F290" s="38"/>
      <x:c r="G290" s="38"/>
      <x:c r="H290" s="38"/>
      <x:c r="I290" s="38"/>
      <x:c r="J290" s="38"/>
      <x:c r="K290" s="38"/>
      <x:c r="L290" s="38"/>
      <x:c r="M290" s="38"/>
      <x:c r="N290" s="38"/>
      <x:c r="O290" s="38"/>
      <x:c r="P290" s="38"/>
      <x:c r="Q290" s="38"/>
      <x:c r="R290" s="38"/>
      <x:c r="S290" s="38"/>
      <x:c r="T290" s="38"/>
      <x:c r="U290" s="38"/>
      <x:c r="V290" s="38"/>
      <x:c r="W290" s="38"/>
      <x:c r="X290" s="38"/>
      <x:c r="Y290" s="38"/>
      <x:c r="Z290" s="38"/>
    </x:row>
    <x:row r="291">
      <x:c r="A291" s="38"/>
      <x:c r="B291" s="38"/>
      <x:c r="C291" s="38"/>
      <x:c r="D291" s="38"/>
      <x:c r="E291" s="38"/>
      <x:c r="F291" s="38"/>
      <x:c r="G291" s="38"/>
      <x:c r="H291" s="38"/>
      <x:c r="I291" s="38"/>
      <x:c r="J291" s="38"/>
      <x:c r="K291" s="38"/>
      <x:c r="L291" s="38"/>
      <x:c r="M291" s="38"/>
      <x:c r="N291" s="38"/>
      <x:c r="O291" s="38"/>
      <x:c r="P291" s="38"/>
      <x:c r="Q291" s="38"/>
      <x:c r="R291" s="38"/>
      <x:c r="S291" s="38"/>
      <x:c r="T291" s="38"/>
      <x:c r="U291" s="38"/>
      <x:c r="V291" s="38"/>
      <x:c r="W291" s="38"/>
      <x:c r="X291" s="38"/>
      <x:c r="Y291" s="38"/>
      <x:c r="Z291" s="38"/>
    </x:row>
    <x:row r="292">
      <x:c r="A292" s="38"/>
      <x:c r="B292" s="38"/>
      <x:c r="C292" s="38"/>
      <x:c r="D292" s="38"/>
      <x:c r="E292" s="38"/>
      <x:c r="F292" s="38"/>
      <x:c r="G292" s="38"/>
      <x:c r="H292" s="38"/>
      <x:c r="I292" s="38"/>
      <x:c r="J292" s="38"/>
      <x:c r="K292" s="38"/>
      <x:c r="L292" s="38"/>
      <x:c r="M292" s="38"/>
      <x:c r="N292" s="38"/>
      <x:c r="O292" s="38"/>
      <x:c r="P292" s="38"/>
      <x:c r="Q292" s="38"/>
      <x:c r="R292" s="38"/>
      <x:c r="S292" s="38"/>
      <x:c r="T292" s="38"/>
      <x:c r="U292" s="38"/>
      <x:c r="V292" s="38"/>
      <x:c r="W292" s="38"/>
      <x:c r="X292" s="38"/>
      <x:c r="Y292" s="38"/>
      <x:c r="Z292" s="38"/>
    </x:row>
    <x:row r="293">
      <x:c r="A293" s="38"/>
      <x:c r="B293" s="38"/>
      <x:c r="C293" s="38"/>
      <x:c r="D293" s="38"/>
      <x:c r="E293" s="38"/>
      <x:c r="F293" s="38"/>
      <x:c r="G293" s="38"/>
      <x:c r="H293" s="38"/>
      <x:c r="I293" s="38"/>
      <x:c r="J293" s="38"/>
      <x:c r="K293" s="38"/>
      <x:c r="L293" s="38"/>
      <x:c r="M293" s="38"/>
      <x:c r="N293" s="38"/>
      <x:c r="O293" s="38"/>
      <x:c r="P293" s="38"/>
      <x:c r="Q293" s="38"/>
      <x:c r="R293" s="38"/>
      <x:c r="S293" s="38"/>
      <x:c r="T293" s="38"/>
      <x:c r="U293" s="38"/>
      <x:c r="V293" s="38"/>
      <x:c r="W293" s="38"/>
      <x:c r="X293" s="38"/>
      <x:c r="Y293" s="38"/>
      <x:c r="Z293" s="38"/>
    </x:row>
    <x:row r="294">
      <x:c r="A294" s="38"/>
      <x:c r="B294" s="38"/>
      <x:c r="C294" s="38"/>
      <x:c r="D294" s="38"/>
      <x:c r="E294" s="38"/>
      <x:c r="F294" s="38"/>
      <x:c r="G294" s="38"/>
      <x:c r="H294" s="38"/>
      <x:c r="I294" s="38"/>
      <x:c r="J294" s="38"/>
      <x:c r="K294" s="38"/>
      <x:c r="L294" s="38"/>
      <x:c r="M294" s="38"/>
      <x:c r="N294" s="38"/>
      <x:c r="O294" s="38"/>
      <x:c r="P294" s="38"/>
      <x:c r="Q294" s="38"/>
      <x:c r="R294" s="38"/>
      <x:c r="S294" s="38"/>
      <x:c r="T294" s="38"/>
      <x:c r="U294" s="38"/>
      <x:c r="V294" s="38"/>
      <x:c r="W294" s="38"/>
      <x:c r="X294" s="38"/>
      <x:c r="Y294" s="38"/>
      <x:c r="Z294" s="38"/>
    </x:row>
    <x:row r="295">
      <x:c r="A295" s="38"/>
      <x:c r="B295" s="38"/>
      <x:c r="C295" s="38"/>
      <x:c r="D295" s="38"/>
      <x:c r="E295" s="38"/>
      <x:c r="F295" s="38"/>
      <x:c r="G295" s="38"/>
      <x:c r="H295" s="38"/>
      <x:c r="I295" s="38"/>
      <x:c r="J295" s="38"/>
      <x:c r="K295" s="38"/>
      <x:c r="L295" s="38"/>
      <x:c r="M295" s="38"/>
      <x:c r="N295" s="38"/>
      <x:c r="O295" s="38"/>
      <x:c r="P295" s="38"/>
      <x:c r="Q295" s="38"/>
      <x:c r="R295" s="38"/>
      <x:c r="S295" s="38"/>
      <x:c r="T295" s="38"/>
      <x:c r="U295" s="38"/>
      <x:c r="V295" s="38"/>
      <x:c r="W295" s="38"/>
      <x:c r="X295" s="38"/>
      <x:c r="Y295" s="38"/>
      <x:c r="Z295" s="38"/>
    </x:row>
    <x:row r="296">
      <x:c r="A296" s="38"/>
      <x:c r="B296" s="38"/>
      <x:c r="C296" s="38"/>
      <x:c r="D296" s="38"/>
      <x:c r="E296" s="38"/>
      <x:c r="F296" s="38"/>
      <x:c r="G296" s="38"/>
      <x:c r="H296" s="38"/>
      <x:c r="I296" s="38"/>
      <x:c r="J296" s="38"/>
      <x:c r="K296" s="38"/>
      <x:c r="L296" s="38"/>
      <x:c r="M296" s="38"/>
      <x:c r="N296" s="38"/>
      <x:c r="O296" s="38"/>
      <x:c r="P296" s="38"/>
      <x:c r="Q296" s="38"/>
      <x:c r="R296" s="38"/>
      <x:c r="S296" s="38"/>
      <x:c r="T296" s="38"/>
      <x:c r="U296" s="38"/>
      <x:c r="V296" s="38"/>
      <x:c r="W296" s="38"/>
      <x:c r="X296" s="38"/>
      <x:c r="Y296" s="38"/>
      <x:c r="Z296" s="38"/>
    </x:row>
    <x:row r="297">
      <x:c r="A297" s="38"/>
      <x:c r="B297" s="38"/>
      <x:c r="C297" s="38"/>
      <x:c r="D297" s="38"/>
      <x:c r="E297" s="38"/>
      <x:c r="F297" s="38"/>
      <x:c r="G297" s="38"/>
      <x:c r="H297" s="38"/>
      <x:c r="I297" s="38"/>
      <x:c r="J297" s="38"/>
      <x:c r="K297" s="38"/>
      <x:c r="L297" s="38"/>
      <x:c r="M297" s="38"/>
      <x:c r="N297" s="38"/>
      <x:c r="O297" s="38"/>
      <x:c r="P297" s="38"/>
      <x:c r="Q297" s="38"/>
      <x:c r="R297" s="38"/>
      <x:c r="S297" s="38"/>
      <x:c r="T297" s="38"/>
      <x:c r="U297" s="38"/>
      <x:c r="V297" s="38"/>
      <x:c r="W297" s="38"/>
      <x:c r="X297" s="38"/>
      <x:c r="Y297" s="38"/>
      <x:c r="Z297" s="38"/>
    </x:row>
    <x:row r="298">
      <x:c r="A298" s="38"/>
      <x:c r="B298" s="38"/>
      <x:c r="C298" s="38"/>
      <x:c r="D298" s="38"/>
      <x:c r="E298" s="38"/>
      <x:c r="F298" s="38"/>
      <x:c r="G298" s="38"/>
      <x:c r="H298" s="38"/>
      <x:c r="I298" s="38"/>
      <x:c r="J298" s="38"/>
      <x:c r="K298" s="38"/>
      <x:c r="L298" s="38"/>
      <x:c r="M298" s="38"/>
      <x:c r="N298" s="38"/>
      <x:c r="O298" s="38"/>
      <x:c r="P298" s="38"/>
      <x:c r="Q298" s="38"/>
      <x:c r="R298" s="38"/>
      <x:c r="S298" s="38"/>
      <x:c r="T298" s="38"/>
      <x:c r="U298" s="38"/>
      <x:c r="V298" s="38"/>
      <x:c r="W298" s="38"/>
      <x:c r="X298" s="38"/>
      <x:c r="Y298" s="38"/>
      <x:c r="Z298" s="38"/>
    </x:row>
    <x:row r="299">
      <x:c r="A299" s="38"/>
      <x:c r="B299" s="38"/>
      <x:c r="C299" s="38"/>
      <x:c r="D299" s="38"/>
      <x:c r="E299" s="38"/>
      <x:c r="F299" s="38"/>
      <x:c r="G299" s="38"/>
      <x:c r="H299" s="38"/>
      <x:c r="I299" s="38"/>
      <x:c r="J299" s="38"/>
      <x:c r="K299" s="38"/>
      <x:c r="L299" s="38"/>
      <x:c r="M299" s="38"/>
      <x:c r="N299" s="38"/>
      <x:c r="O299" s="38"/>
      <x:c r="P299" s="38"/>
      <x:c r="Q299" s="38"/>
      <x:c r="R299" s="38"/>
      <x:c r="S299" s="38"/>
      <x:c r="T299" s="38"/>
      <x:c r="U299" s="38"/>
      <x:c r="V299" s="38"/>
      <x:c r="W299" s="38"/>
      <x:c r="X299" s="38"/>
      <x:c r="Y299" s="38"/>
      <x:c r="Z299" s="38"/>
    </x:row>
    <x:row r="300">
      <x:c r="A300" s="38"/>
      <x:c r="B300" s="38"/>
      <x:c r="C300" s="38"/>
      <x:c r="D300" s="38"/>
      <x:c r="E300" s="38"/>
      <x:c r="F300" s="38"/>
      <x:c r="G300" s="38"/>
      <x:c r="H300" s="38"/>
      <x:c r="I300" s="38"/>
      <x:c r="J300" s="38"/>
      <x:c r="K300" s="38"/>
      <x:c r="L300" s="38"/>
      <x:c r="M300" s="38"/>
      <x:c r="N300" s="38"/>
      <x:c r="O300" s="38"/>
      <x:c r="P300" s="38"/>
      <x:c r="Q300" s="38"/>
      <x:c r="R300" s="38"/>
      <x:c r="S300" s="38"/>
      <x:c r="T300" s="38"/>
      <x:c r="U300" s="38"/>
      <x:c r="V300" s="38"/>
      <x:c r="W300" s="38"/>
      <x:c r="X300" s="38"/>
      <x:c r="Y300" s="38"/>
      <x:c r="Z300" s="38"/>
    </x:row>
    <x:row r="301">
      <x:c r="A301" s="38"/>
      <x:c r="B301" s="38"/>
      <x:c r="C301" s="38"/>
      <x:c r="D301" s="38"/>
      <x:c r="E301" s="38"/>
      <x:c r="F301" s="38"/>
      <x:c r="G301" s="38"/>
      <x:c r="H301" s="38"/>
      <x:c r="I301" s="38"/>
      <x:c r="J301" s="38"/>
      <x:c r="K301" s="38"/>
      <x:c r="L301" s="38"/>
      <x:c r="M301" s="38"/>
      <x:c r="N301" s="38"/>
      <x:c r="O301" s="38"/>
      <x:c r="P301" s="38"/>
      <x:c r="Q301" s="38"/>
      <x:c r="R301" s="38"/>
      <x:c r="S301" s="38"/>
      <x:c r="T301" s="38"/>
      <x:c r="U301" s="38"/>
      <x:c r="V301" s="38"/>
      <x:c r="W301" s="38"/>
      <x:c r="X301" s="38"/>
      <x:c r="Y301" s="38"/>
      <x:c r="Z301" s="38"/>
    </x:row>
    <x:row r="302">
      <x:c r="A302" s="38"/>
      <x:c r="B302" s="38"/>
      <x:c r="C302" s="38"/>
      <x:c r="D302" s="38"/>
      <x:c r="E302" s="38"/>
      <x:c r="F302" s="38"/>
      <x:c r="G302" s="38"/>
      <x:c r="H302" s="38"/>
      <x:c r="I302" s="38"/>
      <x:c r="J302" s="38"/>
      <x:c r="K302" s="38"/>
      <x:c r="L302" s="38"/>
      <x:c r="M302" s="38"/>
      <x:c r="N302" s="38"/>
      <x:c r="O302" s="38"/>
      <x:c r="P302" s="38"/>
      <x:c r="Q302" s="38"/>
      <x:c r="R302" s="38"/>
      <x:c r="S302" s="38"/>
      <x:c r="T302" s="38"/>
      <x:c r="U302" s="38"/>
      <x:c r="V302" s="38"/>
      <x:c r="W302" s="38"/>
      <x:c r="X302" s="38"/>
      <x:c r="Y302" s="38"/>
      <x:c r="Z302" s="38"/>
    </x:row>
    <x:row r="303">
      <x:c r="A303" s="38"/>
      <x:c r="B303" s="38"/>
      <x:c r="C303" s="38"/>
      <x:c r="D303" s="38"/>
      <x:c r="E303" s="38"/>
      <x:c r="F303" s="38"/>
      <x:c r="G303" s="38"/>
      <x:c r="H303" s="38"/>
      <x:c r="I303" s="38"/>
      <x:c r="J303" s="38"/>
      <x:c r="K303" s="38"/>
      <x:c r="L303" s="38"/>
      <x:c r="M303" s="38"/>
      <x:c r="N303" s="38"/>
      <x:c r="O303" s="38"/>
      <x:c r="P303" s="38"/>
      <x:c r="Q303" s="38"/>
      <x:c r="R303" s="38"/>
      <x:c r="S303" s="38"/>
      <x:c r="T303" s="38"/>
      <x:c r="U303" s="38"/>
      <x:c r="V303" s="38"/>
      <x:c r="W303" s="38"/>
      <x:c r="X303" s="38"/>
      <x:c r="Y303" s="38"/>
      <x:c r="Z303" s="38"/>
    </x:row>
    <x:row r="304">
      <x:c r="A304" s="38"/>
      <x:c r="B304" s="38"/>
      <x:c r="C304" s="38"/>
      <x:c r="D304" s="38"/>
      <x:c r="E304" s="38"/>
      <x:c r="F304" s="38"/>
      <x:c r="G304" s="38"/>
      <x:c r="H304" s="38"/>
      <x:c r="I304" s="38"/>
      <x:c r="J304" s="38"/>
      <x:c r="K304" s="38"/>
      <x:c r="L304" s="38"/>
      <x:c r="M304" s="38"/>
      <x:c r="N304" s="38"/>
      <x:c r="O304" s="38"/>
      <x:c r="P304" s="38"/>
      <x:c r="Q304" s="38"/>
      <x:c r="R304" s="38"/>
      <x:c r="S304" s="38"/>
      <x:c r="T304" s="38"/>
      <x:c r="U304" s="38"/>
      <x:c r="V304" s="38"/>
      <x:c r="W304" s="38"/>
      <x:c r="X304" s="38"/>
      <x:c r="Y304" s="38"/>
      <x:c r="Z304" s="38"/>
    </x:row>
    <x:row r="305">
      <x:c r="A305" s="38"/>
      <x:c r="B305" s="38"/>
      <x:c r="C305" s="38"/>
      <x:c r="D305" s="38"/>
      <x:c r="E305" s="38"/>
      <x:c r="F305" s="38"/>
      <x:c r="G305" s="38"/>
      <x:c r="H305" s="38"/>
      <x:c r="I305" s="38"/>
      <x:c r="J305" s="38"/>
      <x:c r="K305" s="38"/>
      <x:c r="L305" s="38"/>
      <x:c r="M305" s="38"/>
      <x:c r="N305" s="38"/>
      <x:c r="O305" s="38"/>
      <x:c r="P305" s="38"/>
      <x:c r="Q305" s="38"/>
      <x:c r="R305" s="38"/>
      <x:c r="S305" s="38"/>
      <x:c r="T305" s="38"/>
      <x:c r="U305" s="38"/>
      <x:c r="V305" s="38"/>
      <x:c r="W305" s="38"/>
      <x:c r="X305" s="38"/>
      <x:c r="Y305" s="38"/>
      <x:c r="Z305" s="38"/>
    </x:row>
    <x:row r="306">
      <x:c r="A306" s="38"/>
      <x:c r="B306" s="38"/>
      <x:c r="C306" s="38"/>
      <x:c r="D306" s="38"/>
      <x:c r="E306" s="38"/>
      <x:c r="F306" s="38"/>
      <x:c r="G306" s="38"/>
      <x:c r="H306" s="38"/>
      <x:c r="I306" s="38"/>
      <x:c r="J306" s="38"/>
      <x:c r="K306" s="38"/>
      <x:c r="L306" s="38"/>
      <x:c r="M306" s="38"/>
      <x:c r="N306" s="38"/>
      <x:c r="O306" s="38"/>
      <x:c r="P306" s="38"/>
      <x:c r="Q306" s="38"/>
      <x:c r="R306" s="38"/>
      <x:c r="S306" s="38"/>
      <x:c r="T306" s="38"/>
      <x:c r="U306" s="38"/>
      <x:c r="V306" s="38"/>
      <x:c r="W306" s="38"/>
      <x:c r="X306" s="38"/>
      <x:c r="Y306" s="38"/>
      <x:c r="Z306" s="38"/>
    </x:row>
    <x:row r="307">
      <x:c r="A307" s="38"/>
      <x:c r="B307" s="38"/>
      <x:c r="C307" s="38"/>
      <x:c r="D307" s="38"/>
      <x:c r="E307" s="38"/>
      <x:c r="F307" s="38"/>
      <x:c r="G307" s="38"/>
      <x:c r="H307" s="38"/>
      <x:c r="I307" s="38"/>
      <x:c r="J307" s="38"/>
      <x:c r="K307" s="38"/>
      <x:c r="L307" s="38"/>
      <x:c r="M307" s="38"/>
      <x:c r="N307" s="38"/>
      <x:c r="O307" s="38"/>
      <x:c r="P307" s="38"/>
      <x:c r="Q307" s="38"/>
      <x:c r="R307" s="38"/>
      <x:c r="S307" s="38"/>
      <x:c r="T307" s="38"/>
      <x:c r="U307" s="38"/>
      <x:c r="V307" s="38"/>
      <x:c r="W307" s="38"/>
      <x:c r="X307" s="38"/>
      <x:c r="Y307" s="38"/>
      <x:c r="Z307" s="38"/>
    </x:row>
    <x:row r="308">
      <x:c r="A308" s="38"/>
      <x:c r="B308" s="38"/>
      <x:c r="C308" s="38"/>
      <x:c r="D308" s="38"/>
      <x:c r="E308" s="38"/>
      <x:c r="F308" s="38"/>
      <x:c r="G308" s="38"/>
      <x:c r="H308" s="38"/>
      <x:c r="I308" s="38"/>
      <x:c r="J308" s="38"/>
      <x:c r="K308" s="38"/>
      <x:c r="L308" s="38"/>
      <x:c r="M308" s="38"/>
      <x:c r="N308" s="38"/>
      <x:c r="O308" s="38"/>
      <x:c r="P308" s="38"/>
      <x:c r="Q308" s="38"/>
      <x:c r="R308" s="38"/>
      <x:c r="S308" s="38"/>
      <x:c r="T308" s="38"/>
      <x:c r="U308" s="38"/>
      <x:c r="V308" s="38"/>
      <x:c r="W308" s="38"/>
      <x:c r="X308" s="38"/>
      <x:c r="Y308" s="38"/>
      <x:c r="Z308" s="38"/>
    </x:row>
    <x:row r="309">
      <x:c r="A309" s="38"/>
      <x:c r="B309" s="38"/>
      <x:c r="C309" s="38"/>
      <x:c r="D309" s="38"/>
      <x:c r="E309" s="38"/>
      <x:c r="F309" s="38"/>
      <x:c r="G309" s="38"/>
      <x:c r="H309" s="38"/>
      <x:c r="I309" s="38"/>
      <x:c r="J309" s="38"/>
      <x:c r="K309" s="38"/>
      <x:c r="L309" s="38"/>
      <x:c r="M309" s="38"/>
      <x:c r="N309" s="38"/>
      <x:c r="O309" s="38"/>
      <x:c r="P309" s="38"/>
      <x:c r="Q309" s="38"/>
      <x:c r="R309" s="38"/>
      <x:c r="S309" s="38"/>
      <x:c r="T309" s="38"/>
      <x:c r="U309" s="38"/>
      <x:c r="V309" s="38"/>
      <x:c r="W309" s="38"/>
      <x:c r="X309" s="38"/>
      <x:c r="Y309" s="38"/>
      <x:c r="Z309" s="38"/>
    </x:row>
    <x:row r="310">
      <x:c r="A310" s="38"/>
      <x:c r="B310" s="38"/>
      <x:c r="C310" s="38"/>
      <x:c r="D310" s="38"/>
      <x:c r="E310" s="38"/>
      <x:c r="F310" s="38"/>
      <x:c r="G310" s="38"/>
      <x:c r="H310" s="38"/>
      <x:c r="I310" s="38"/>
      <x:c r="J310" s="38"/>
      <x:c r="K310" s="38"/>
      <x:c r="L310" s="38"/>
      <x:c r="M310" s="38"/>
      <x:c r="N310" s="38"/>
      <x:c r="O310" s="38"/>
      <x:c r="P310" s="38"/>
      <x:c r="Q310" s="38"/>
      <x:c r="R310" s="38"/>
      <x:c r="S310" s="38"/>
      <x:c r="T310" s="38"/>
      <x:c r="U310" s="38"/>
      <x:c r="V310" s="38"/>
      <x:c r="W310" s="38"/>
      <x:c r="X310" s="38"/>
      <x:c r="Y310" s="38"/>
      <x:c r="Z310" s="38"/>
    </x:row>
    <x:row r="311">
      <x:c r="A311" s="38"/>
      <x:c r="B311" s="38"/>
      <x:c r="C311" s="38"/>
      <x:c r="D311" s="38"/>
      <x:c r="E311" s="38"/>
      <x:c r="F311" s="38"/>
      <x:c r="G311" s="38"/>
      <x:c r="H311" s="38"/>
      <x:c r="I311" s="38"/>
      <x:c r="J311" s="38"/>
      <x:c r="K311" s="38"/>
      <x:c r="L311" s="38"/>
      <x:c r="M311" s="38"/>
      <x:c r="N311" s="38"/>
      <x:c r="O311" s="38"/>
      <x:c r="P311" s="38"/>
      <x:c r="Q311" s="38"/>
      <x:c r="R311" s="38"/>
      <x:c r="S311" s="38"/>
      <x:c r="T311" s="38"/>
      <x:c r="U311" s="38"/>
      <x:c r="V311" s="38"/>
      <x:c r="W311" s="38"/>
      <x:c r="X311" s="38"/>
      <x:c r="Y311" s="38"/>
      <x:c r="Z311" s="38"/>
    </x:row>
    <x:row r="312">
      <x:c r="A312" s="38"/>
      <x:c r="B312" s="38"/>
      <x:c r="C312" s="38"/>
      <x:c r="D312" s="38"/>
      <x:c r="E312" s="38"/>
      <x:c r="F312" s="38"/>
      <x:c r="G312" s="38"/>
      <x:c r="H312" s="38"/>
      <x:c r="I312" s="38"/>
      <x:c r="J312" s="38"/>
      <x:c r="K312" s="38"/>
      <x:c r="L312" s="38"/>
      <x:c r="M312" s="38"/>
      <x:c r="N312" s="38"/>
      <x:c r="O312" s="38"/>
      <x:c r="P312" s="38"/>
      <x:c r="Q312" s="38"/>
      <x:c r="R312" s="38"/>
      <x:c r="S312" s="38"/>
      <x:c r="T312" s="38"/>
      <x:c r="U312" s="38"/>
      <x:c r="V312" s="38"/>
      <x:c r="W312" s="38"/>
      <x:c r="X312" s="38"/>
      <x:c r="Y312" s="38"/>
      <x:c r="Z312" s="38"/>
    </x:row>
    <x:row r="313">
      <x:c r="A313" s="38"/>
      <x:c r="B313" s="38"/>
      <x:c r="C313" s="38"/>
      <x:c r="D313" s="38"/>
      <x:c r="E313" s="38"/>
      <x:c r="F313" s="38"/>
      <x:c r="G313" s="38"/>
      <x:c r="H313" s="38"/>
      <x:c r="I313" s="38"/>
      <x:c r="J313" s="38"/>
      <x:c r="K313" s="38"/>
      <x:c r="L313" s="38"/>
      <x:c r="M313" s="38"/>
      <x:c r="N313" s="38"/>
      <x:c r="O313" s="38"/>
      <x:c r="P313" s="38"/>
      <x:c r="Q313" s="38"/>
      <x:c r="R313" s="38"/>
      <x:c r="S313" s="38"/>
      <x:c r="T313" s="38"/>
      <x:c r="U313" s="38"/>
      <x:c r="V313" s="38"/>
      <x:c r="W313" s="38"/>
      <x:c r="X313" s="38"/>
      <x:c r="Y313" s="38"/>
      <x:c r="Z313" s="38"/>
    </x:row>
    <x:row r="314">
      <x:c r="A314" s="38"/>
      <x:c r="B314" s="38"/>
      <x:c r="C314" s="38"/>
      <x:c r="D314" s="38"/>
      <x:c r="E314" s="38"/>
      <x:c r="F314" s="38"/>
      <x:c r="G314" s="38"/>
      <x:c r="H314" s="38"/>
      <x:c r="I314" s="38"/>
      <x:c r="J314" s="38"/>
      <x:c r="K314" s="38"/>
      <x:c r="L314" s="38"/>
      <x:c r="M314" s="38"/>
      <x:c r="N314" s="38"/>
      <x:c r="O314" s="38"/>
      <x:c r="P314" s="38"/>
      <x:c r="Q314" s="38"/>
      <x:c r="R314" s="38"/>
      <x:c r="S314" s="38"/>
      <x:c r="T314" s="38"/>
      <x:c r="U314" s="38"/>
      <x:c r="V314" s="38"/>
      <x:c r="W314" s="38"/>
      <x:c r="X314" s="38"/>
      <x:c r="Y314" s="38"/>
      <x:c r="Z314" s="38"/>
    </x:row>
    <x:row r="315">
      <x:c r="A315" s="38"/>
      <x:c r="B315" s="38"/>
      <x:c r="C315" s="38"/>
      <x:c r="D315" s="38"/>
      <x:c r="E315" s="38"/>
      <x:c r="F315" s="38"/>
      <x:c r="G315" s="38"/>
      <x:c r="H315" s="38"/>
      <x:c r="I315" s="38"/>
      <x:c r="J315" s="38"/>
      <x:c r="K315" s="38"/>
      <x:c r="L315" s="38"/>
      <x:c r="M315" s="38"/>
      <x:c r="N315" s="38"/>
      <x:c r="O315" s="38"/>
      <x:c r="P315" s="38"/>
      <x:c r="Q315" s="38"/>
      <x:c r="R315" s="38"/>
      <x:c r="S315" s="38"/>
      <x:c r="T315" s="38"/>
      <x:c r="U315" s="38"/>
      <x:c r="V315" s="38"/>
      <x:c r="W315" s="38"/>
      <x:c r="X315" s="38"/>
      <x:c r="Y315" s="38"/>
      <x:c r="Z315" s="38"/>
    </x:row>
    <x:row r="316">
      <x:c r="A316" s="38"/>
      <x:c r="B316" s="38"/>
      <x:c r="C316" s="38"/>
      <x:c r="D316" s="38"/>
      <x:c r="E316" s="38"/>
      <x:c r="F316" s="38"/>
      <x:c r="G316" s="38"/>
      <x:c r="H316" s="38"/>
      <x:c r="I316" s="38"/>
      <x:c r="J316" s="38"/>
      <x:c r="K316" s="38"/>
      <x:c r="L316" s="38"/>
      <x:c r="M316" s="38"/>
      <x:c r="N316" s="38"/>
      <x:c r="O316" s="38"/>
      <x:c r="P316" s="38"/>
      <x:c r="Q316" s="38"/>
      <x:c r="R316" s="38"/>
      <x:c r="S316" s="38"/>
      <x:c r="T316" s="38"/>
      <x:c r="U316" s="38"/>
      <x:c r="V316" s="38"/>
      <x:c r="W316" s="38"/>
      <x:c r="X316" s="38"/>
      <x:c r="Y316" s="38"/>
      <x:c r="Z316" s="38"/>
    </x:row>
    <x:row r="317">
      <x:c r="A317" s="38"/>
      <x:c r="B317" s="38"/>
      <x:c r="C317" s="38"/>
      <x:c r="D317" s="38"/>
      <x:c r="E317" s="38"/>
      <x:c r="F317" s="38"/>
      <x:c r="G317" s="38"/>
      <x:c r="H317" s="38"/>
      <x:c r="I317" s="38"/>
      <x:c r="J317" s="38"/>
      <x:c r="K317" s="38"/>
      <x:c r="L317" s="38"/>
      <x:c r="M317" s="38"/>
      <x:c r="N317" s="38"/>
      <x:c r="O317" s="38"/>
      <x:c r="P317" s="38"/>
      <x:c r="Q317" s="38"/>
      <x:c r="R317" s="38"/>
      <x:c r="S317" s="38"/>
      <x:c r="T317" s="38"/>
      <x:c r="U317" s="38"/>
      <x:c r="V317" s="38"/>
      <x:c r="W317" s="38"/>
      <x:c r="X317" s="38"/>
      <x:c r="Y317" s="38"/>
      <x:c r="Z317" s="38"/>
    </x:row>
    <x:row r="318">
      <x:c r="A318" s="38"/>
      <x:c r="B318" s="38"/>
      <x:c r="C318" s="38"/>
      <x:c r="D318" s="38"/>
      <x:c r="E318" s="38"/>
      <x:c r="F318" s="38"/>
      <x:c r="G318" s="38"/>
      <x:c r="H318" s="38"/>
      <x:c r="I318" s="38"/>
      <x:c r="J318" s="38"/>
      <x:c r="K318" s="38"/>
      <x:c r="L318" s="38"/>
      <x:c r="M318" s="38"/>
      <x:c r="N318" s="38"/>
      <x:c r="O318" s="38"/>
      <x:c r="P318" s="38"/>
      <x:c r="Q318" s="38"/>
      <x:c r="R318" s="38"/>
      <x:c r="S318" s="38"/>
      <x:c r="T318" s="38"/>
      <x:c r="U318" s="38"/>
      <x:c r="V318" s="38"/>
      <x:c r="W318" s="38"/>
      <x:c r="X318" s="38"/>
      <x:c r="Y318" s="38"/>
      <x:c r="Z318" s="38"/>
    </x:row>
    <x:row r="319">
      <x:c r="A319" s="38"/>
      <x:c r="B319" s="38"/>
      <x:c r="C319" s="38"/>
      <x:c r="D319" s="38"/>
      <x:c r="E319" s="38"/>
      <x:c r="F319" s="38"/>
      <x:c r="G319" s="38"/>
      <x:c r="H319" s="38"/>
      <x:c r="I319" s="38"/>
      <x:c r="J319" s="38"/>
      <x:c r="K319" s="38"/>
      <x:c r="L319" s="38"/>
      <x:c r="M319" s="38"/>
      <x:c r="N319" s="38"/>
      <x:c r="O319" s="38"/>
      <x:c r="P319" s="38"/>
      <x:c r="Q319" s="38"/>
      <x:c r="R319" s="38"/>
      <x:c r="S319" s="38"/>
      <x:c r="T319" s="38"/>
      <x:c r="U319" s="38"/>
      <x:c r="V319" s="38"/>
      <x:c r="W319" s="38"/>
      <x:c r="X319" s="38"/>
      <x:c r="Y319" s="38"/>
      <x:c r="Z319" s="38"/>
    </x:row>
    <x:row r="320">
      <x:c r="A320" s="38"/>
      <x:c r="B320" s="38"/>
      <x:c r="C320" s="38"/>
      <x:c r="D320" s="38"/>
      <x:c r="E320" s="38"/>
      <x:c r="F320" s="38"/>
      <x:c r="G320" s="38"/>
      <x:c r="H320" s="38"/>
      <x:c r="I320" s="38"/>
      <x:c r="J320" s="38"/>
      <x:c r="K320" s="38"/>
      <x:c r="L320" s="38"/>
      <x:c r="M320" s="38"/>
      <x:c r="N320" s="38"/>
      <x:c r="O320" s="38"/>
      <x:c r="P320" s="38"/>
      <x:c r="Q320" s="38"/>
      <x:c r="R320" s="38"/>
      <x:c r="S320" s="38"/>
      <x:c r="T320" s="38"/>
      <x:c r="U320" s="38"/>
      <x:c r="V320" s="38"/>
      <x:c r="W320" s="38"/>
      <x:c r="X320" s="38"/>
      <x:c r="Y320" s="38"/>
      <x:c r="Z320" s="38"/>
    </x:row>
    <x:row r="321">
      <x:c r="A321" s="38"/>
      <x:c r="B321" s="38"/>
      <x:c r="C321" s="38"/>
      <x:c r="D321" s="38"/>
      <x:c r="E321" s="38"/>
      <x:c r="F321" s="38"/>
      <x:c r="G321" s="38"/>
      <x:c r="H321" s="38"/>
      <x:c r="I321" s="38"/>
      <x:c r="J321" s="38"/>
      <x:c r="K321" s="38"/>
      <x:c r="L321" s="38"/>
      <x:c r="M321" s="38"/>
      <x:c r="N321" s="38"/>
      <x:c r="O321" s="38"/>
      <x:c r="P321" s="38"/>
      <x:c r="Q321" s="38"/>
      <x:c r="R321" s="38"/>
      <x:c r="S321" s="38"/>
      <x:c r="T321" s="38"/>
      <x:c r="U321" s="38"/>
      <x:c r="V321" s="38"/>
      <x:c r="W321" s="38"/>
      <x:c r="X321" s="38"/>
      <x:c r="Y321" s="38"/>
      <x:c r="Z321" s="38"/>
    </x:row>
    <x:row r="322">
      <x:c r="A322" s="38"/>
      <x:c r="B322" s="38"/>
      <x:c r="C322" s="38"/>
      <x:c r="D322" s="38"/>
      <x:c r="E322" s="38"/>
      <x:c r="F322" s="38"/>
      <x:c r="G322" s="38"/>
      <x:c r="H322" s="38"/>
      <x:c r="I322" s="38"/>
      <x:c r="J322" s="38"/>
      <x:c r="K322" s="38"/>
      <x:c r="L322" s="38"/>
      <x:c r="M322" s="38"/>
      <x:c r="N322" s="38"/>
      <x:c r="O322" s="38"/>
      <x:c r="P322" s="38"/>
      <x:c r="Q322" s="38"/>
      <x:c r="R322" s="38"/>
      <x:c r="S322" s="38"/>
      <x:c r="T322" s="38"/>
      <x:c r="U322" s="38"/>
      <x:c r="V322" s="38"/>
      <x:c r="W322" s="38"/>
      <x:c r="X322" s="38"/>
      <x:c r="Y322" s="38"/>
      <x:c r="Z322" s="38"/>
    </x:row>
    <x:row r="323">
      <x:c r="A323" s="38"/>
      <x:c r="B323" s="38"/>
      <x:c r="C323" s="38"/>
      <x:c r="D323" s="38"/>
      <x:c r="E323" s="38"/>
      <x:c r="F323" s="38"/>
      <x:c r="G323" s="38"/>
      <x:c r="H323" s="38"/>
      <x:c r="I323" s="38"/>
      <x:c r="J323" s="38"/>
      <x:c r="K323" s="38"/>
      <x:c r="L323" s="38"/>
      <x:c r="M323" s="38"/>
      <x:c r="N323" s="38"/>
      <x:c r="O323" s="38"/>
      <x:c r="P323" s="38"/>
      <x:c r="Q323" s="38"/>
      <x:c r="R323" s="38"/>
      <x:c r="S323" s="38"/>
      <x:c r="T323" s="38"/>
      <x:c r="U323" s="38"/>
      <x:c r="V323" s="38"/>
      <x:c r="W323" s="38"/>
      <x:c r="X323" s="38"/>
      <x:c r="Y323" s="38"/>
      <x:c r="Z323" s="38"/>
    </x:row>
    <x:row r="324">
      <x:c r="A324" s="38"/>
      <x:c r="B324" s="38"/>
      <x:c r="C324" s="38"/>
      <x:c r="D324" s="38"/>
      <x:c r="E324" s="38"/>
      <x:c r="F324" s="38"/>
      <x:c r="G324" s="38"/>
      <x:c r="H324" s="38"/>
      <x:c r="I324" s="38"/>
      <x:c r="J324" s="38"/>
      <x:c r="K324" s="38"/>
      <x:c r="L324" s="38"/>
      <x:c r="M324" s="38"/>
      <x:c r="N324" s="38"/>
      <x:c r="O324" s="38"/>
      <x:c r="P324" s="38"/>
      <x:c r="Q324" s="38"/>
      <x:c r="R324" s="38"/>
      <x:c r="S324" s="38"/>
      <x:c r="T324" s="38"/>
      <x:c r="U324" s="38"/>
      <x:c r="V324" s="38"/>
      <x:c r="W324" s="38"/>
      <x:c r="X324" s="38"/>
      <x:c r="Y324" s="38"/>
      <x:c r="Z324" s="38"/>
    </x:row>
    <x:row r="325">
      <x:c r="A325" s="38"/>
      <x:c r="B325" s="38"/>
      <x:c r="C325" s="38"/>
      <x:c r="D325" s="38"/>
      <x:c r="E325" s="38"/>
      <x:c r="F325" s="38"/>
      <x:c r="G325" s="38"/>
      <x:c r="H325" s="38"/>
      <x:c r="I325" s="38"/>
      <x:c r="J325" s="38"/>
      <x:c r="K325" s="38"/>
      <x:c r="L325" s="38"/>
      <x:c r="M325" s="38"/>
      <x:c r="N325" s="38"/>
      <x:c r="O325" s="38"/>
      <x:c r="P325" s="38"/>
      <x:c r="Q325" s="38"/>
      <x:c r="R325" s="38"/>
      <x:c r="S325" s="38"/>
      <x:c r="T325" s="38"/>
      <x:c r="U325" s="38"/>
      <x:c r="V325" s="38"/>
      <x:c r="W325" s="38"/>
      <x:c r="X325" s="38"/>
      <x:c r="Y325" s="38"/>
      <x:c r="Z325" s="38"/>
    </x:row>
    <x:row r="326">
      <x:c r="A326" s="38"/>
      <x:c r="B326" s="38"/>
      <x:c r="C326" s="38"/>
      <x:c r="D326" s="38"/>
      <x:c r="E326" s="38"/>
      <x:c r="F326" s="38"/>
      <x:c r="G326" s="38"/>
      <x:c r="H326" s="38"/>
      <x:c r="I326" s="38"/>
      <x:c r="J326" s="38"/>
      <x:c r="K326" s="38"/>
      <x:c r="L326" s="38"/>
      <x:c r="M326" s="38"/>
      <x:c r="N326" s="38"/>
      <x:c r="O326" s="38"/>
      <x:c r="P326" s="38"/>
      <x:c r="Q326" s="38"/>
      <x:c r="R326" s="38"/>
      <x:c r="S326" s="38"/>
      <x:c r="T326" s="38"/>
      <x:c r="U326" s="38"/>
      <x:c r="V326" s="38"/>
      <x:c r="W326" s="38"/>
      <x:c r="X326" s="38"/>
      <x:c r="Y326" s="38"/>
      <x:c r="Z326" s="38"/>
    </x:row>
    <x:row r="327">
      <x:c r="A327" s="38"/>
      <x:c r="B327" s="38"/>
      <x:c r="C327" s="38"/>
      <x:c r="D327" s="38"/>
      <x:c r="E327" s="38"/>
      <x:c r="F327" s="38"/>
      <x:c r="G327" s="38"/>
      <x:c r="H327" s="38"/>
      <x:c r="I327" s="38"/>
      <x:c r="J327" s="38"/>
      <x:c r="K327" s="38"/>
      <x:c r="L327" s="38"/>
      <x:c r="M327" s="38"/>
      <x:c r="N327" s="38"/>
      <x:c r="O327" s="38"/>
      <x:c r="P327" s="38"/>
      <x:c r="Q327" s="38"/>
      <x:c r="R327" s="38"/>
      <x:c r="S327" s="38"/>
      <x:c r="T327" s="38"/>
      <x:c r="U327" s="38"/>
      <x:c r="V327" s="38"/>
      <x:c r="W327" s="38"/>
      <x:c r="X327" s="38"/>
      <x:c r="Y327" s="38"/>
      <x:c r="Z327" s="38"/>
    </x:row>
    <x:row r="328">
      <x:c r="A328" s="38"/>
      <x:c r="B328" s="38"/>
      <x:c r="C328" s="38"/>
      <x:c r="D328" s="38"/>
      <x:c r="E328" s="38"/>
      <x:c r="F328" s="38"/>
      <x:c r="G328" s="38"/>
      <x:c r="H328" s="38"/>
      <x:c r="I328" s="38"/>
      <x:c r="J328" s="38"/>
      <x:c r="K328" s="38"/>
      <x:c r="L328" s="38"/>
      <x:c r="M328" s="38"/>
      <x:c r="N328" s="38"/>
      <x:c r="O328" s="38"/>
      <x:c r="P328" s="38"/>
      <x:c r="Q328" s="38"/>
      <x:c r="R328" s="38"/>
      <x:c r="S328" s="38"/>
      <x:c r="T328" s="38"/>
      <x:c r="U328" s="38"/>
      <x:c r="V328" s="38"/>
      <x:c r="W328" s="38"/>
      <x:c r="X328" s="38"/>
      <x:c r="Y328" s="38"/>
      <x:c r="Z328" s="38"/>
    </x:row>
    <x:row r="329">
      <x:c r="A329" s="38"/>
      <x:c r="B329" s="38"/>
      <x:c r="C329" s="38"/>
      <x:c r="D329" s="38"/>
      <x:c r="E329" s="38"/>
      <x:c r="F329" s="38"/>
      <x:c r="G329" s="38"/>
      <x:c r="H329" s="38"/>
      <x:c r="I329" s="38"/>
      <x:c r="J329" s="38"/>
      <x:c r="K329" s="38"/>
      <x:c r="L329" s="38"/>
      <x:c r="M329" s="38"/>
      <x:c r="N329" s="38"/>
      <x:c r="O329" s="38"/>
      <x:c r="P329" s="38"/>
      <x:c r="Q329" s="38"/>
      <x:c r="R329" s="38"/>
      <x:c r="S329" s="38"/>
      <x:c r="T329" s="38"/>
      <x:c r="U329" s="38"/>
      <x:c r="V329" s="38"/>
      <x:c r="W329" s="38"/>
      <x:c r="X329" s="38"/>
      <x:c r="Y329" s="38"/>
      <x:c r="Z329" s="38"/>
    </x:row>
    <x:row r="330">
      <x:c r="A330" s="38"/>
      <x:c r="B330" s="38"/>
      <x:c r="C330" s="38"/>
      <x:c r="D330" s="38"/>
      <x:c r="E330" s="38"/>
      <x:c r="F330" s="38"/>
      <x:c r="G330" s="38"/>
      <x:c r="H330" s="38"/>
      <x:c r="I330" s="38"/>
      <x:c r="J330" s="38"/>
      <x:c r="K330" s="38"/>
      <x:c r="L330" s="38"/>
      <x:c r="M330" s="38"/>
      <x:c r="N330" s="38"/>
      <x:c r="O330" s="38"/>
      <x:c r="P330" s="38"/>
      <x:c r="Q330" s="38"/>
      <x:c r="R330" s="38"/>
      <x:c r="S330" s="38"/>
      <x:c r="T330" s="38"/>
      <x:c r="U330" s="38"/>
      <x:c r="V330" s="38"/>
      <x:c r="W330" s="38"/>
      <x:c r="X330" s="38"/>
      <x:c r="Y330" s="38"/>
      <x:c r="Z330" s="38"/>
    </x:row>
    <x:row r="331">
      <x:c r="A331" s="38"/>
      <x:c r="B331" s="38"/>
      <x:c r="C331" s="38"/>
      <x:c r="D331" s="38"/>
      <x:c r="E331" s="38"/>
      <x:c r="F331" s="38"/>
      <x:c r="G331" s="38"/>
      <x:c r="H331" s="38"/>
      <x:c r="I331" s="38"/>
      <x:c r="J331" s="38"/>
      <x:c r="K331" s="38"/>
      <x:c r="L331" s="38"/>
      <x:c r="M331" s="38"/>
      <x:c r="N331" s="38"/>
      <x:c r="O331" s="38"/>
      <x:c r="P331" s="38"/>
      <x:c r="Q331" s="38"/>
      <x:c r="R331" s="38"/>
      <x:c r="S331" s="38"/>
      <x:c r="T331" s="38"/>
      <x:c r="U331" s="38"/>
      <x:c r="V331" s="38"/>
      <x:c r="W331" s="38"/>
      <x:c r="X331" s="38"/>
      <x:c r="Y331" s="38"/>
      <x:c r="Z331" s="38"/>
    </x:row>
    <x:row r="332">
      <x:c r="A332" s="38"/>
      <x:c r="B332" s="38"/>
      <x:c r="C332" s="38"/>
      <x:c r="D332" s="38"/>
      <x:c r="E332" s="38"/>
      <x:c r="F332" s="38"/>
      <x:c r="G332" s="38"/>
      <x:c r="H332" s="38"/>
      <x:c r="I332" s="38"/>
      <x:c r="J332" s="38"/>
      <x:c r="K332" s="38"/>
      <x:c r="L332" s="38"/>
      <x:c r="M332" s="38"/>
      <x:c r="N332" s="38"/>
      <x:c r="O332" s="38"/>
      <x:c r="P332" s="38"/>
      <x:c r="Q332" s="38"/>
      <x:c r="R332" s="38"/>
      <x:c r="S332" s="38"/>
      <x:c r="T332" s="38"/>
      <x:c r="U332" s="38"/>
      <x:c r="V332" s="38"/>
      <x:c r="W332" s="38"/>
      <x:c r="X332" s="38"/>
      <x:c r="Y332" s="38"/>
      <x:c r="Z332" s="38"/>
    </x:row>
    <x:row r="333">
      <x:c r="A333" s="38"/>
      <x:c r="B333" s="38"/>
      <x:c r="C333" s="38"/>
      <x:c r="D333" s="38"/>
      <x:c r="E333" s="38"/>
      <x:c r="F333" s="38"/>
      <x:c r="G333" s="38"/>
      <x:c r="H333" s="38"/>
      <x:c r="I333" s="38"/>
      <x:c r="J333" s="38"/>
      <x:c r="K333" s="38"/>
      <x:c r="L333" s="38"/>
      <x:c r="M333" s="38"/>
      <x:c r="N333" s="38"/>
      <x:c r="O333" s="38"/>
      <x:c r="P333" s="38"/>
      <x:c r="Q333" s="38"/>
      <x:c r="R333" s="38"/>
      <x:c r="S333" s="38"/>
      <x:c r="T333" s="38"/>
      <x:c r="U333" s="38"/>
      <x:c r="V333" s="38"/>
      <x:c r="W333" s="38"/>
      <x:c r="X333" s="38"/>
      <x:c r="Y333" s="38"/>
      <x:c r="Z333" s="38"/>
    </x:row>
    <x:row r="334">
      <x:c r="A334" s="38"/>
      <x:c r="B334" s="38"/>
      <x:c r="C334" s="38"/>
      <x:c r="D334" s="38"/>
      <x:c r="E334" s="38"/>
      <x:c r="F334" s="38"/>
      <x:c r="G334" s="38"/>
      <x:c r="H334" s="38"/>
      <x:c r="I334" s="38"/>
      <x:c r="J334" s="38"/>
      <x:c r="K334" s="38"/>
      <x:c r="L334" s="38"/>
      <x:c r="M334" s="38"/>
      <x:c r="N334" s="38"/>
      <x:c r="O334" s="38"/>
      <x:c r="P334" s="38"/>
      <x:c r="Q334" s="38"/>
      <x:c r="R334" s="38"/>
      <x:c r="S334" s="38"/>
      <x:c r="T334" s="38"/>
      <x:c r="U334" s="38"/>
      <x:c r="V334" s="38"/>
      <x:c r="W334" s="38"/>
      <x:c r="X334" s="38"/>
      <x:c r="Y334" s="38"/>
      <x:c r="Z334" s="38"/>
    </x:row>
    <x:row r="335">
      <x:c r="A335" s="38"/>
      <x:c r="B335" s="38"/>
      <x:c r="C335" s="38"/>
      <x:c r="D335" s="38"/>
      <x:c r="E335" s="38"/>
      <x:c r="F335" s="38"/>
      <x:c r="G335" s="38"/>
      <x:c r="H335" s="38"/>
      <x:c r="I335" s="38"/>
      <x:c r="J335" s="38"/>
      <x:c r="K335" s="38"/>
      <x:c r="L335" s="38"/>
      <x:c r="M335" s="38"/>
      <x:c r="N335" s="38"/>
      <x:c r="O335" s="38"/>
      <x:c r="P335" s="38"/>
      <x:c r="Q335" s="38"/>
      <x:c r="R335" s="38"/>
      <x:c r="S335" s="38"/>
      <x:c r="T335" s="38"/>
      <x:c r="U335" s="38"/>
      <x:c r="V335" s="38"/>
      <x:c r="W335" s="38"/>
      <x:c r="X335" s="38"/>
      <x:c r="Y335" s="38"/>
      <x:c r="Z335" s="38"/>
    </x:row>
    <x:row r="336">
      <x:c r="A336" s="38"/>
      <x:c r="B336" s="38"/>
      <x:c r="C336" s="38"/>
      <x:c r="D336" s="38"/>
      <x:c r="E336" s="38"/>
      <x:c r="F336" s="38"/>
      <x:c r="G336" s="38"/>
      <x:c r="H336" s="38"/>
      <x:c r="I336" s="38"/>
      <x:c r="J336" s="38"/>
      <x:c r="K336" s="38"/>
      <x:c r="L336" s="38"/>
      <x:c r="M336" s="38"/>
      <x:c r="N336" s="38"/>
      <x:c r="O336" s="38"/>
      <x:c r="P336" s="38"/>
      <x:c r="Q336" s="38"/>
      <x:c r="R336" s="38"/>
      <x:c r="S336" s="38"/>
      <x:c r="T336" s="38"/>
      <x:c r="U336" s="38"/>
      <x:c r="V336" s="38"/>
      <x:c r="W336" s="38"/>
      <x:c r="X336" s="38"/>
      <x:c r="Y336" s="38"/>
      <x:c r="Z336" s="38"/>
    </x:row>
    <x:row r="337">
      <x:c r="A337" s="38"/>
      <x:c r="B337" s="38"/>
      <x:c r="C337" s="38"/>
      <x:c r="D337" s="38"/>
      <x:c r="E337" s="38"/>
      <x:c r="F337" s="38"/>
      <x:c r="G337" s="38"/>
      <x:c r="H337" s="38"/>
      <x:c r="I337" s="38"/>
      <x:c r="J337" s="38"/>
      <x:c r="K337" s="38"/>
      <x:c r="L337" s="38"/>
      <x:c r="M337" s="38"/>
      <x:c r="N337" s="38"/>
      <x:c r="O337" s="38"/>
      <x:c r="P337" s="38"/>
      <x:c r="Q337" s="38"/>
      <x:c r="R337" s="38"/>
      <x:c r="S337" s="38"/>
      <x:c r="T337" s="38"/>
      <x:c r="U337" s="38"/>
      <x:c r="V337" s="38"/>
      <x:c r="W337" s="38"/>
      <x:c r="X337" s="38"/>
      <x:c r="Y337" s="38"/>
      <x:c r="Z337" s="38"/>
    </x:row>
    <x:row r="338">
      <x:c r="A338" s="38"/>
      <x:c r="B338" s="38"/>
      <x:c r="C338" s="38"/>
      <x:c r="D338" s="38"/>
      <x:c r="E338" s="38"/>
      <x:c r="F338" s="38"/>
      <x:c r="G338" s="38"/>
      <x:c r="H338" s="38"/>
      <x:c r="I338" s="38"/>
      <x:c r="J338" s="38"/>
      <x:c r="K338" s="38"/>
      <x:c r="L338" s="38"/>
      <x:c r="M338" s="38"/>
      <x:c r="N338" s="38"/>
      <x:c r="O338" s="38"/>
      <x:c r="P338" s="38"/>
      <x:c r="Q338" s="38"/>
      <x:c r="R338" s="38"/>
      <x:c r="S338" s="38"/>
      <x:c r="T338" s="38"/>
      <x:c r="U338" s="38"/>
      <x:c r="V338" s="38"/>
      <x:c r="W338" s="38"/>
      <x:c r="X338" s="38"/>
      <x:c r="Y338" s="38"/>
      <x:c r="Z338" s="38"/>
    </x:row>
    <x:row r="339">
      <x:c r="A339" s="38"/>
      <x:c r="B339" s="38"/>
      <x:c r="C339" s="38"/>
      <x:c r="D339" s="38"/>
      <x:c r="E339" s="38"/>
      <x:c r="F339" s="38"/>
      <x:c r="G339" s="38"/>
      <x:c r="H339" s="38"/>
      <x:c r="I339" s="38"/>
      <x:c r="J339" s="38"/>
      <x:c r="K339" s="38"/>
      <x:c r="L339" s="38"/>
      <x:c r="M339" s="38"/>
      <x:c r="N339" s="38"/>
      <x:c r="O339" s="38"/>
      <x:c r="P339" s="38"/>
      <x:c r="Q339" s="38"/>
      <x:c r="R339" s="38"/>
      <x:c r="S339" s="38"/>
      <x:c r="T339" s="38"/>
      <x:c r="U339" s="38"/>
      <x:c r="V339" s="38"/>
      <x:c r="W339" s="38"/>
      <x:c r="X339" s="38"/>
      <x:c r="Y339" s="38"/>
      <x:c r="Z339" s="38"/>
    </x:row>
    <x:row r="340">
      <x:c r="A340" s="38"/>
      <x:c r="B340" s="38"/>
      <x:c r="C340" s="38"/>
      <x:c r="D340" s="38"/>
      <x:c r="E340" s="38"/>
      <x:c r="F340" s="38"/>
      <x:c r="G340" s="38"/>
      <x:c r="H340" s="38"/>
      <x:c r="I340" s="38"/>
      <x:c r="J340" s="38"/>
      <x:c r="K340" s="38"/>
      <x:c r="L340" s="38"/>
      <x:c r="M340" s="38"/>
      <x:c r="N340" s="38"/>
      <x:c r="O340" s="38"/>
      <x:c r="P340" s="38"/>
      <x:c r="Q340" s="38"/>
      <x:c r="R340" s="38"/>
      <x:c r="S340" s="38"/>
      <x:c r="T340" s="38"/>
      <x:c r="U340" s="38"/>
      <x:c r="V340" s="38"/>
      <x:c r="W340" s="38"/>
      <x:c r="X340" s="38"/>
      <x:c r="Y340" s="38"/>
      <x:c r="Z340" s="38"/>
    </x:row>
    <x:row r="341">
      <x:c r="A341" s="38"/>
      <x:c r="B341" s="38"/>
      <x:c r="C341" s="38"/>
      <x:c r="D341" s="38"/>
      <x:c r="E341" s="38"/>
      <x:c r="F341" s="38"/>
      <x:c r="G341" s="38"/>
      <x:c r="H341" s="38"/>
      <x:c r="I341" s="38"/>
      <x:c r="J341" s="38"/>
      <x:c r="K341" s="38"/>
      <x:c r="L341" s="38"/>
      <x:c r="M341" s="38"/>
      <x:c r="N341" s="38"/>
      <x:c r="O341" s="38"/>
      <x:c r="P341" s="38"/>
      <x:c r="Q341" s="38"/>
      <x:c r="R341" s="38"/>
      <x:c r="S341" s="38"/>
      <x:c r="T341" s="38"/>
      <x:c r="U341" s="38"/>
      <x:c r="V341" s="38"/>
      <x:c r="W341" s="38"/>
      <x:c r="X341" s="38"/>
      <x:c r="Y341" s="38"/>
      <x:c r="Z341" s="38"/>
    </x:row>
    <x:row r="342">
      <x:c r="A342" s="38"/>
      <x:c r="B342" s="38"/>
      <x:c r="C342" s="38"/>
      <x:c r="D342" s="38"/>
      <x:c r="E342" s="38"/>
      <x:c r="F342" s="38"/>
      <x:c r="G342" s="38"/>
      <x:c r="H342" s="38"/>
      <x:c r="I342" s="38"/>
      <x:c r="J342" s="38"/>
      <x:c r="K342" s="38"/>
      <x:c r="L342" s="38"/>
      <x:c r="M342" s="38"/>
      <x:c r="N342" s="38"/>
      <x:c r="O342" s="38"/>
      <x:c r="P342" s="38"/>
      <x:c r="Q342" s="38"/>
      <x:c r="R342" s="38"/>
      <x:c r="S342" s="38"/>
      <x:c r="T342" s="38"/>
      <x:c r="U342" s="38"/>
      <x:c r="V342" s="38"/>
      <x:c r="W342" s="38"/>
      <x:c r="X342" s="38"/>
      <x:c r="Y342" s="38"/>
      <x:c r="Z342" s="38"/>
    </x:row>
    <x:row r="343">
      <x:c r="A343" s="38"/>
      <x:c r="B343" s="38"/>
      <x:c r="C343" s="38"/>
      <x:c r="D343" s="38"/>
      <x:c r="E343" s="38"/>
      <x:c r="F343" s="38"/>
      <x:c r="G343" s="38"/>
      <x:c r="H343" s="38"/>
      <x:c r="I343" s="38"/>
      <x:c r="J343" s="38"/>
      <x:c r="K343" s="38"/>
      <x:c r="L343" s="38"/>
      <x:c r="M343" s="38"/>
      <x:c r="N343" s="38"/>
      <x:c r="O343" s="38"/>
      <x:c r="P343" s="38"/>
      <x:c r="Q343" s="38"/>
      <x:c r="R343" s="38"/>
      <x:c r="S343" s="38"/>
      <x:c r="T343" s="38"/>
      <x:c r="U343" s="38"/>
      <x:c r="V343" s="38"/>
      <x:c r="W343" s="38"/>
      <x:c r="X343" s="38"/>
      <x:c r="Y343" s="38"/>
      <x:c r="Z343" s="38"/>
    </x:row>
    <x:row r="344">
      <x:c r="A344" s="38"/>
      <x:c r="B344" s="38"/>
      <x:c r="C344" s="38"/>
      <x:c r="D344" s="38"/>
      <x:c r="E344" s="38"/>
      <x:c r="F344" s="38"/>
      <x:c r="G344" s="38"/>
      <x:c r="H344" s="38"/>
      <x:c r="I344" s="38"/>
      <x:c r="J344" s="38"/>
      <x:c r="K344" s="38"/>
      <x:c r="L344" s="38"/>
      <x:c r="M344" s="38"/>
      <x:c r="N344" s="38"/>
      <x:c r="O344" s="38"/>
      <x:c r="P344" s="38"/>
      <x:c r="Q344" s="38"/>
      <x:c r="R344" s="38"/>
      <x:c r="S344" s="38"/>
      <x:c r="T344" s="38"/>
      <x:c r="U344" s="38"/>
      <x:c r="V344" s="38"/>
      <x:c r="W344" s="38"/>
      <x:c r="X344" s="38"/>
      <x:c r="Y344" s="38"/>
      <x:c r="Z344" s="38"/>
    </x:row>
    <x:row r="345">
      <x:c r="A345" s="38"/>
      <x:c r="B345" s="38"/>
      <x:c r="C345" s="38"/>
      <x:c r="D345" s="38"/>
      <x:c r="E345" s="38"/>
      <x:c r="F345" s="38"/>
      <x:c r="G345" s="38"/>
      <x:c r="H345" s="38"/>
      <x:c r="I345" s="38"/>
      <x:c r="J345" s="38"/>
      <x:c r="K345" s="38"/>
      <x:c r="L345" s="38"/>
      <x:c r="M345" s="38"/>
      <x:c r="N345" s="38"/>
      <x:c r="O345" s="38"/>
      <x:c r="P345" s="38"/>
      <x:c r="Q345" s="38"/>
      <x:c r="R345" s="38"/>
      <x:c r="S345" s="38"/>
      <x:c r="T345" s="38"/>
      <x:c r="U345" s="38"/>
      <x:c r="V345" s="38"/>
      <x:c r="W345" s="38"/>
      <x:c r="X345" s="38"/>
      <x:c r="Y345" s="38"/>
      <x:c r="Z345" s="38"/>
    </x:row>
    <x:row r="346">
      <x:c r="A346" s="38"/>
      <x:c r="B346" s="38"/>
      <x:c r="C346" s="38"/>
      <x:c r="D346" s="38"/>
      <x:c r="E346" s="38"/>
      <x:c r="F346" s="38"/>
      <x:c r="G346" s="38"/>
      <x:c r="H346" s="38"/>
      <x:c r="I346" s="38"/>
      <x:c r="J346" s="38"/>
      <x:c r="K346" s="38"/>
      <x:c r="L346" s="38"/>
      <x:c r="M346" s="38"/>
      <x:c r="N346" s="38"/>
      <x:c r="O346" s="38"/>
      <x:c r="P346" s="38"/>
      <x:c r="Q346" s="38"/>
      <x:c r="R346" s="38"/>
      <x:c r="S346" s="38"/>
      <x:c r="T346" s="38"/>
      <x:c r="U346" s="38"/>
      <x:c r="V346" s="38"/>
      <x:c r="W346" s="38"/>
      <x:c r="X346" s="38"/>
      <x:c r="Y346" s="38"/>
      <x:c r="Z346" s="38"/>
    </x:row>
    <x:row r="347">
      <x:c r="A347" s="38"/>
      <x:c r="B347" s="38"/>
      <x:c r="C347" s="38"/>
      <x:c r="D347" s="38"/>
      <x:c r="E347" s="38"/>
      <x:c r="F347" s="38"/>
      <x:c r="G347" s="38"/>
      <x:c r="H347" s="38"/>
      <x:c r="I347" s="38"/>
      <x:c r="J347" s="38"/>
      <x:c r="K347" s="38"/>
      <x:c r="L347" s="38"/>
      <x:c r="M347" s="38"/>
      <x:c r="N347" s="38"/>
      <x:c r="O347" s="38"/>
      <x:c r="P347" s="38"/>
      <x:c r="Q347" s="38"/>
      <x:c r="R347" s="38"/>
      <x:c r="S347" s="38"/>
      <x:c r="T347" s="38"/>
      <x:c r="U347" s="38"/>
      <x:c r="V347" s="38"/>
      <x:c r="W347" s="38"/>
      <x:c r="X347" s="38"/>
      <x:c r="Y347" s="38"/>
      <x:c r="Z347" s="38"/>
    </x:row>
    <x:row r="348">
      <x:c r="A348" s="38"/>
      <x:c r="B348" s="38"/>
      <x:c r="C348" s="38"/>
      <x:c r="D348" s="38"/>
      <x:c r="E348" s="38"/>
      <x:c r="F348" s="38"/>
      <x:c r="G348" s="38"/>
      <x:c r="H348" s="38"/>
      <x:c r="I348" s="38"/>
      <x:c r="J348" s="38"/>
      <x:c r="K348" s="38"/>
      <x:c r="L348" s="38"/>
      <x:c r="M348" s="38"/>
      <x:c r="N348" s="38"/>
      <x:c r="O348" s="38"/>
      <x:c r="P348" s="38"/>
      <x:c r="Q348" s="38"/>
      <x:c r="R348" s="38"/>
      <x:c r="S348" s="38"/>
      <x:c r="T348" s="38"/>
      <x:c r="U348" s="38"/>
      <x:c r="V348" s="38"/>
      <x:c r="W348" s="38"/>
      <x:c r="X348" s="38"/>
      <x:c r="Y348" s="38"/>
      <x:c r="Z348" s="38"/>
    </x:row>
    <x:row r="349">
      <x:c r="A349" s="38"/>
      <x:c r="B349" s="38"/>
      <x:c r="C349" s="38"/>
      <x:c r="D349" s="38"/>
      <x:c r="E349" s="38"/>
      <x:c r="F349" s="38"/>
      <x:c r="G349" s="38"/>
      <x:c r="H349" s="38"/>
      <x:c r="I349" s="38"/>
      <x:c r="J349" s="38"/>
      <x:c r="K349" s="38"/>
      <x:c r="L349" s="38"/>
      <x:c r="M349" s="38"/>
      <x:c r="N349" s="38"/>
      <x:c r="O349" s="38"/>
      <x:c r="P349" s="38"/>
      <x:c r="Q349" s="38"/>
      <x:c r="R349" s="38"/>
      <x:c r="S349" s="38"/>
      <x:c r="T349" s="38"/>
      <x:c r="U349" s="38"/>
      <x:c r="V349" s="38"/>
      <x:c r="W349" s="38"/>
      <x:c r="X349" s="38"/>
      <x:c r="Y349" s="38"/>
      <x:c r="Z349" s="38"/>
    </x:row>
    <x:row r="350">
      <x:c r="A350" s="38"/>
      <x:c r="B350" s="38"/>
      <x:c r="C350" s="38"/>
      <x:c r="D350" s="38"/>
      <x:c r="E350" s="38"/>
      <x:c r="F350" s="38"/>
      <x:c r="G350" s="38"/>
      <x:c r="H350" s="38"/>
      <x:c r="I350" s="38"/>
      <x:c r="J350" s="38"/>
      <x:c r="K350" s="38"/>
      <x:c r="L350" s="38"/>
      <x:c r="M350" s="38"/>
      <x:c r="N350" s="38"/>
      <x:c r="O350" s="38"/>
      <x:c r="P350" s="38"/>
      <x:c r="Q350" s="38"/>
      <x:c r="R350" s="38"/>
      <x:c r="S350" s="38"/>
      <x:c r="T350" s="38"/>
      <x:c r="U350" s="38"/>
      <x:c r="V350" s="38"/>
      <x:c r="W350" s="38"/>
      <x:c r="X350" s="38"/>
      <x:c r="Y350" s="38"/>
      <x:c r="Z350" s="38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20fe6109ffcd4f8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60" hidden="0" customWidth="1"/>
  </x:cols>
  <x:sheetData>
    <x:row r="1" ht="28" customHeight="1">
      <x:c r="A1" s="5" t="str">
        <x:v>05 — Quality Checks</x:v>
      </x:c>
    </x:row>
    <x:row r="2" ht="32" customHeight="1">
      <x:c r="A2" s="14" t="str">
        <x:v>Formula-driven checks for model scale, ID uniqueness, orphan records, and required approved-row fields.</x:v>
      </x:c>
    </x:row>
    <x:row r="4" ht="36" customHeight="1">
      <x:c r="A4" s="24" t="str">
        <x:v>Check_ID</x:v>
      </x:c>
      <x:c r="B4" s="24" t="str">
        <x:v>Check_Name</x:v>
      </x:c>
      <x:c r="C4" s="24" t="str">
        <x:v>Current_Value</x:v>
      </x:c>
      <x:c r="D4" s="24" t="str">
        <x:v>Target_Min</x:v>
      </x:c>
      <x:c r="E4" s="24" t="str">
        <x:v>Target_Max</x:v>
      </x:c>
      <x:c r="F4" s="24" t="str">
        <x:v>Status</x:v>
      </x:c>
      <x:c r="G4" s="24" t="str">
        <x:v>Notes</x:v>
      </x:c>
      <x:c r="H4" s="38"/>
      <x:c r="I4" s="38"/>
      <x:c r="J4" s="38"/>
      <x:c r="K4" s="38"/>
      <x:c r="L4" s="38"/>
      <x:c r="M4" s="38"/>
      <x:c r="N4" s="38"/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</x:row>
    <x:row r="5">
      <x:c r="A5" s="32" t="str">
        <x:v>QC-001</x:v>
      </x:c>
      <x:c r="B5" s="32" t="str">
        <x:v>Product count</x:v>
      </x:c>
      <x:c r="C5" s="32" t="n">
        <x:f>COUNTA('01_Products'!$A$5:$A$500)</x:f>
        <x:v>12</x:v>
      </x:c>
      <x:c r="D5" s="32" t="n">
        <x:v>11</x:v>
      </x:c>
      <x:c r="E5" s="32" t="n">
        <x:v>12</x:v>
      </x:c>
      <x:c r="F5" s="32" t="str">
        <x:f>IF(AND(C5&gt;=D5,C5&lt;=E5),"OK","Review")</x:f>
        <x:v>OK</x:v>
      </x:c>
      <x:c r="G5" s="32" t="str">
        <x:v>Target planning volume is ~12.</x:v>
      </x:c>
      <x:c r="H5" s="38"/>
      <x:c r="I5" s="38"/>
      <x:c r="J5" s="38"/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</x:row>
    <x:row r="6">
      <x:c r="A6" s="32" t="str">
        <x:v>QC-002</x:v>
      </x:c>
      <x:c r="B6" s="32" t="str">
        <x:v>Feature count</x:v>
      </x:c>
      <x:c r="C6" s="32" t="n">
        <x:f>COUNTA('02_Features'!$A$5:$A$1000)</x:f>
        <x:v>0</x:v>
      </x:c>
      <x:c r="D6" s="32" t="n">
        <x:v>70</x:v>
      </x:c>
      <x:c r="E6" s="32" t="n">
        <x:v>100</x:v>
      </x:c>
      <x:c r="F6" s="32" t="str">
        <x:f>IF(AND(C6&gt;=D6,C6&lt;=E6),"OK","Review")</x:f>
        <x:v>Review</x:v>
      </x:c>
      <x:c r="G6" s="32" t="str">
        <x:v>Target planning volume is ~80.</x:v>
      </x:c>
      <x:c r="H6" s="38"/>
      <x:c r="I6" s="38"/>
      <x:c r="J6" s="38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</x:row>
    <x:row r="7">
      <x:c r="A7" s="32" t="str">
        <x:v>QC-003</x:v>
      </x:c>
      <x:c r="B7" s="32" t="str">
        <x:v>Functionality count</x:v>
      </x:c>
      <x:c r="C7" s="32" t="n">
        <x:f>COUNTA('03_Functionalities'!$A$5:$A$2000)</x:f>
        <x:v>0</x:v>
      </x:c>
      <x:c r="D7" s="32" t="n">
        <x:v>200</x:v>
      </x:c>
      <x:c r="E7" s="32" t="n">
        <x:v>300</x:v>
      </x:c>
      <x:c r="F7" s="32" t="str">
        <x:f>IF(AND(C7&gt;=D7,C7&lt;=E7),"OK","Review")</x:f>
        <x:v>Review</x:v>
      </x:c>
      <x:c r="G7" s="32" t="str">
        <x:v>Target planning volume is ~240.</x:v>
      </x:c>
      <x:c r="H7" s="38"/>
      <x:c r="I7" s="38"/>
      <x:c r="J7" s="38"/>
      <x:c r="K7" s="38"/>
      <x:c r="L7" s="38"/>
      <x:c r="M7" s="38"/>
      <x:c r="N7" s="38"/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</x:row>
    <x:row r="8">
      <x:c r="A8" s="32" t="str">
        <x:v>QC-004</x:v>
      </x:c>
      <x:c r="B8" s="32" t="str">
        <x:v>Average features per product</x:v>
      </x:c>
      <x:c r="C8" s="32" t="n">
        <x:f>IF(C5=0,0,C6/C5)</x:f>
        <x:v>0</x:v>
      </x:c>
      <x:c r="D8" s="32" t="n">
        <x:v>5</x:v>
      </x:c>
      <x:c r="E8" s="32" t="n">
        <x:v>10</x:v>
      </x:c>
      <x:c r="F8" s="32" t="str">
        <x:f>IF(AND(C8&gt;=D8,C8&lt;=E8),"OK","Review")</x:f>
        <x:v>Review</x:v>
      </x:c>
      <x:c r="G8" s="32" t="str">
        <x:v>Target range: 5-10 major features per product/component.</x:v>
      </x:c>
      <x:c r="H8" s="38"/>
      <x:c r="I8" s="38"/>
      <x:c r="J8" s="38"/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</x:row>
    <x:row r="9">
      <x:c r="A9" s="32" t="str">
        <x:v>QC-005</x:v>
      </x:c>
      <x:c r="B9" s="32" t="str">
        <x:v>Average functionalities per feature</x:v>
      </x:c>
      <x:c r="C9" s="32" t="n">
        <x:f>IF(C6=0,0,C7/C6)</x:f>
        <x:v>0</x:v>
      </x:c>
      <x:c r="D9" s="32" t="n">
        <x:v>1</x:v>
      </x:c>
      <x:c r="E9" s="32" t="n">
        <x:v>5</x:v>
      </x:c>
      <x:c r="F9" s="32" t="str">
        <x:f>IF(AND(C9&gt;=D9,C9&lt;=E9),"OK","Review")</x:f>
        <x:v>Review</x:v>
      </x:c>
      <x:c r="G9" s="32" t="str">
        <x:v>Target range: 1-5 major functionalities per feature.</x:v>
      </x:c>
      <x:c r="H9" s="38"/>
      <x:c r="I9" s="38"/>
      <x:c r="J9" s="38"/>
      <x:c r="K9" s="38"/>
      <x:c r="L9" s="38"/>
      <x:c r="M9" s="38"/>
      <x:c r="N9" s="38"/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</x:row>
    <x:row r="10">
      <x:c r="A10" s="32" t="str">
        <x:v>QC-006</x:v>
      </x:c>
      <x:c r="B10" s="32" t="str">
        <x:v>Duplicate Product_ID rows</x:v>
      </x:c>
      <x:c r="C10" s="32" t="n">
        <x:f>SUMPRODUCT(--('01_Products'!$A$5:$A$500&lt;&gt;""),--(COUNTIF('01_Products'!$A$5:$A$500,'01_Products'!$A$5:$A$500)&gt;1))</x:f>
        <x:v>0</x:v>
      </x:c>
      <x:c r="D10" s="32" t="n">
        <x:v>0</x:v>
      </x:c>
      <x:c r="E10" s="32" t="n">
        <x:v>0</x:v>
      </x:c>
      <x:c r="F10" s="32" t="str">
        <x:f>IF(C10=0,"OK","Fix")</x:f>
        <x:v>OK</x:v>
      </x:c>
      <x:c r="G10" s="32" t="str">
        <x:v>Approved models should have no duplicate product IDs.</x:v>
      </x:c>
      <x:c r="H10" s="38"/>
      <x:c r="I10" s="38"/>
      <x:c r="J10" s="38"/>
      <x:c r="K10" s="38"/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</x:row>
    <x:row r="11">
      <x:c r="A11" s="32" t="str">
        <x:v>QC-007</x:v>
      </x:c>
      <x:c r="B11" s="32" t="str">
        <x:v>Duplicate Feature_ID rows</x:v>
      </x:c>
      <x:c r="C11" s="32" t="n">
        <x:f>SUMPRODUCT(--('02_Features'!$A$5:$A$1000&lt;&gt;""),--(COUNTIF('02_Features'!$A$5:$A$1000,'02_Features'!$A$5:$A$1000)&gt;1))</x:f>
        <x:v>0</x:v>
      </x:c>
      <x:c r="D11" s="32" t="n">
        <x:v>0</x:v>
      </x:c>
      <x:c r="E11" s="32" t="n">
        <x:v>0</x:v>
      </x:c>
      <x:c r="F11" s="32" t="str">
        <x:f>IF(C11=0,"OK","Fix")</x:f>
        <x:v>OK</x:v>
      </x:c>
      <x:c r="G11" s="32" t="str">
        <x:v>Approved models should have no duplicate feature IDs.</x:v>
      </x:c>
      <x:c r="H11" s="38"/>
      <x:c r="I11" s="38"/>
      <x:c r="J11" s="38"/>
      <x:c r="K11" s="38"/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</x:row>
    <x:row r="12">
      <x:c r="A12" s="32" t="str">
        <x:v>QC-008</x:v>
      </x:c>
      <x:c r="B12" s="32" t="str">
        <x:v>Duplicate Functionality_ID rows</x:v>
      </x:c>
      <x:c r="C12" s="32" t="n">
        <x:f>SUMPRODUCT(--('03_Functionalities'!$A$5:$A$2000&lt;&gt;""),--(COUNTIF('03_Functionalities'!$A$5:$A$2000,'03_Functionalities'!$A$5:$A$2000)&gt;1))</x:f>
        <x:v>0</x:v>
      </x:c>
      <x:c r="D12" s="32" t="n">
        <x:v>0</x:v>
      </x:c>
      <x:c r="E12" s="32" t="n">
        <x:v>0</x:v>
      </x:c>
      <x:c r="F12" s="32" t="str">
        <x:f>IF(C12=0,"OK","Fix")</x:f>
        <x:v>OK</x:v>
      </x:c>
      <x:c r="G12" s="32" t="str">
        <x:v>Approved models should have no duplicate functionality IDs.</x:v>
      </x:c>
      <x:c r="H12" s="38"/>
      <x:c r="I12" s="38"/>
      <x:c r="J12" s="38"/>
      <x:c r="K12" s="38"/>
      <x:c r="L12" s="38"/>
      <x:c r="M12" s="38"/>
      <x:c r="N12" s="38"/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</x:row>
    <x:row r="13">
      <x:c r="A13" s="32" t="str">
        <x:v>QC-009</x:v>
      </x:c>
      <x:c r="B13" s="32" t="str">
        <x:v>Feature rows with orphan Product_ID</x:v>
      </x:c>
      <x:c r="C13" s="32" t="n">
        <x:f>SUMPRODUCT(--('02_Features'!$A$5:$A$1000&lt;&gt;""),--(COUNTIF('01_Products'!$A$5:$A$500,'02_Features'!$B$5:$B$1000)=0))</x:f>
        <x:v>0</x:v>
      </x:c>
      <x:c r="D13" s="32" t="n">
        <x:v>0</x:v>
      </x:c>
      <x:c r="E13" s="32" t="n">
        <x:v>0</x:v>
      </x:c>
      <x:c r="F13" s="32" t="str">
        <x:f>IF(C13=0,"OK","Fix")</x:f>
        <x:v>OK</x:v>
      </x:c>
      <x:c r="G13" s="32" t="str">
        <x:v>Every feature must reference an existing Product_ID.</x:v>
      </x:c>
      <x:c r="H13" s="38"/>
      <x:c r="I13" s="38"/>
      <x:c r="J13" s="38"/>
      <x:c r="K13" s="38"/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</x:row>
    <x:row r="14">
      <x:c r="A14" s="32" t="str">
        <x:v>QC-010</x:v>
      </x:c>
      <x:c r="B14" s="32" t="str">
        <x:v>Functionality rows with orphan Feature_ID</x:v>
      </x:c>
      <x:c r="C14" s="32" t="n">
        <x:f>SUMPRODUCT(--('03_Functionalities'!$A$5:$A$2000&lt;&gt;""),--(COUNTIF('02_Features'!$A$5:$A$1000,'03_Functionalities'!$B$5:$B$2000)=0))</x:f>
        <x:v>0</x:v>
      </x:c>
      <x:c r="D14" s="32" t="n">
        <x:v>0</x:v>
      </x:c>
      <x:c r="E14" s="32" t="n">
        <x:v>0</x:v>
      </x:c>
      <x:c r="F14" s="32" t="str">
        <x:f>IF(C14=0,"OK","Fix")</x:f>
        <x:v>OK</x:v>
      </x:c>
      <x:c r="G14" s="32" t="str">
        <x:v>Every functionality must reference an existing Feature_ID.</x:v>
      </x:c>
      <x:c r="H14" s="38"/>
      <x:c r="I14" s="38"/>
      <x:c r="J14" s="38"/>
      <x:c r="K14" s="38"/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</x:row>
    <x:row r="15">
      <x:c r="A15" s="32" t="str">
        <x:v>QC-011</x:v>
      </x:c>
      <x:c r="B15" s="32" t="str">
        <x:v>Functionality rows with orphan Product_ID</x:v>
      </x:c>
      <x:c r="C15" s="32" t="n">
        <x:f>SUMPRODUCT(--('03_Functionalities'!$A$5:$A$2000&lt;&gt;""),--(COUNTIF('01_Products'!$A$5:$A$500,'03_Functionalities'!$C$5:$C$2000)=0))</x:f>
        <x:v>0</x:v>
      </x:c>
      <x:c r="D15" s="32" t="n">
        <x:v>0</x:v>
      </x:c>
      <x:c r="E15" s="32" t="n">
        <x:v>0</x:v>
      </x:c>
      <x:c r="F15" s="32" t="str">
        <x:f>IF(C15=0,"OK","Fix")</x:f>
        <x:v>OK</x:v>
      </x:c>
      <x:c r="G15" s="32" t="str">
        <x:v>Every functionality must reference an existing Product_ID.</x:v>
      </x:c>
      <x:c r="H15" s="38"/>
      <x:c r="I15" s="38"/>
      <x:c r="J15" s="38"/>
      <x:c r="K15" s="38"/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</x:row>
    <x:row r="16">
      <x:c r="A16" s="32" t="str">
        <x:v>QC-012</x:v>
      </x:c>
      <x:c r="B16" s="32" t="str">
        <x:v>Approved products missing description</x:v>
      </x:c>
      <x:c r="C16" s="32" t="n">
        <x:f>COUNTIFS('01_Products'!$H$5:$H$500,"Approved",'01_Products'!$D$5:$D$500,"")</x:f>
        <x:v>0</x:v>
      </x:c>
      <x:c r="D16" s="32" t="n">
        <x:v>0</x:v>
      </x:c>
      <x:c r="E16" s="32" t="n">
        <x:v>0</x:v>
      </x:c>
      <x:c r="F16" s="32" t="str">
        <x:f>IF(C16=0,"OK","Fix")</x:f>
        <x:v>OK</x:v>
      </x:c>
      <x:c r="G16" s="32" t="str">
        <x:v>Approved product rows require descriptions.</x:v>
      </x:c>
      <x:c r="H16" s="38"/>
      <x:c r="I16" s="38"/>
      <x:c r="J16" s="38"/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</x:row>
    <x:row r="17">
      <x:c r="A17" s="32" t="str">
        <x:v>QC-013</x:v>
      </x:c>
      <x:c r="B17" s="32" t="str">
        <x:v>Approved features missing prompt</x:v>
      </x:c>
      <x:c r="C17" s="32" t="n">
        <x:f>COUNTIFS('02_Features'!$K$5:$K$1000,"Approved",'02_Features'!$E$5:$E$1000,"")</x:f>
        <x:v>0</x:v>
      </x:c>
      <x:c r="D17" s="32" t="n">
        <x:v>0</x:v>
      </x:c>
      <x:c r="E17" s="32" t="n">
        <x:v>0</x:v>
      </x:c>
      <x:c r="F17" s="32" t="str">
        <x:f>IF(C17=0,"OK","Fix")</x:f>
        <x:v>OK</x:v>
      </x:c>
      <x:c r="G17" s="32" t="str">
        <x:v>Approved features require workshop prompts.</x:v>
      </x:c>
      <x:c r="H17" s="38"/>
      <x:c r="I17" s="38"/>
      <x:c r="J17" s="38"/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</x:row>
    <x:row r="18">
      <x:c r="A18" s="32" t="str">
        <x:v>QC-014</x:v>
      </x:c>
      <x:c r="B18" s="32" t="str">
        <x:v>Approved functionalities missing Includes</x:v>
      </x:c>
      <x:c r="C18" s="32" t="n">
        <x:f>COUNTIFS('03_Functionalities'!$Q$5:$Q$2000,"Approved",'03_Functionalities'!$F$5:$F$2000,"")</x:f>
        <x:v>0</x:v>
      </x:c>
      <x:c r="D18" s="32" t="n">
        <x:v>0</x:v>
      </x:c>
      <x:c r="E18" s="32" t="n">
        <x:v>0</x:v>
      </x:c>
      <x:c r="F18" s="32" t="str">
        <x:f>IF(C18=0,"OK","Fix")</x:f>
        <x:v>OK</x:v>
      </x:c>
      <x:c r="G18" s="32" t="str">
        <x:v>Approved functionalities require Includes.</x:v>
      </x:c>
      <x:c r="H18" s="38"/>
      <x:c r="I18" s="38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</x:row>
    <x:row r="19">
      <x:c r="A19" s="32" t="str">
        <x:v>QC-015</x:v>
      </x:c>
      <x:c r="B19" s="32" t="str">
        <x:v>Approved functionalities missing Excludes</x:v>
      </x:c>
      <x:c r="C19" s="32" t="n">
        <x:f>COUNTIFS('03_Functionalities'!$Q$5:$Q$2000,"Approved",'03_Functionalities'!$G$5:$G$2000,"")</x:f>
        <x:v>0</x:v>
      </x:c>
      <x:c r="D19" s="32" t="n">
        <x:v>0</x:v>
      </x:c>
      <x:c r="E19" s="32" t="n">
        <x:v>0</x:v>
      </x:c>
      <x:c r="F19" s="32" t="str">
        <x:f>IF(C19=0,"OK","Fix")</x:f>
        <x:v>OK</x:v>
      </x:c>
      <x:c r="G19" s="32" t="str">
        <x:v>Approved functionalities require Excludes.</x:v>
      </x:c>
      <x:c r="H19" s="38"/>
      <x:c r="I19" s="38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</x:row>
    <x:row r="20">
      <x:c r="A20" s="32" t="str">
        <x:v>QC-016</x:v>
      </x:c>
      <x:c r="B20" s="32" t="str">
        <x:v>Approved functionalities missing evidence expectation</x:v>
      </x:c>
      <x:c r="C20" s="32" t="n">
        <x:f>COUNTIFS('03_Functionalities'!$Q$5:$Q$2000,"Approved",'03_Functionalities'!$M$5:$M$2000,"")</x:f>
        <x:v>0</x:v>
      </x:c>
      <x:c r="D20" s="32" t="n">
        <x:v>0</x:v>
      </x:c>
      <x:c r="E20" s="32" t="n">
        <x:v>0</x:v>
      </x:c>
      <x:c r="F20" s="32" t="str">
        <x:f>IF(C20=0,"OK","Fix")</x:f>
        <x:v>OK</x:v>
      </x:c>
      <x:c r="G20" s="32" t="str">
        <x:v>Approved functionalities require evidence expectations.</x:v>
      </x:c>
      <x:c r="H20" s="38"/>
      <x:c r="I20" s="38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</x:row>
    <x:row r="21">
      <x:c r="A21" s="32" t="str">
        <x:v>QC-017</x:v>
      </x:c>
      <x:c r="B21" s="32" t="str">
        <x:v>Approved functionalities missing AI seed terms</x:v>
      </x:c>
      <x:c r="C21" s="32" t="n">
        <x:f>COUNTIFS('03_Functionalities'!$Q$5:$Q$2000,"Approved",'03_Functionalities'!$N$5:$N$2000,"")</x:f>
        <x:v>0</x:v>
      </x:c>
      <x:c r="D21" s="32" t="n">
        <x:v>0</x:v>
      </x:c>
      <x:c r="E21" s="32" t="n">
        <x:v>0</x:v>
      </x:c>
      <x:c r="F21" s="32" t="str">
        <x:f>IF(C21=0,"OK","Review")</x:f>
        <x:v>OK</x:v>
      </x:c>
      <x:c r="G21" s="32" t="str">
        <x:v>AI seeding quality improves when approved functionalities have search terms.</x:v>
      </x:c>
      <x:c r="H21" s="38"/>
      <x:c r="I21" s="38"/>
      <x:c r="J21" s="38"/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</x:row>
    <x:row r="22">
      <x:c r="A22" s="38"/>
      <x:c r="B22" s="38"/>
      <x:c r="C22" s="38"/>
      <x:c r="D22" s="38"/>
      <x:c r="E22" s="38"/>
      <x:c r="F22" s="38"/>
      <x:c r="G22" s="38"/>
      <x:c r="H22" s="38"/>
      <x:c r="I22" s="38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</x:row>
    <x:row r="23">
      <x:c r="A23" s="38"/>
      <x:c r="B23" s="38"/>
      <x:c r="C23" s="38"/>
      <x:c r="D23" s="38"/>
      <x:c r="E23" s="38"/>
      <x:c r="F23" s="38"/>
      <x:c r="G23" s="38"/>
      <x:c r="H23" s="38"/>
      <x:c r="I23" s="38"/>
      <x:c r="J23" s="38"/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</x:row>
    <x:row r="24">
      <x:c r="A24" s="38"/>
      <x:c r="B24" s="38"/>
      <x:c r="C24" s="38"/>
      <x:c r="D24" s="38"/>
      <x:c r="E24" s="38"/>
      <x:c r="F24" s="38"/>
      <x:c r="G24" s="38"/>
      <x:c r="H24" s="38"/>
      <x:c r="I24" s="38"/>
      <x:c r="J24" s="38"/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</x:row>
    <x:row r="25">
      <x:c r="A25" s="38"/>
      <x:c r="B25" s="38"/>
      <x:c r="C25" s="38"/>
      <x:c r="D25" s="38"/>
      <x:c r="E25" s="38"/>
      <x:c r="F25" s="38"/>
      <x:c r="G25" s="38"/>
      <x:c r="H25" s="38"/>
      <x:c r="I25" s="38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</x:row>
    <x:row r="26">
      <x:c r="A26" s="38"/>
      <x:c r="B26" s="38"/>
      <x:c r="C26" s="38"/>
      <x:c r="D26" s="38"/>
      <x:c r="E26" s="38"/>
      <x:c r="F26" s="38"/>
      <x:c r="G26" s="38"/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</x:row>
    <x:row r="27">
      <x:c r="A27" s="38"/>
      <x:c r="B27" s="38"/>
      <x:c r="C27" s="38"/>
      <x:c r="D27" s="38"/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</x:row>
    <x:row r="28">
      <x:c r="A28" s="38"/>
      <x:c r="B28" s="38"/>
      <x:c r="C28" s="38"/>
      <x:c r="D28" s="38"/>
      <x:c r="E28" s="38"/>
      <x:c r="F28" s="38"/>
      <x:c r="G28" s="38"/>
      <x:c r="H28" s="38"/>
      <x:c r="I28" s="38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</x:row>
    <x:row r="29">
      <x:c r="A29" s="38"/>
      <x:c r="B29" s="38"/>
      <x:c r="C29" s="38"/>
      <x:c r="D29" s="38"/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</x:row>
    <x:row r="30">
      <x:c r="A30" s="38"/>
      <x:c r="B30" s="38"/>
      <x:c r="C30" s="38"/>
      <x:c r="D30" s="38"/>
      <x:c r="E30" s="38"/>
      <x:c r="F30" s="38"/>
      <x:c r="G30" s="38"/>
      <x:c r="H30" s="38"/>
      <x:c r="I30" s="38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</x:row>
    <x:row r="31">
      <x:c r="A31" s="38"/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</x:row>
    <x:row r="32">
      <x:c r="A32" s="38"/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</x:row>
    <x:row r="33">
      <x:c r="A33" s="38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</x:row>
    <x:row r="34">
      <x:c r="A34" s="38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</x:row>
    <x:row r="35">
      <x:c r="A35" s="38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</x:row>
    <x:row r="36">
      <x:c r="A36" s="38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</x:row>
    <x:row r="37">
      <x:c r="A37" s="38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</x:row>
    <x:row r="38">
      <x:c r="A38" s="38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</x:row>
    <x:row r="39">
      <x:c r="A39" s="38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</x:row>
    <x:row r="40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</x:row>
    <x:row r="41">
      <x:c r="A41" s="38"/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</x:row>
    <x:row r="42">
      <x:c r="A42" s="38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</x:row>
    <x:row r="43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</x:row>
    <x:row r="44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</x:row>
    <x:row r="45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</x:row>
    <x:row r="46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</x:row>
    <x:row r="47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</x:row>
    <x:row r="48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</x:row>
    <x:row r="49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</x:row>
    <x:row r="50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</x:row>
    <x:row r="5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</x:row>
    <x:row r="52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</x:row>
    <x:row r="53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</x:row>
    <x:row r="54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</x:row>
    <x:row r="55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</x:row>
    <x:row r="56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</x:row>
    <x:row r="57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</x:row>
    <x:row r="58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</x:row>
    <x:row r="59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</x:row>
    <x:row r="60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</x:row>
    <x:row r="6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</x:row>
    <x:row r="62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</x:row>
    <x:row r="63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</x:row>
    <x:row r="64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</x:row>
    <x:row r="65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</x:row>
    <x:row r="66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</x:row>
    <x:row r="67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</x:row>
    <x:row r="68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</x:row>
    <x:row r="69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</x:row>
    <x:row r="70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</x:row>
    <x:row r="7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</x:row>
    <x:row r="72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</x:row>
    <x:row r="73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</x:row>
    <x:row r="74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</x:row>
    <x:row r="75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</x:row>
    <x:row r="76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</x:row>
    <x:row r="77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</x:row>
    <x:row r="78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</x:row>
    <x:row r="79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</x:row>
    <x:row r="80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</x:row>
    <x:row r="8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</x:row>
    <x:row r="82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</x:row>
    <x:row r="83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</x:row>
    <x:row r="84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</x:row>
    <x:row r="85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</x:row>
    <x:row r="86">
      <x:c r="A86" s="38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</x:row>
    <x:row r="87">
      <x:c r="A87" s="38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</x:row>
    <x:row r="88">
      <x:c r="A88" s="38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</x:row>
    <x:row r="89">
      <x:c r="A89" s="38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</x:row>
    <x:row r="90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</x:row>
    <x:row r="9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</x:row>
    <x:row r="92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</x:row>
    <x:row r="93">
      <x:c r="A93" s="38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</x:row>
    <x:row r="94">
      <x:c r="A94" s="38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</x:row>
    <x:row r="95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</x:row>
    <x:row r="96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</x:row>
    <x:row r="97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</x:row>
    <x:row r="98">
      <x:c r="A98" s="38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</x:row>
    <x:row r="99">
      <x:c r="A99" s="38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</x:row>
    <x:row r="100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</x:row>
    <x:row r="10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</x:row>
    <x:row r="102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</x:row>
    <x:row r="103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</x:row>
    <x:row r="104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</x:row>
    <x:row r="105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</x:row>
    <x:row r="106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</x:row>
    <x:row r="107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</x:row>
    <x:row r="108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</x:row>
    <x:row r="109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</x:row>
    <x:row r="110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</x:row>
    <x:row r="11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</x:row>
    <x:row r="112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</x:row>
    <x:row r="113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</x:row>
    <x:row r="114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</x:row>
    <x:row r="115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</x:row>
    <x:row r="116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</x:row>
    <x:row r="117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</x:row>
    <x:row r="118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</x:row>
    <x:row r="119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</x:row>
    <x:row r="120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  <x:row r="121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</x:row>
    <x:row r="122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</x:row>
    <x:row r="123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</x:row>
    <x:row r="124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</x:row>
    <x:row r="125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</x:row>
    <x:row r="126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</x:row>
    <x:row r="127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</x:row>
    <x:row r="128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</x:row>
    <x:row r="129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</x:row>
    <x:row r="130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</x:row>
    <x:row r="13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</x:row>
    <x:row r="132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</x:row>
    <x:row r="133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</x:row>
    <x:row r="134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</x:row>
    <x:row r="135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</x:row>
    <x:row r="136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</x:row>
    <x:row r="137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</x:row>
    <x:row r="138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</x:row>
    <x:row r="139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</x:row>
    <x:row r="140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</x:row>
    <x:row r="14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</x:row>
    <x:row r="142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</x:row>
    <x:row r="143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</x:row>
    <x:row r="144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</x:row>
    <x:row r="145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</x:row>
    <x:row r="146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</x:row>
    <x:row r="147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</x:row>
    <x:row r="148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</x:row>
    <x:row r="149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</x:row>
    <x:row r="150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</x:row>
    <x:row r="15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</x:row>
    <x:row r="152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</x:row>
    <x:row r="153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</x:row>
    <x:row r="154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</x:row>
    <x:row r="155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</x:row>
    <x:row r="156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</x:row>
    <x:row r="157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</x:row>
    <x:row r="158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</x:row>
    <x:row r="159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</x:row>
    <x:row r="160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</x:row>
    <x:row r="16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</x:row>
    <x:row r="162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</x:row>
    <x:row r="163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</x:row>
    <x:row r="164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</x:row>
    <x:row r="165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</x:row>
    <x:row r="166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</x:row>
    <x:row r="167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</x:row>
    <x:row r="168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</x:row>
    <x:row r="169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</x:row>
    <x:row r="170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</x:row>
    <x:row r="17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</x:row>
    <x:row r="172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</x:row>
    <x:row r="173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</x:row>
    <x:row r="174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</x:row>
    <x:row r="175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</x:row>
    <x:row r="176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</x:row>
    <x:row r="177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</x:row>
    <x:row r="178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</x:row>
    <x:row r="179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</x:row>
    <x:row r="180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</x:row>
    <x:row r="18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</x:row>
    <x:row r="182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</x:row>
    <x:row r="183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</x:row>
    <x:row r="184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</x:row>
    <x:row r="185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</x:row>
    <x:row r="186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</x:row>
    <x:row r="187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</x:row>
    <x:row r="188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</x:row>
    <x:row r="189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</x:row>
    <x:row r="190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</x:row>
    <x:row r="19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</x:row>
    <x:row r="192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</x:row>
    <x:row r="193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</x:row>
    <x:row r="194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</x:row>
    <x:row r="195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</x:row>
    <x:row r="196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</x:row>
    <x:row r="197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</x:row>
    <x:row r="198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</x:row>
    <x:row r="199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</x:row>
    <x:row r="200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</x:row>
    <x:row r="201">
      <x:c r="A201" s="38"/>
      <x:c r="B201" s="38"/>
      <x:c r="C201" s="38"/>
      <x:c r="D201" s="38"/>
      <x:c r="E201" s="38"/>
      <x:c r="F201" s="38"/>
      <x:c r="G201" s="38"/>
      <x:c r="H201" s="38"/>
      <x:c r="I201" s="38"/>
      <x:c r="J201" s="38"/>
      <x:c r="K201" s="38"/>
      <x:c r="L201" s="38"/>
      <x:c r="M201" s="38"/>
      <x:c r="N201" s="38"/>
      <x:c r="O201" s="38"/>
      <x:c r="P201" s="38"/>
      <x:c r="Q201" s="38"/>
      <x:c r="R201" s="38"/>
      <x:c r="S201" s="38"/>
      <x:c r="T201" s="38"/>
      <x:c r="U201" s="38"/>
      <x:c r="V201" s="38"/>
      <x:c r="W201" s="38"/>
      <x:c r="X201" s="38"/>
      <x:c r="Y201" s="38"/>
      <x:c r="Z201" s="38"/>
    </x:row>
    <x:row r="202">
      <x:c r="A202" s="38"/>
      <x:c r="B202" s="38"/>
      <x:c r="C202" s="38"/>
      <x:c r="D202" s="38"/>
      <x:c r="E202" s="38"/>
      <x:c r="F202" s="38"/>
      <x:c r="G202" s="38"/>
      <x:c r="H202" s="38"/>
      <x:c r="I202" s="38"/>
      <x:c r="J202" s="38"/>
      <x:c r="K202" s="38"/>
      <x:c r="L202" s="38"/>
      <x:c r="M202" s="38"/>
      <x:c r="N202" s="38"/>
      <x:c r="O202" s="38"/>
      <x:c r="P202" s="38"/>
      <x:c r="Q202" s="38"/>
      <x:c r="R202" s="38"/>
      <x:c r="S202" s="38"/>
      <x:c r="T202" s="38"/>
      <x:c r="U202" s="38"/>
      <x:c r="V202" s="38"/>
      <x:c r="W202" s="38"/>
      <x:c r="X202" s="38"/>
      <x:c r="Y202" s="38"/>
      <x:c r="Z202" s="38"/>
    </x:row>
    <x:row r="203">
      <x:c r="A203" s="38"/>
      <x:c r="B203" s="38"/>
      <x:c r="C203" s="38"/>
      <x:c r="D203" s="38"/>
      <x:c r="E203" s="38"/>
      <x:c r="F203" s="38"/>
      <x:c r="G203" s="38"/>
      <x:c r="H203" s="38"/>
      <x:c r="I203" s="38"/>
      <x:c r="J203" s="38"/>
      <x:c r="K203" s="38"/>
      <x:c r="L203" s="38"/>
      <x:c r="M203" s="38"/>
      <x:c r="N203" s="38"/>
      <x:c r="O203" s="38"/>
      <x:c r="P203" s="38"/>
      <x:c r="Q203" s="38"/>
      <x:c r="R203" s="38"/>
      <x:c r="S203" s="38"/>
      <x:c r="T203" s="38"/>
      <x:c r="U203" s="38"/>
      <x:c r="V203" s="38"/>
      <x:c r="W203" s="38"/>
      <x:c r="X203" s="38"/>
      <x:c r="Y203" s="38"/>
      <x:c r="Z203" s="38"/>
    </x:row>
    <x:row r="204">
      <x:c r="A204" s="38"/>
      <x:c r="B204" s="38"/>
      <x:c r="C204" s="38"/>
      <x:c r="D204" s="38"/>
      <x:c r="E204" s="38"/>
      <x:c r="F204" s="38"/>
      <x:c r="G204" s="38"/>
      <x:c r="H204" s="38"/>
      <x:c r="I204" s="38"/>
      <x:c r="J204" s="38"/>
      <x:c r="K204" s="38"/>
      <x:c r="L204" s="38"/>
      <x:c r="M204" s="38"/>
      <x:c r="N204" s="38"/>
      <x:c r="O204" s="38"/>
      <x:c r="P204" s="38"/>
      <x:c r="Q204" s="38"/>
      <x:c r="R204" s="38"/>
      <x:c r="S204" s="38"/>
      <x:c r="T204" s="38"/>
      <x:c r="U204" s="38"/>
      <x:c r="V204" s="38"/>
      <x:c r="W204" s="38"/>
      <x:c r="X204" s="38"/>
      <x:c r="Y204" s="38"/>
      <x:c r="Z204" s="38"/>
    </x:row>
    <x:row r="205">
      <x:c r="A205" s="38"/>
      <x:c r="B205" s="38"/>
      <x:c r="C205" s="38"/>
      <x:c r="D205" s="38"/>
      <x:c r="E205" s="38"/>
      <x:c r="F205" s="38"/>
      <x:c r="G205" s="38"/>
      <x:c r="H205" s="38"/>
      <x:c r="I205" s="38"/>
      <x:c r="J205" s="38"/>
      <x:c r="K205" s="38"/>
      <x:c r="L205" s="38"/>
      <x:c r="M205" s="38"/>
      <x:c r="N205" s="38"/>
      <x:c r="O205" s="38"/>
      <x:c r="P205" s="38"/>
      <x:c r="Q205" s="38"/>
      <x:c r="R205" s="38"/>
      <x:c r="S205" s="38"/>
      <x:c r="T205" s="38"/>
      <x:c r="U205" s="38"/>
      <x:c r="V205" s="38"/>
      <x:c r="W205" s="38"/>
      <x:c r="X205" s="38"/>
      <x:c r="Y205" s="38"/>
      <x:c r="Z205" s="38"/>
    </x:row>
    <x:row r="206">
      <x:c r="A206" s="38"/>
      <x:c r="B206" s="38"/>
      <x:c r="C206" s="38"/>
      <x:c r="D206" s="38"/>
      <x:c r="E206" s="38"/>
      <x:c r="F206" s="38"/>
      <x:c r="G206" s="38"/>
      <x:c r="H206" s="38"/>
      <x:c r="I206" s="38"/>
      <x:c r="J206" s="38"/>
      <x:c r="K206" s="38"/>
      <x:c r="L206" s="38"/>
      <x:c r="M206" s="38"/>
      <x:c r="N206" s="38"/>
      <x:c r="O206" s="38"/>
      <x:c r="P206" s="38"/>
      <x:c r="Q206" s="38"/>
      <x:c r="R206" s="38"/>
      <x:c r="S206" s="38"/>
      <x:c r="T206" s="38"/>
      <x:c r="U206" s="38"/>
      <x:c r="V206" s="38"/>
      <x:c r="W206" s="38"/>
      <x:c r="X206" s="38"/>
      <x:c r="Y206" s="38"/>
      <x:c r="Z206" s="38"/>
    </x:row>
    <x:row r="207">
      <x:c r="A207" s="38"/>
      <x:c r="B207" s="38"/>
      <x:c r="C207" s="38"/>
      <x:c r="D207" s="38"/>
      <x:c r="E207" s="38"/>
      <x:c r="F207" s="38"/>
      <x:c r="G207" s="38"/>
      <x:c r="H207" s="38"/>
      <x:c r="I207" s="38"/>
      <x:c r="J207" s="38"/>
      <x:c r="K207" s="38"/>
      <x:c r="L207" s="38"/>
      <x:c r="M207" s="38"/>
      <x:c r="N207" s="38"/>
      <x:c r="O207" s="38"/>
      <x:c r="P207" s="38"/>
      <x:c r="Q207" s="38"/>
      <x:c r="R207" s="38"/>
      <x:c r="S207" s="38"/>
      <x:c r="T207" s="38"/>
      <x:c r="U207" s="38"/>
      <x:c r="V207" s="38"/>
      <x:c r="W207" s="38"/>
      <x:c r="X207" s="38"/>
      <x:c r="Y207" s="38"/>
      <x:c r="Z207" s="38"/>
    </x:row>
    <x:row r="208">
      <x:c r="A208" s="38"/>
      <x:c r="B208" s="38"/>
      <x:c r="C208" s="38"/>
      <x:c r="D208" s="38"/>
      <x:c r="E208" s="38"/>
      <x:c r="F208" s="38"/>
      <x:c r="G208" s="38"/>
      <x:c r="H208" s="38"/>
      <x:c r="I208" s="38"/>
      <x:c r="J208" s="38"/>
      <x:c r="K208" s="38"/>
      <x:c r="L208" s="38"/>
      <x:c r="M208" s="38"/>
      <x:c r="N208" s="38"/>
      <x:c r="O208" s="38"/>
      <x:c r="P208" s="38"/>
      <x:c r="Q208" s="38"/>
      <x:c r="R208" s="38"/>
      <x:c r="S208" s="38"/>
      <x:c r="T208" s="38"/>
      <x:c r="U208" s="38"/>
      <x:c r="V208" s="38"/>
      <x:c r="W208" s="38"/>
      <x:c r="X208" s="38"/>
      <x:c r="Y208" s="38"/>
      <x:c r="Z208" s="38"/>
    </x:row>
    <x:row r="209">
      <x:c r="A209" s="38"/>
      <x:c r="B209" s="38"/>
      <x:c r="C209" s="38"/>
      <x:c r="D209" s="38"/>
      <x:c r="E209" s="38"/>
      <x:c r="F209" s="38"/>
      <x:c r="G209" s="38"/>
      <x:c r="H209" s="38"/>
      <x:c r="I209" s="38"/>
      <x:c r="J209" s="38"/>
      <x:c r="K209" s="38"/>
      <x:c r="L209" s="38"/>
      <x:c r="M209" s="38"/>
      <x:c r="N209" s="38"/>
      <x:c r="O209" s="38"/>
      <x:c r="P209" s="38"/>
      <x:c r="Q209" s="38"/>
      <x:c r="R209" s="38"/>
      <x:c r="S209" s="38"/>
      <x:c r="T209" s="38"/>
      <x:c r="U209" s="38"/>
      <x:c r="V209" s="38"/>
      <x:c r="W209" s="38"/>
      <x:c r="X209" s="38"/>
      <x:c r="Y209" s="38"/>
      <x:c r="Z209" s="38"/>
    </x:row>
    <x:row r="210">
      <x:c r="A210" s="38"/>
      <x:c r="B210" s="38"/>
      <x:c r="C210" s="38"/>
      <x:c r="D210" s="38"/>
      <x:c r="E210" s="38"/>
      <x:c r="F210" s="38"/>
      <x:c r="G210" s="38"/>
      <x:c r="H210" s="38"/>
      <x:c r="I210" s="38"/>
      <x:c r="J210" s="38"/>
      <x:c r="K210" s="38"/>
      <x:c r="L210" s="38"/>
      <x:c r="M210" s="38"/>
      <x:c r="N210" s="38"/>
      <x:c r="O210" s="38"/>
      <x:c r="P210" s="38"/>
      <x:c r="Q210" s="38"/>
      <x:c r="R210" s="38"/>
      <x:c r="S210" s="38"/>
      <x:c r="T210" s="38"/>
      <x:c r="U210" s="38"/>
      <x:c r="V210" s="38"/>
      <x:c r="W210" s="38"/>
      <x:c r="X210" s="38"/>
      <x:c r="Y210" s="38"/>
      <x:c r="Z210" s="38"/>
    </x:row>
    <x:row r="211">
      <x:c r="A211" s="38"/>
      <x:c r="B211" s="38"/>
      <x:c r="C211" s="38"/>
      <x:c r="D211" s="38"/>
      <x:c r="E211" s="38"/>
      <x:c r="F211" s="38"/>
      <x:c r="G211" s="38"/>
      <x:c r="H211" s="38"/>
      <x:c r="I211" s="38"/>
      <x:c r="J211" s="38"/>
      <x:c r="K211" s="38"/>
      <x:c r="L211" s="38"/>
      <x:c r="M211" s="38"/>
      <x:c r="N211" s="38"/>
      <x:c r="O211" s="38"/>
      <x:c r="P211" s="38"/>
      <x:c r="Q211" s="38"/>
      <x:c r="R211" s="38"/>
      <x:c r="S211" s="38"/>
      <x:c r="T211" s="38"/>
      <x:c r="U211" s="38"/>
      <x:c r="V211" s="38"/>
      <x:c r="W211" s="38"/>
      <x:c r="X211" s="38"/>
      <x:c r="Y211" s="38"/>
      <x:c r="Z211" s="38"/>
    </x:row>
    <x:row r="212">
      <x:c r="A212" s="38"/>
      <x:c r="B212" s="38"/>
      <x:c r="C212" s="38"/>
      <x:c r="D212" s="38"/>
      <x:c r="E212" s="38"/>
      <x:c r="F212" s="38"/>
      <x:c r="G212" s="38"/>
      <x:c r="H212" s="38"/>
      <x:c r="I212" s="38"/>
      <x:c r="J212" s="38"/>
      <x:c r="K212" s="38"/>
      <x:c r="L212" s="38"/>
      <x:c r="M212" s="38"/>
      <x:c r="N212" s="38"/>
      <x:c r="O212" s="38"/>
      <x:c r="P212" s="38"/>
      <x:c r="Q212" s="38"/>
      <x:c r="R212" s="38"/>
      <x:c r="S212" s="38"/>
      <x:c r="T212" s="38"/>
      <x:c r="U212" s="38"/>
      <x:c r="V212" s="38"/>
      <x:c r="W212" s="38"/>
      <x:c r="X212" s="38"/>
      <x:c r="Y212" s="38"/>
      <x:c r="Z212" s="38"/>
    </x:row>
    <x:row r="213">
      <x:c r="A213" s="38"/>
      <x:c r="B213" s="38"/>
      <x:c r="C213" s="38"/>
      <x:c r="D213" s="38"/>
      <x:c r="E213" s="38"/>
      <x:c r="F213" s="38"/>
      <x:c r="G213" s="38"/>
      <x:c r="H213" s="38"/>
      <x:c r="I213" s="38"/>
      <x:c r="J213" s="38"/>
      <x:c r="K213" s="38"/>
      <x:c r="L213" s="38"/>
      <x:c r="M213" s="38"/>
      <x:c r="N213" s="38"/>
      <x:c r="O213" s="38"/>
      <x:c r="P213" s="38"/>
      <x:c r="Q213" s="38"/>
      <x:c r="R213" s="38"/>
      <x:c r="S213" s="38"/>
      <x:c r="T213" s="38"/>
      <x:c r="U213" s="38"/>
      <x:c r="V213" s="38"/>
      <x:c r="W213" s="38"/>
      <x:c r="X213" s="38"/>
      <x:c r="Y213" s="38"/>
      <x:c r="Z213" s="38"/>
    </x:row>
    <x:row r="214">
      <x:c r="A214" s="38"/>
      <x:c r="B214" s="38"/>
      <x:c r="C214" s="38"/>
      <x:c r="D214" s="38"/>
      <x:c r="E214" s="38"/>
      <x:c r="F214" s="38"/>
      <x:c r="G214" s="38"/>
      <x:c r="H214" s="38"/>
      <x:c r="I214" s="38"/>
      <x:c r="J214" s="38"/>
      <x:c r="K214" s="38"/>
      <x:c r="L214" s="38"/>
      <x:c r="M214" s="38"/>
      <x:c r="N214" s="38"/>
      <x:c r="O214" s="38"/>
      <x:c r="P214" s="38"/>
      <x:c r="Q214" s="38"/>
      <x:c r="R214" s="38"/>
      <x:c r="S214" s="38"/>
      <x:c r="T214" s="38"/>
      <x:c r="U214" s="38"/>
      <x:c r="V214" s="38"/>
      <x:c r="W214" s="38"/>
      <x:c r="X214" s="38"/>
      <x:c r="Y214" s="38"/>
      <x:c r="Z214" s="38"/>
    </x:row>
    <x:row r="215">
      <x:c r="A215" s="38"/>
      <x:c r="B215" s="38"/>
      <x:c r="C215" s="38"/>
      <x:c r="D215" s="38"/>
      <x:c r="E215" s="38"/>
      <x:c r="F215" s="38"/>
      <x:c r="G215" s="38"/>
      <x:c r="H215" s="38"/>
      <x:c r="I215" s="38"/>
      <x:c r="J215" s="38"/>
      <x:c r="K215" s="38"/>
      <x:c r="L215" s="38"/>
      <x:c r="M215" s="38"/>
      <x:c r="N215" s="38"/>
      <x:c r="O215" s="38"/>
      <x:c r="P215" s="38"/>
      <x:c r="Q215" s="38"/>
      <x:c r="R215" s="38"/>
      <x:c r="S215" s="38"/>
      <x:c r="T215" s="38"/>
      <x:c r="U215" s="38"/>
      <x:c r="V215" s="38"/>
      <x:c r="W215" s="38"/>
      <x:c r="X215" s="38"/>
      <x:c r="Y215" s="38"/>
      <x:c r="Z215" s="38"/>
    </x:row>
    <x:row r="216">
      <x:c r="A216" s="38"/>
      <x:c r="B216" s="38"/>
      <x:c r="C216" s="38"/>
      <x:c r="D216" s="38"/>
      <x:c r="E216" s="38"/>
      <x:c r="F216" s="38"/>
      <x:c r="G216" s="38"/>
      <x:c r="H216" s="38"/>
      <x:c r="I216" s="38"/>
      <x:c r="J216" s="38"/>
      <x:c r="K216" s="38"/>
      <x:c r="L216" s="38"/>
      <x:c r="M216" s="38"/>
      <x:c r="N216" s="38"/>
      <x:c r="O216" s="38"/>
      <x:c r="P216" s="38"/>
      <x:c r="Q216" s="38"/>
      <x:c r="R216" s="38"/>
      <x:c r="S216" s="38"/>
      <x:c r="T216" s="38"/>
      <x:c r="U216" s="38"/>
      <x:c r="V216" s="38"/>
      <x:c r="W216" s="38"/>
      <x:c r="X216" s="38"/>
      <x:c r="Y216" s="38"/>
      <x:c r="Z216" s="38"/>
    </x:row>
    <x:row r="217">
      <x:c r="A217" s="38"/>
      <x:c r="B217" s="38"/>
      <x:c r="C217" s="38"/>
      <x:c r="D217" s="38"/>
      <x:c r="E217" s="38"/>
      <x:c r="F217" s="38"/>
      <x:c r="G217" s="38"/>
      <x:c r="H217" s="38"/>
      <x:c r="I217" s="38"/>
      <x:c r="J217" s="38"/>
      <x:c r="K217" s="38"/>
      <x:c r="L217" s="38"/>
      <x:c r="M217" s="38"/>
      <x:c r="N217" s="38"/>
      <x:c r="O217" s="38"/>
      <x:c r="P217" s="38"/>
      <x:c r="Q217" s="38"/>
      <x:c r="R217" s="38"/>
      <x:c r="S217" s="38"/>
      <x:c r="T217" s="38"/>
      <x:c r="U217" s="38"/>
      <x:c r="V217" s="38"/>
      <x:c r="W217" s="38"/>
      <x:c r="X217" s="38"/>
      <x:c r="Y217" s="38"/>
      <x:c r="Z217" s="38"/>
    </x:row>
    <x:row r="218">
      <x:c r="A218" s="38"/>
      <x:c r="B218" s="38"/>
      <x:c r="C218" s="38"/>
      <x:c r="D218" s="38"/>
      <x:c r="E218" s="38"/>
      <x:c r="F218" s="38"/>
      <x:c r="G218" s="38"/>
      <x:c r="H218" s="38"/>
      <x:c r="I218" s="38"/>
      <x:c r="J218" s="38"/>
      <x:c r="K218" s="38"/>
      <x:c r="L218" s="38"/>
      <x:c r="M218" s="38"/>
      <x:c r="N218" s="38"/>
      <x:c r="O218" s="38"/>
      <x:c r="P218" s="38"/>
      <x:c r="Q218" s="38"/>
      <x:c r="R218" s="38"/>
      <x:c r="S218" s="38"/>
      <x:c r="T218" s="38"/>
      <x:c r="U218" s="38"/>
      <x:c r="V218" s="38"/>
      <x:c r="W218" s="38"/>
      <x:c r="X218" s="38"/>
      <x:c r="Y218" s="38"/>
      <x:c r="Z218" s="38"/>
    </x:row>
    <x:row r="219">
      <x:c r="A219" s="38"/>
      <x:c r="B219" s="38"/>
      <x:c r="C219" s="38"/>
      <x:c r="D219" s="38"/>
      <x:c r="E219" s="38"/>
      <x:c r="F219" s="38"/>
      <x:c r="G219" s="38"/>
      <x:c r="H219" s="38"/>
      <x:c r="I219" s="38"/>
      <x:c r="J219" s="38"/>
      <x:c r="K219" s="38"/>
      <x:c r="L219" s="38"/>
      <x:c r="M219" s="38"/>
      <x:c r="N219" s="38"/>
      <x:c r="O219" s="38"/>
      <x:c r="P219" s="38"/>
      <x:c r="Q219" s="38"/>
      <x:c r="R219" s="38"/>
      <x:c r="S219" s="38"/>
      <x:c r="T219" s="38"/>
      <x:c r="U219" s="38"/>
      <x:c r="V219" s="38"/>
      <x:c r="W219" s="38"/>
      <x:c r="X219" s="38"/>
      <x:c r="Y219" s="38"/>
      <x:c r="Z219" s="38"/>
    </x:row>
    <x:row r="220">
      <x:c r="A220" s="38"/>
      <x:c r="B220" s="38"/>
      <x:c r="C220" s="38"/>
      <x:c r="D220" s="38"/>
      <x:c r="E220" s="38"/>
      <x:c r="F220" s="38"/>
      <x:c r="G220" s="38"/>
      <x:c r="H220" s="38"/>
      <x:c r="I220" s="38"/>
      <x:c r="J220" s="38"/>
      <x:c r="K220" s="38"/>
      <x:c r="L220" s="38"/>
      <x:c r="M220" s="38"/>
      <x:c r="N220" s="38"/>
      <x:c r="O220" s="38"/>
      <x:c r="P220" s="38"/>
      <x:c r="Q220" s="38"/>
      <x:c r="R220" s="38"/>
      <x:c r="S220" s="38"/>
      <x:c r="T220" s="38"/>
      <x:c r="U220" s="38"/>
      <x:c r="V220" s="38"/>
      <x:c r="W220" s="38"/>
      <x:c r="X220" s="38"/>
      <x:c r="Y220" s="38"/>
      <x:c r="Z220" s="38"/>
    </x:row>
    <x:row r="221">
      <x:c r="A221" s="38"/>
      <x:c r="B221" s="38"/>
      <x:c r="C221" s="38"/>
      <x:c r="D221" s="38"/>
      <x:c r="E221" s="38"/>
      <x:c r="F221" s="38"/>
      <x:c r="G221" s="38"/>
      <x:c r="H221" s="38"/>
      <x:c r="I221" s="38"/>
      <x:c r="J221" s="38"/>
      <x:c r="K221" s="38"/>
      <x:c r="L221" s="38"/>
      <x:c r="M221" s="38"/>
      <x:c r="N221" s="38"/>
      <x:c r="O221" s="38"/>
      <x:c r="P221" s="38"/>
      <x:c r="Q221" s="38"/>
      <x:c r="R221" s="38"/>
      <x:c r="S221" s="38"/>
      <x:c r="T221" s="38"/>
      <x:c r="U221" s="38"/>
      <x:c r="V221" s="38"/>
      <x:c r="W221" s="38"/>
      <x:c r="X221" s="38"/>
      <x:c r="Y221" s="38"/>
      <x:c r="Z221" s="38"/>
    </x:row>
    <x:row r="222">
      <x:c r="A222" s="38"/>
      <x:c r="B222" s="38"/>
      <x:c r="C222" s="38"/>
      <x:c r="D222" s="38"/>
      <x:c r="E222" s="38"/>
      <x:c r="F222" s="38"/>
      <x:c r="G222" s="38"/>
      <x:c r="H222" s="38"/>
      <x:c r="I222" s="38"/>
      <x:c r="J222" s="38"/>
      <x:c r="K222" s="38"/>
      <x:c r="L222" s="38"/>
      <x:c r="M222" s="38"/>
      <x:c r="N222" s="38"/>
      <x:c r="O222" s="38"/>
      <x:c r="P222" s="38"/>
      <x:c r="Q222" s="38"/>
      <x:c r="R222" s="38"/>
      <x:c r="S222" s="38"/>
      <x:c r="T222" s="38"/>
      <x:c r="U222" s="38"/>
      <x:c r="V222" s="38"/>
      <x:c r="W222" s="38"/>
      <x:c r="X222" s="38"/>
      <x:c r="Y222" s="38"/>
      <x:c r="Z222" s="38"/>
    </x:row>
    <x:row r="223">
      <x:c r="A223" s="38"/>
      <x:c r="B223" s="38"/>
      <x:c r="C223" s="38"/>
      <x:c r="D223" s="38"/>
      <x:c r="E223" s="38"/>
      <x:c r="F223" s="38"/>
      <x:c r="G223" s="38"/>
      <x:c r="H223" s="38"/>
      <x:c r="I223" s="38"/>
      <x:c r="J223" s="38"/>
      <x:c r="K223" s="38"/>
      <x:c r="L223" s="38"/>
      <x:c r="M223" s="38"/>
      <x:c r="N223" s="38"/>
      <x:c r="O223" s="38"/>
      <x:c r="P223" s="38"/>
      <x:c r="Q223" s="38"/>
      <x:c r="R223" s="38"/>
      <x:c r="S223" s="38"/>
      <x:c r="T223" s="38"/>
      <x:c r="U223" s="38"/>
      <x:c r="V223" s="38"/>
      <x:c r="W223" s="38"/>
      <x:c r="X223" s="38"/>
      <x:c r="Y223" s="38"/>
      <x:c r="Z223" s="38"/>
    </x:row>
    <x:row r="224">
      <x:c r="A224" s="38"/>
      <x:c r="B224" s="38"/>
      <x:c r="C224" s="38"/>
      <x:c r="D224" s="38"/>
      <x:c r="E224" s="38"/>
      <x:c r="F224" s="38"/>
      <x:c r="G224" s="38"/>
      <x:c r="H224" s="38"/>
      <x:c r="I224" s="38"/>
      <x:c r="J224" s="38"/>
      <x:c r="K224" s="38"/>
      <x:c r="L224" s="38"/>
      <x:c r="M224" s="38"/>
      <x:c r="N224" s="38"/>
      <x:c r="O224" s="38"/>
      <x:c r="P224" s="38"/>
      <x:c r="Q224" s="38"/>
      <x:c r="R224" s="38"/>
      <x:c r="S224" s="38"/>
      <x:c r="T224" s="38"/>
      <x:c r="U224" s="38"/>
      <x:c r="V224" s="38"/>
      <x:c r="W224" s="38"/>
      <x:c r="X224" s="38"/>
      <x:c r="Y224" s="38"/>
      <x:c r="Z224" s="38"/>
    </x:row>
    <x:row r="225">
      <x:c r="A225" s="38"/>
      <x:c r="B225" s="38"/>
      <x:c r="C225" s="38"/>
      <x:c r="D225" s="38"/>
      <x:c r="E225" s="38"/>
      <x:c r="F225" s="38"/>
      <x:c r="G225" s="38"/>
      <x:c r="H225" s="38"/>
      <x:c r="I225" s="38"/>
      <x:c r="J225" s="38"/>
      <x:c r="K225" s="38"/>
      <x:c r="L225" s="38"/>
      <x:c r="M225" s="38"/>
      <x:c r="N225" s="38"/>
      <x:c r="O225" s="38"/>
      <x:c r="P225" s="38"/>
      <x:c r="Q225" s="38"/>
      <x:c r="R225" s="38"/>
      <x:c r="S225" s="38"/>
      <x:c r="T225" s="38"/>
      <x:c r="U225" s="38"/>
      <x:c r="V225" s="38"/>
      <x:c r="W225" s="38"/>
      <x:c r="X225" s="38"/>
      <x:c r="Y225" s="38"/>
      <x:c r="Z225" s="38"/>
    </x:row>
    <x:row r="226">
      <x:c r="A226" s="38"/>
      <x:c r="B226" s="38"/>
      <x:c r="C226" s="38"/>
      <x:c r="D226" s="38"/>
      <x:c r="E226" s="38"/>
      <x:c r="F226" s="38"/>
      <x:c r="G226" s="38"/>
      <x:c r="H226" s="38"/>
      <x:c r="I226" s="38"/>
      <x:c r="J226" s="38"/>
      <x:c r="K226" s="38"/>
      <x:c r="L226" s="38"/>
      <x:c r="M226" s="38"/>
      <x:c r="N226" s="38"/>
      <x:c r="O226" s="38"/>
      <x:c r="P226" s="38"/>
      <x:c r="Q226" s="38"/>
      <x:c r="R226" s="38"/>
      <x:c r="S226" s="38"/>
      <x:c r="T226" s="38"/>
      <x:c r="U226" s="38"/>
      <x:c r="V226" s="38"/>
      <x:c r="W226" s="38"/>
      <x:c r="X226" s="38"/>
      <x:c r="Y226" s="38"/>
      <x:c r="Z226" s="38"/>
    </x:row>
    <x:row r="227">
      <x:c r="A227" s="38"/>
      <x:c r="B227" s="38"/>
      <x:c r="C227" s="38"/>
      <x:c r="D227" s="38"/>
      <x:c r="E227" s="38"/>
      <x:c r="F227" s="38"/>
      <x:c r="G227" s="38"/>
      <x:c r="H227" s="38"/>
      <x:c r="I227" s="38"/>
      <x:c r="J227" s="38"/>
      <x:c r="K227" s="38"/>
      <x:c r="L227" s="38"/>
      <x:c r="M227" s="38"/>
      <x:c r="N227" s="38"/>
      <x:c r="O227" s="38"/>
      <x:c r="P227" s="38"/>
      <x:c r="Q227" s="38"/>
      <x:c r="R227" s="38"/>
      <x:c r="S227" s="38"/>
      <x:c r="T227" s="38"/>
      <x:c r="U227" s="38"/>
      <x:c r="V227" s="38"/>
      <x:c r="W227" s="38"/>
      <x:c r="X227" s="38"/>
      <x:c r="Y227" s="38"/>
      <x:c r="Z227" s="38"/>
    </x:row>
    <x:row r="228">
      <x:c r="A228" s="38"/>
      <x:c r="B228" s="38"/>
      <x:c r="C228" s="38"/>
      <x:c r="D228" s="38"/>
      <x:c r="E228" s="38"/>
      <x:c r="F228" s="38"/>
      <x:c r="G228" s="38"/>
      <x:c r="H228" s="38"/>
      <x:c r="I228" s="38"/>
      <x:c r="J228" s="38"/>
      <x:c r="K228" s="38"/>
      <x:c r="L228" s="38"/>
      <x:c r="M228" s="38"/>
      <x:c r="N228" s="38"/>
      <x:c r="O228" s="38"/>
      <x:c r="P228" s="38"/>
      <x:c r="Q228" s="38"/>
      <x:c r="R228" s="38"/>
      <x:c r="S228" s="38"/>
      <x:c r="T228" s="38"/>
      <x:c r="U228" s="38"/>
      <x:c r="V228" s="38"/>
      <x:c r="W228" s="38"/>
      <x:c r="X228" s="38"/>
      <x:c r="Y228" s="38"/>
      <x:c r="Z228" s="38"/>
    </x:row>
    <x:row r="229">
      <x:c r="A229" s="38"/>
      <x:c r="B229" s="38"/>
      <x:c r="C229" s="38"/>
      <x:c r="D229" s="38"/>
      <x:c r="E229" s="38"/>
      <x:c r="F229" s="38"/>
      <x:c r="G229" s="38"/>
      <x:c r="H229" s="38"/>
      <x:c r="I229" s="38"/>
      <x:c r="J229" s="38"/>
      <x:c r="K229" s="38"/>
      <x:c r="L229" s="38"/>
      <x:c r="M229" s="38"/>
      <x:c r="N229" s="38"/>
      <x:c r="O229" s="38"/>
      <x:c r="P229" s="38"/>
      <x:c r="Q229" s="38"/>
      <x:c r="R229" s="38"/>
      <x:c r="S229" s="38"/>
      <x:c r="T229" s="38"/>
      <x:c r="U229" s="38"/>
      <x:c r="V229" s="38"/>
      <x:c r="W229" s="38"/>
      <x:c r="X229" s="38"/>
      <x:c r="Y229" s="38"/>
      <x:c r="Z229" s="38"/>
    </x:row>
    <x:row r="230">
      <x:c r="A230" s="38"/>
      <x:c r="B230" s="38"/>
      <x:c r="C230" s="38"/>
      <x:c r="D230" s="38"/>
      <x:c r="E230" s="38"/>
      <x:c r="F230" s="38"/>
      <x:c r="G230" s="38"/>
      <x:c r="H230" s="38"/>
      <x:c r="I230" s="38"/>
      <x:c r="J230" s="38"/>
      <x:c r="K230" s="38"/>
      <x:c r="L230" s="38"/>
      <x:c r="M230" s="38"/>
      <x:c r="N230" s="38"/>
      <x:c r="O230" s="38"/>
      <x:c r="P230" s="38"/>
      <x:c r="Q230" s="38"/>
      <x:c r="R230" s="38"/>
      <x:c r="S230" s="38"/>
      <x:c r="T230" s="38"/>
      <x:c r="U230" s="38"/>
      <x:c r="V230" s="38"/>
      <x:c r="W230" s="38"/>
      <x:c r="X230" s="38"/>
      <x:c r="Y230" s="38"/>
      <x:c r="Z230" s="38"/>
    </x:row>
    <x:row r="231">
      <x:c r="A231" s="38"/>
      <x:c r="B231" s="38"/>
      <x:c r="C231" s="38"/>
      <x:c r="D231" s="38"/>
      <x:c r="E231" s="38"/>
      <x:c r="F231" s="38"/>
      <x:c r="G231" s="38"/>
      <x:c r="H231" s="38"/>
      <x:c r="I231" s="38"/>
      <x:c r="J231" s="38"/>
      <x:c r="K231" s="38"/>
      <x:c r="L231" s="38"/>
      <x:c r="M231" s="38"/>
      <x:c r="N231" s="38"/>
      <x:c r="O231" s="38"/>
      <x:c r="P231" s="38"/>
      <x:c r="Q231" s="38"/>
      <x:c r="R231" s="38"/>
      <x:c r="S231" s="38"/>
      <x:c r="T231" s="38"/>
      <x:c r="U231" s="38"/>
      <x:c r="V231" s="38"/>
      <x:c r="W231" s="38"/>
      <x:c r="X231" s="38"/>
      <x:c r="Y231" s="38"/>
      <x:c r="Z231" s="38"/>
    </x:row>
    <x:row r="232">
      <x:c r="A232" s="38"/>
      <x:c r="B232" s="38"/>
      <x:c r="C232" s="38"/>
      <x:c r="D232" s="38"/>
      <x:c r="E232" s="38"/>
      <x:c r="F232" s="38"/>
      <x:c r="G232" s="38"/>
      <x:c r="H232" s="38"/>
      <x:c r="I232" s="38"/>
      <x:c r="J232" s="38"/>
      <x:c r="K232" s="38"/>
      <x:c r="L232" s="38"/>
      <x:c r="M232" s="38"/>
      <x:c r="N232" s="38"/>
      <x:c r="O232" s="38"/>
      <x:c r="P232" s="38"/>
      <x:c r="Q232" s="38"/>
      <x:c r="R232" s="38"/>
      <x:c r="S232" s="38"/>
      <x:c r="T232" s="38"/>
      <x:c r="U232" s="38"/>
      <x:c r="V232" s="38"/>
      <x:c r="W232" s="38"/>
      <x:c r="X232" s="38"/>
      <x:c r="Y232" s="38"/>
      <x:c r="Z232" s="38"/>
    </x:row>
    <x:row r="233">
      <x:c r="A233" s="38"/>
      <x:c r="B233" s="38"/>
      <x:c r="C233" s="38"/>
      <x:c r="D233" s="38"/>
      <x:c r="E233" s="38"/>
      <x:c r="F233" s="38"/>
      <x:c r="G233" s="38"/>
      <x:c r="H233" s="38"/>
      <x:c r="I233" s="38"/>
      <x:c r="J233" s="38"/>
      <x:c r="K233" s="38"/>
      <x:c r="L233" s="38"/>
      <x:c r="M233" s="38"/>
      <x:c r="N233" s="38"/>
      <x:c r="O233" s="38"/>
      <x:c r="P233" s="38"/>
      <x:c r="Q233" s="38"/>
      <x:c r="R233" s="38"/>
      <x:c r="S233" s="38"/>
      <x:c r="T233" s="38"/>
      <x:c r="U233" s="38"/>
      <x:c r="V233" s="38"/>
      <x:c r="W233" s="38"/>
      <x:c r="X233" s="38"/>
      <x:c r="Y233" s="38"/>
      <x:c r="Z233" s="38"/>
    </x:row>
    <x:row r="234">
      <x:c r="A234" s="38"/>
      <x:c r="B234" s="38"/>
      <x:c r="C234" s="38"/>
      <x:c r="D234" s="38"/>
      <x:c r="E234" s="38"/>
      <x:c r="F234" s="38"/>
      <x:c r="G234" s="38"/>
      <x:c r="H234" s="38"/>
      <x:c r="I234" s="38"/>
      <x:c r="J234" s="38"/>
      <x:c r="K234" s="38"/>
      <x:c r="L234" s="38"/>
      <x:c r="M234" s="38"/>
      <x:c r="N234" s="38"/>
      <x:c r="O234" s="38"/>
      <x:c r="P234" s="38"/>
      <x:c r="Q234" s="38"/>
      <x:c r="R234" s="38"/>
      <x:c r="S234" s="38"/>
      <x:c r="T234" s="38"/>
      <x:c r="U234" s="38"/>
      <x:c r="V234" s="38"/>
      <x:c r="W234" s="38"/>
      <x:c r="X234" s="38"/>
      <x:c r="Y234" s="38"/>
      <x:c r="Z234" s="38"/>
    </x:row>
    <x:row r="235">
      <x:c r="A235" s="38"/>
      <x:c r="B235" s="38"/>
      <x:c r="C235" s="38"/>
      <x:c r="D235" s="38"/>
      <x:c r="E235" s="38"/>
      <x:c r="F235" s="38"/>
      <x:c r="G235" s="38"/>
      <x:c r="H235" s="38"/>
      <x:c r="I235" s="38"/>
      <x:c r="J235" s="38"/>
      <x:c r="K235" s="38"/>
      <x:c r="L235" s="38"/>
      <x:c r="M235" s="38"/>
      <x:c r="N235" s="38"/>
      <x:c r="O235" s="38"/>
      <x:c r="P235" s="38"/>
      <x:c r="Q235" s="38"/>
      <x:c r="R235" s="38"/>
      <x:c r="S235" s="38"/>
      <x:c r="T235" s="38"/>
      <x:c r="U235" s="38"/>
      <x:c r="V235" s="38"/>
      <x:c r="W235" s="38"/>
      <x:c r="X235" s="38"/>
      <x:c r="Y235" s="38"/>
      <x:c r="Z235" s="38"/>
    </x:row>
    <x:row r="236">
      <x:c r="A236" s="38"/>
      <x:c r="B236" s="38"/>
      <x:c r="C236" s="38"/>
      <x:c r="D236" s="38"/>
      <x:c r="E236" s="38"/>
      <x:c r="F236" s="38"/>
      <x:c r="G236" s="38"/>
      <x:c r="H236" s="38"/>
      <x:c r="I236" s="38"/>
      <x:c r="J236" s="38"/>
      <x:c r="K236" s="38"/>
      <x:c r="L236" s="38"/>
      <x:c r="M236" s="38"/>
      <x:c r="N236" s="38"/>
      <x:c r="O236" s="38"/>
      <x:c r="P236" s="38"/>
      <x:c r="Q236" s="38"/>
      <x:c r="R236" s="38"/>
      <x:c r="S236" s="38"/>
      <x:c r="T236" s="38"/>
      <x:c r="U236" s="38"/>
      <x:c r="V236" s="38"/>
      <x:c r="W236" s="38"/>
      <x:c r="X236" s="38"/>
      <x:c r="Y236" s="38"/>
      <x:c r="Z236" s="38"/>
    </x:row>
    <x:row r="237">
      <x:c r="A237" s="38"/>
      <x:c r="B237" s="38"/>
      <x:c r="C237" s="38"/>
      <x:c r="D237" s="38"/>
      <x:c r="E237" s="38"/>
      <x:c r="F237" s="38"/>
      <x:c r="G237" s="38"/>
      <x:c r="H237" s="38"/>
      <x:c r="I237" s="38"/>
      <x:c r="J237" s="38"/>
      <x:c r="K237" s="38"/>
      <x:c r="L237" s="38"/>
      <x:c r="M237" s="38"/>
      <x:c r="N237" s="38"/>
      <x:c r="O237" s="38"/>
      <x:c r="P237" s="38"/>
      <x:c r="Q237" s="38"/>
      <x:c r="R237" s="38"/>
      <x:c r="S237" s="38"/>
      <x:c r="T237" s="38"/>
      <x:c r="U237" s="38"/>
      <x:c r="V237" s="38"/>
      <x:c r="W237" s="38"/>
      <x:c r="X237" s="38"/>
      <x:c r="Y237" s="38"/>
      <x:c r="Z237" s="38"/>
    </x:row>
    <x:row r="238">
      <x:c r="A238" s="38"/>
      <x:c r="B238" s="38"/>
      <x:c r="C238" s="38"/>
      <x:c r="D238" s="38"/>
      <x:c r="E238" s="38"/>
      <x:c r="F238" s="38"/>
      <x:c r="G238" s="38"/>
      <x:c r="H238" s="38"/>
      <x:c r="I238" s="38"/>
      <x:c r="J238" s="38"/>
      <x:c r="K238" s="38"/>
      <x:c r="L238" s="38"/>
      <x:c r="M238" s="38"/>
      <x:c r="N238" s="38"/>
      <x:c r="O238" s="38"/>
      <x:c r="P238" s="38"/>
      <x:c r="Q238" s="38"/>
      <x:c r="R238" s="38"/>
      <x:c r="S238" s="38"/>
      <x:c r="T238" s="38"/>
      <x:c r="U238" s="38"/>
      <x:c r="V238" s="38"/>
      <x:c r="W238" s="38"/>
      <x:c r="X238" s="38"/>
      <x:c r="Y238" s="38"/>
      <x:c r="Z238" s="38"/>
    </x:row>
    <x:row r="239">
      <x:c r="A239" s="38"/>
      <x:c r="B239" s="38"/>
      <x:c r="C239" s="38"/>
      <x:c r="D239" s="38"/>
      <x:c r="E239" s="38"/>
      <x:c r="F239" s="38"/>
      <x:c r="G239" s="38"/>
      <x:c r="H239" s="38"/>
      <x:c r="I239" s="38"/>
      <x:c r="J239" s="38"/>
      <x:c r="K239" s="38"/>
      <x:c r="L239" s="38"/>
      <x:c r="M239" s="38"/>
      <x:c r="N239" s="38"/>
      <x:c r="O239" s="38"/>
      <x:c r="P239" s="38"/>
      <x:c r="Q239" s="38"/>
      <x:c r="R239" s="38"/>
      <x:c r="S239" s="38"/>
      <x:c r="T239" s="38"/>
      <x:c r="U239" s="38"/>
      <x:c r="V239" s="38"/>
      <x:c r="W239" s="38"/>
      <x:c r="X239" s="38"/>
      <x:c r="Y239" s="38"/>
      <x:c r="Z239" s="38"/>
    </x:row>
    <x:row r="240">
      <x:c r="A240" s="38"/>
      <x:c r="B240" s="38"/>
      <x:c r="C240" s="38"/>
      <x:c r="D240" s="38"/>
      <x:c r="E240" s="38"/>
      <x:c r="F240" s="38"/>
      <x:c r="G240" s="38"/>
      <x:c r="H240" s="38"/>
      <x:c r="I240" s="38"/>
      <x:c r="J240" s="38"/>
      <x:c r="K240" s="38"/>
      <x:c r="L240" s="38"/>
      <x:c r="M240" s="38"/>
      <x:c r="N240" s="38"/>
      <x:c r="O240" s="38"/>
      <x:c r="P240" s="38"/>
      <x:c r="Q240" s="38"/>
      <x:c r="R240" s="38"/>
      <x:c r="S240" s="38"/>
      <x:c r="T240" s="38"/>
      <x:c r="U240" s="38"/>
      <x:c r="V240" s="38"/>
      <x:c r="W240" s="38"/>
      <x:c r="X240" s="38"/>
      <x:c r="Y240" s="38"/>
      <x:c r="Z240" s="38"/>
    </x:row>
    <x:row r="241">
      <x:c r="A241" s="38"/>
      <x:c r="B241" s="38"/>
      <x:c r="C241" s="38"/>
      <x:c r="D241" s="38"/>
      <x:c r="E241" s="38"/>
      <x:c r="F241" s="38"/>
      <x:c r="G241" s="38"/>
      <x:c r="H241" s="38"/>
      <x:c r="I241" s="38"/>
      <x:c r="J241" s="38"/>
      <x:c r="K241" s="38"/>
      <x:c r="L241" s="38"/>
      <x:c r="M241" s="38"/>
      <x:c r="N241" s="38"/>
      <x:c r="O241" s="38"/>
      <x:c r="P241" s="38"/>
      <x:c r="Q241" s="38"/>
      <x:c r="R241" s="38"/>
      <x:c r="S241" s="38"/>
      <x:c r="T241" s="38"/>
      <x:c r="U241" s="38"/>
      <x:c r="V241" s="38"/>
      <x:c r="W241" s="38"/>
      <x:c r="X241" s="38"/>
      <x:c r="Y241" s="38"/>
      <x:c r="Z241" s="38"/>
    </x:row>
    <x:row r="242">
      <x:c r="A242" s="38"/>
      <x:c r="B242" s="38"/>
      <x:c r="C242" s="38"/>
      <x:c r="D242" s="38"/>
      <x:c r="E242" s="38"/>
      <x:c r="F242" s="38"/>
      <x:c r="G242" s="38"/>
      <x:c r="H242" s="38"/>
      <x:c r="I242" s="38"/>
      <x:c r="J242" s="38"/>
      <x:c r="K242" s="38"/>
      <x:c r="L242" s="38"/>
      <x:c r="M242" s="38"/>
      <x:c r="N242" s="38"/>
      <x:c r="O242" s="38"/>
      <x:c r="P242" s="38"/>
      <x:c r="Q242" s="38"/>
      <x:c r="R242" s="38"/>
      <x:c r="S242" s="38"/>
      <x:c r="T242" s="38"/>
      <x:c r="U242" s="38"/>
      <x:c r="V242" s="38"/>
      <x:c r="W242" s="38"/>
      <x:c r="X242" s="38"/>
      <x:c r="Y242" s="38"/>
      <x:c r="Z242" s="38"/>
    </x:row>
    <x:row r="243">
      <x:c r="A243" s="38"/>
      <x:c r="B243" s="38"/>
      <x:c r="C243" s="38"/>
      <x:c r="D243" s="38"/>
      <x:c r="E243" s="38"/>
      <x:c r="F243" s="38"/>
      <x:c r="G243" s="38"/>
      <x:c r="H243" s="38"/>
      <x:c r="I243" s="38"/>
      <x:c r="J243" s="38"/>
      <x:c r="K243" s="38"/>
      <x:c r="L243" s="38"/>
      <x:c r="M243" s="38"/>
      <x:c r="N243" s="38"/>
      <x:c r="O243" s="38"/>
      <x:c r="P243" s="38"/>
      <x:c r="Q243" s="38"/>
      <x:c r="R243" s="38"/>
      <x:c r="S243" s="38"/>
      <x:c r="T243" s="38"/>
      <x:c r="U243" s="38"/>
      <x:c r="V243" s="38"/>
      <x:c r="W243" s="38"/>
      <x:c r="X243" s="38"/>
      <x:c r="Y243" s="38"/>
      <x:c r="Z243" s="38"/>
    </x:row>
    <x:row r="244">
      <x:c r="A244" s="38"/>
      <x:c r="B244" s="38"/>
      <x:c r="C244" s="38"/>
      <x:c r="D244" s="38"/>
      <x:c r="E244" s="38"/>
      <x:c r="F244" s="38"/>
      <x:c r="G244" s="38"/>
      <x:c r="H244" s="38"/>
      <x:c r="I244" s="38"/>
      <x:c r="J244" s="38"/>
      <x:c r="K244" s="38"/>
      <x:c r="L244" s="38"/>
      <x:c r="M244" s="38"/>
      <x:c r="N244" s="38"/>
      <x:c r="O244" s="38"/>
      <x:c r="P244" s="38"/>
      <x:c r="Q244" s="38"/>
      <x:c r="R244" s="38"/>
      <x:c r="S244" s="38"/>
      <x:c r="T244" s="38"/>
      <x:c r="U244" s="38"/>
      <x:c r="V244" s="38"/>
      <x:c r="W244" s="38"/>
      <x:c r="X244" s="38"/>
      <x:c r="Y244" s="38"/>
      <x:c r="Z244" s="38"/>
    </x:row>
    <x:row r="245">
      <x:c r="A245" s="38"/>
      <x:c r="B245" s="38"/>
      <x:c r="C245" s="38"/>
      <x:c r="D245" s="38"/>
      <x:c r="E245" s="38"/>
      <x:c r="F245" s="38"/>
      <x:c r="G245" s="38"/>
      <x:c r="H245" s="38"/>
      <x:c r="I245" s="38"/>
      <x:c r="J245" s="38"/>
      <x:c r="K245" s="38"/>
      <x:c r="L245" s="38"/>
      <x:c r="M245" s="38"/>
      <x:c r="N245" s="38"/>
      <x:c r="O245" s="38"/>
      <x:c r="P245" s="38"/>
      <x:c r="Q245" s="38"/>
      <x:c r="R245" s="38"/>
      <x:c r="S245" s="38"/>
      <x:c r="T245" s="38"/>
      <x:c r="U245" s="38"/>
      <x:c r="V245" s="38"/>
      <x:c r="W245" s="38"/>
      <x:c r="X245" s="38"/>
      <x:c r="Y245" s="38"/>
      <x:c r="Z245" s="38"/>
    </x:row>
    <x:row r="246">
      <x:c r="A246" s="38"/>
      <x:c r="B246" s="38"/>
      <x:c r="C246" s="38"/>
      <x:c r="D246" s="38"/>
      <x:c r="E246" s="38"/>
      <x:c r="F246" s="38"/>
      <x:c r="G246" s="38"/>
      <x:c r="H246" s="38"/>
      <x:c r="I246" s="38"/>
      <x:c r="J246" s="38"/>
      <x:c r="K246" s="38"/>
      <x:c r="L246" s="38"/>
      <x:c r="M246" s="38"/>
      <x:c r="N246" s="38"/>
      <x:c r="O246" s="38"/>
      <x:c r="P246" s="38"/>
      <x:c r="Q246" s="38"/>
      <x:c r="R246" s="38"/>
      <x:c r="S246" s="38"/>
      <x:c r="T246" s="38"/>
      <x:c r="U246" s="38"/>
      <x:c r="V246" s="38"/>
      <x:c r="W246" s="38"/>
      <x:c r="X246" s="38"/>
      <x:c r="Y246" s="38"/>
      <x:c r="Z246" s="38"/>
    </x:row>
    <x:row r="247">
      <x:c r="A247" s="38"/>
      <x:c r="B247" s="38"/>
      <x:c r="C247" s="38"/>
      <x:c r="D247" s="38"/>
      <x:c r="E247" s="38"/>
      <x:c r="F247" s="38"/>
      <x:c r="G247" s="38"/>
      <x:c r="H247" s="38"/>
      <x:c r="I247" s="38"/>
      <x:c r="J247" s="38"/>
      <x:c r="K247" s="38"/>
      <x:c r="L247" s="38"/>
      <x:c r="M247" s="38"/>
      <x:c r="N247" s="38"/>
      <x:c r="O247" s="38"/>
      <x:c r="P247" s="38"/>
      <x:c r="Q247" s="38"/>
      <x:c r="R247" s="38"/>
      <x:c r="S247" s="38"/>
      <x:c r="T247" s="38"/>
      <x:c r="U247" s="38"/>
      <x:c r="V247" s="38"/>
      <x:c r="W247" s="38"/>
      <x:c r="X247" s="38"/>
      <x:c r="Y247" s="38"/>
      <x:c r="Z247" s="38"/>
    </x:row>
    <x:row r="248">
      <x:c r="A248" s="38"/>
      <x:c r="B248" s="38"/>
      <x:c r="C248" s="38"/>
      <x:c r="D248" s="38"/>
      <x:c r="E248" s="38"/>
      <x:c r="F248" s="38"/>
      <x:c r="G248" s="38"/>
      <x:c r="H248" s="38"/>
      <x:c r="I248" s="38"/>
      <x:c r="J248" s="38"/>
      <x:c r="K248" s="38"/>
      <x:c r="L248" s="38"/>
      <x:c r="M248" s="38"/>
      <x:c r="N248" s="38"/>
      <x:c r="O248" s="38"/>
      <x:c r="P248" s="38"/>
      <x:c r="Q248" s="38"/>
      <x:c r="R248" s="38"/>
      <x:c r="S248" s="38"/>
      <x:c r="T248" s="38"/>
      <x:c r="U248" s="38"/>
      <x:c r="V248" s="38"/>
      <x:c r="W248" s="38"/>
      <x:c r="X248" s="38"/>
      <x:c r="Y248" s="38"/>
      <x:c r="Z248" s="38"/>
    </x:row>
    <x:row r="249">
      <x:c r="A249" s="38"/>
      <x:c r="B249" s="38"/>
      <x:c r="C249" s="38"/>
      <x:c r="D249" s="38"/>
      <x:c r="E249" s="38"/>
      <x:c r="F249" s="38"/>
      <x:c r="G249" s="38"/>
      <x:c r="H249" s="38"/>
      <x:c r="I249" s="38"/>
      <x:c r="J249" s="38"/>
      <x:c r="K249" s="38"/>
      <x:c r="L249" s="38"/>
      <x:c r="M249" s="38"/>
      <x:c r="N249" s="38"/>
      <x:c r="O249" s="38"/>
      <x:c r="P249" s="38"/>
      <x:c r="Q249" s="38"/>
      <x:c r="R249" s="38"/>
      <x:c r="S249" s="38"/>
      <x:c r="T249" s="38"/>
      <x:c r="U249" s="38"/>
      <x:c r="V249" s="38"/>
      <x:c r="W249" s="38"/>
      <x:c r="X249" s="38"/>
      <x:c r="Y249" s="38"/>
      <x:c r="Z249" s="38"/>
    </x:row>
    <x:row r="250">
      <x:c r="A250" s="38"/>
      <x:c r="B250" s="38"/>
      <x:c r="C250" s="38"/>
      <x:c r="D250" s="38"/>
      <x:c r="E250" s="38"/>
      <x:c r="F250" s="38"/>
      <x:c r="G250" s="38"/>
      <x:c r="H250" s="38"/>
      <x:c r="I250" s="38"/>
      <x:c r="J250" s="38"/>
      <x:c r="K250" s="38"/>
      <x:c r="L250" s="38"/>
      <x:c r="M250" s="38"/>
      <x:c r="N250" s="38"/>
      <x:c r="O250" s="38"/>
      <x:c r="P250" s="38"/>
      <x:c r="Q250" s="38"/>
      <x:c r="R250" s="38"/>
      <x:c r="S250" s="38"/>
      <x:c r="T250" s="38"/>
      <x:c r="U250" s="38"/>
      <x:c r="V250" s="38"/>
      <x:c r="W250" s="38"/>
      <x:c r="X250" s="38"/>
      <x:c r="Y250" s="38"/>
      <x:c r="Z250" s="38"/>
    </x:row>
    <x:row r="251">
      <x:c r="A251" s="38"/>
      <x:c r="B251" s="38"/>
      <x:c r="C251" s="38"/>
      <x:c r="D251" s="38"/>
      <x:c r="E251" s="38"/>
      <x:c r="F251" s="38"/>
      <x:c r="G251" s="38"/>
      <x:c r="H251" s="38"/>
      <x:c r="I251" s="38"/>
      <x:c r="J251" s="38"/>
      <x:c r="K251" s="38"/>
      <x:c r="L251" s="38"/>
      <x:c r="M251" s="38"/>
      <x:c r="N251" s="38"/>
      <x:c r="O251" s="38"/>
      <x:c r="P251" s="38"/>
      <x:c r="Q251" s="38"/>
      <x:c r="R251" s="38"/>
      <x:c r="S251" s="38"/>
      <x:c r="T251" s="38"/>
      <x:c r="U251" s="38"/>
      <x:c r="V251" s="38"/>
      <x:c r="W251" s="38"/>
      <x:c r="X251" s="38"/>
      <x:c r="Y251" s="38"/>
      <x:c r="Z251" s="38"/>
    </x:row>
    <x:row r="252">
      <x:c r="A252" s="38"/>
      <x:c r="B252" s="38"/>
      <x:c r="C252" s="38"/>
      <x:c r="D252" s="38"/>
      <x:c r="E252" s="38"/>
      <x:c r="F252" s="38"/>
      <x:c r="G252" s="38"/>
      <x:c r="H252" s="38"/>
      <x:c r="I252" s="38"/>
      <x:c r="J252" s="38"/>
      <x:c r="K252" s="38"/>
      <x:c r="L252" s="38"/>
      <x:c r="M252" s="38"/>
      <x:c r="N252" s="38"/>
      <x:c r="O252" s="38"/>
      <x:c r="P252" s="38"/>
      <x:c r="Q252" s="38"/>
      <x:c r="R252" s="38"/>
      <x:c r="S252" s="38"/>
      <x:c r="T252" s="38"/>
      <x:c r="U252" s="38"/>
      <x:c r="V252" s="38"/>
      <x:c r="W252" s="38"/>
      <x:c r="X252" s="38"/>
      <x:c r="Y252" s="38"/>
      <x:c r="Z252" s="38"/>
    </x:row>
    <x:row r="253">
      <x:c r="A253" s="38"/>
      <x:c r="B253" s="38"/>
      <x:c r="C253" s="38"/>
      <x:c r="D253" s="38"/>
      <x:c r="E253" s="38"/>
      <x:c r="F253" s="38"/>
      <x:c r="G253" s="38"/>
      <x:c r="H253" s="38"/>
      <x:c r="I253" s="38"/>
      <x:c r="J253" s="38"/>
      <x:c r="K253" s="38"/>
      <x:c r="L253" s="38"/>
      <x:c r="M253" s="38"/>
      <x:c r="N253" s="38"/>
      <x:c r="O253" s="38"/>
      <x:c r="P253" s="38"/>
      <x:c r="Q253" s="38"/>
      <x:c r="R253" s="38"/>
      <x:c r="S253" s="38"/>
      <x:c r="T253" s="38"/>
      <x:c r="U253" s="38"/>
      <x:c r="V253" s="38"/>
      <x:c r="W253" s="38"/>
      <x:c r="X253" s="38"/>
      <x:c r="Y253" s="38"/>
      <x:c r="Z253" s="38"/>
    </x:row>
    <x:row r="254">
      <x:c r="A254" s="38"/>
      <x:c r="B254" s="38"/>
      <x:c r="C254" s="38"/>
      <x:c r="D254" s="38"/>
      <x:c r="E254" s="38"/>
      <x:c r="F254" s="38"/>
      <x:c r="G254" s="38"/>
      <x:c r="H254" s="38"/>
      <x:c r="I254" s="38"/>
      <x:c r="J254" s="38"/>
      <x:c r="K254" s="38"/>
      <x:c r="L254" s="38"/>
      <x:c r="M254" s="38"/>
      <x:c r="N254" s="38"/>
      <x:c r="O254" s="38"/>
      <x:c r="P254" s="38"/>
      <x:c r="Q254" s="38"/>
      <x:c r="R254" s="38"/>
      <x:c r="S254" s="38"/>
      <x:c r="T254" s="38"/>
      <x:c r="U254" s="38"/>
      <x:c r="V254" s="38"/>
      <x:c r="W254" s="38"/>
      <x:c r="X254" s="38"/>
      <x:c r="Y254" s="38"/>
      <x:c r="Z254" s="38"/>
    </x:row>
    <x:row r="255">
      <x:c r="A255" s="38"/>
      <x:c r="B255" s="38"/>
      <x:c r="C255" s="38"/>
      <x:c r="D255" s="38"/>
      <x:c r="E255" s="38"/>
      <x:c r="F255" s="38"/>
      <x:c r="G255" s="38"/>
      <x:c r="H255" s="38"/>
      <x:c r="I255" s="38"/>
      <x:c r="J255" s="38"/>
      <x:c r="K255" s="38"/>
      <x:c r="L255" s="38"/>
      <x:c r="M255" s="38"/>
      <x:c r="N255" s="38"/>
      <x:c r="O255" s="38"/>
      <x:c r="P255" s="38"/>
      <x:c r="Q255" s="38"/>
      <x:c r="R255" s="38"/>
      <x:c r="S255" s="38"/>
      <x:c r="T255" s="38"/>
      <x:c r="U255" s="38"/>
      <x:c r="V255" s="38"/>
      <x:c r="W255" s="38"/>
      <x:c r="X255" s="38"/>
      <x:c r="Y255" s="38"/>
      <x:c r="Z255" s="38"/>
    </x:row>
    <x:row r="256">
      <x:c r="A256" s="38"/>
      <x:c r="B256" s="38"/>
      <x:c r="C256" s="38"/>
      <x:c r="D256" s="38"/>
      <x:c r="E256" s="38"/>
      <x:c r="F256" s="38"/>
      <x:c r="G256" s="38"/>
      <x:c r="H256" s="38"/>
      <x:c r="I256" s="38"/>
      <x:c r="J256" s="38"/>
      <x:c r="K256" s="38"/>
      <x:c r="L256" s="38"/>
      <x:c r="M256" s="38"/>
      <x:c r="N256" s="38"/>
      <x:c r="O256" s="38"/>
      <x:c r="P256" s="38"/>
      <x:c r="Q256" s="38"/>
      <x:c r="R256" s="38"/>
      <x:c r="S256" s="38"/>
      <x:c r="T256" s="38"/>
      <x:c r="U256" s="38"/>
      <x:c r="V256" s="38"/>
      <x:c r="W256" s="38"/>
      <x:c r="X256" s="38"/>
      <x:c r="Y256" s="38"/>
      <x:c r="Z256" s="38"/>
    </x:row>
    <x:row r="257">
      <x:c r="A257" s="38"/>
      <x:c r="B257" s="38"/>
      <x:c r="C257" s="38"/>
      <x:c r="D257" s="38"/>
      <x:c r="E257" s="38"/>
      <x:c r="F257" s="38"/>
      <x:c r="G257" s="38"/>
      <x:c r="H257" s="38"/>
      <x:c r="I257" s="38"/>
      <x:c r="J257" s="38"/>
      <x:c r="K257" s="38"/>
      <x:c r="L257" s="38"/>
      <x:c r="M257" s="38"/>
      <x:c r="N257" s="38"/>
      <x:c r="O257" s="38"/>
      <x:c r="P257" s="38"/>
      <x:c r="Q257" s="38"/>
      <x:c r="R257" s="38"/>
      <x:c r="S257" s="38"/>
      <x:c r="T257" s="38"/>
      <x:c r="U257" s="38"/>
      <x:c r="V257" s="38"/>
      <x:c r="W257" s="38"/>
      <x:c r="X257" s="38"/>
      <x:c r="Y257" s="38"/>
      <x:c r="Z257" s="38"/>
    </x:row>
    <x:row r="258">
      <x:c r="A258" s="38"/>
      <x:c r="B258" s="38"/>
      <x:c r="C258" s="38"/>
      <x:c r="D258" s="38"/>
      <x:c r="E258" s="38"/>
      <x:c r="F258" s="38"/>
      <x:c r="G258" s="38"/>
      <x:c r="H258" s="38"/>
      <x:c r="I258" s="38"/>
      <x:c r="J258" s="38"/>
      <x:c r="K258" s="38"/>
      <x:c r="L258" s="38"/>
      <x:c r="M258" s="38"/>
      <x:c r="N258" s="38"/>
      <x:c r="O258" s="38"/>
      <x:c r="P258" s="38"/>
      <x:c r="Q258" s="38"/>
      <x:c r="R258" s="38"/>
      <x:c r="S258" s="38"/>
      <x:c r="T258" s="38"/>
      <x:c r="U258" s="38"/>
      <x:c r="V258" s="38"/>
      <x:c r="W258" s="38"/>
      <x:c r="X258" s="38"/>
      <x:c r="Y258" s="38"/>
      <x:c r="Z258" s="38"/>
    </x:row>
    <x:row r="259">
      <x:c r="A259" s="38"/>
      <x:c r="B259" s="38"/>
      <x:c r="C259" s="38"/>
      <x:c r="D259" s="38"/>
      <x:c r="E259" s="38"/>
      <x:c r="F259" s="38"/>
      <x:c r="G259" s="38"/>
      <x:c r="H259" s="38"/>
      <x:c r="I259" s="38"/>
      <x:c r="J259" s="38"/>
      <x:c r="K259" s="38"/>
      <x:c r="L259" s="38"/>
      <x:c r="M259" s="38"/>
      <x:c r="N259" s="38"/>
      <x:c r="O259" s="38"/>
      <x:c r="P259" s="38"/>
      <x:c r="Q259" s="38"/>
      <x:c r="R259" s="38"/>
      <x:c r="S259" s="38"/>
      <x:c r="T259" s="38"/>
      <x:c r="U259" s="38"/>
      <x:c r="V259" s="38"/>
      <x:c r="W259" s="38"/>
      <x:c r="X259" s="38"/>
      <x:c r="Y259" s="38"/>
      <x:c r="Z259" s="38"/>
    </x:row>
    <x:row r="260">
      <x:c r="A260" s="38"/>
      <x:c r="B260" s="38"/>
      <x:c r="C260" s="38"/>
      <x:c r="D260" s="38"/>
      <x:c r="E260" s="38"/>
      <x:c r="F260" s="38"/>
      <x:c r="G260" s="38"/>
      <x:c r="H260" s="38"/>
      <x:c r="I260" s="38"/>
      <x:c r="J260" s="38"/>
      <x:c r="K260" s="38"/>
      <x:c r="L260" s="38"/>
      <x:c r="M260" s="38"/>
      <x:c r="N260" s="38"/>
      <x:c r="O260" s="38"/>
      <x:c r="P260" s="38"/>
      <x:c r="Q260" s="38"/>
      <x:c r="R260" s="38"/>
      <x:c r="S260" s="38"/>
      <x:c r="T260" s="38"/>
      <x:c r="U260" s="38"/>
      <x:c r="V260" s="38"/>
      <x:c r="W260" s="38"/>
      <x:c r="X260" s="38"/>
      <x:c r="Y260" s="38"/>
      <x:c r="Z260" s="38"/>
    </x:row>
    <x:row r="261">
      <x:c r="A261" s="38"/>
      <x:c r="B261" s="38"/>
      <x:c r="C261" s="38"/>
      <x:c r="D261" s="38"/>
      <x:c r="E261" s="38"/>
      <x:c r="F261" s="38"/>
      <x:c r="G261" s="38"/>
      <x:c r="H261" s="38"/>
      <x:c r="I261" s="38"/>
      <x:c r="J261" s="38"/>
      <x:c r="K261" s="38"/>
      <x:c r="L261" s="38"/>
      <x:c r="M261" s="38"/>
      <x:c r="N261" s="38"/>
      <x:c r="O261" s="38"/>
      <x:c r="P261" s="38"/>
      <x:c r="Q261" s="38"/>
      <x:c r="R261" s="38"/>
      <x:c r="S261" s="38"/>
      <x:c r="T261" s="38"/>
      <x:c r="U261" s="38"/>
      <x:c r="V261" s="38"/>
      <x:c r="W261" s="38"/>
      <x:c r="X261" s="38"/>
      <x:c r="Y261" s="38"/>
      <x:c r="Z261" s="38"/>
    </x:row>
    <x:row r="262">
      <x:c r="A262" s="38"/>
      <x:c r="B262" s="38"/>
      <x:c r="C262" s="38"/>
      <x:c r="D262" s="38"/>
      <x:c r="E262" s="38"/>
      <x:c r="F262" s="38"/>
      <x:c r="G262" s="38"/>
      <x:c r="H262" s="38"/>
      <x:c r="I262" s="38"/>
      <x:c r="J262" s="38"/>
      <x:c r="K262" s="38"/>
      <x:c r="L262" s="38"/>
      <x:c r="M262" s="38"/>
      <x:c r="N262" s="38"/>
      <x:c r="O262" s="38"/>
      <x:c r="P262" s="38"/>
      <x:c r="Q262" s="38"/>
      <x:c r="R262" s="38"/>
      <x:c r="S262" s="38"/>
      <x:c r="T262" s="38"/>
      <x:c r="U262" s="38"/>
      <x:c r="V262" s="38"/>
      <x:c r="W262" s="38"/>
      <x:c r="X262" s="38"/>
      <x:c r="Y262" s="38"/>
      <x:c r="Z262" s="38"/>
    </x:row>
    <x:row r="263">
      <x:c r="A263" s="38"/>
      <x:c r="B263" s="38"/>
      <x:c r="C263" s="38"/>
      <x:c r="D263" s="38"/>
      <x:c r="E263" s="38"/>
      <x:c r="F263" s="38"/>
      <x:c r="G263" s="38"/>
      <x:c r="H263" s="38"/>
      <x:c r="I263" s="38"/>
      <x:c r="J263" s="38"/>
      <x:c r="K263" s="38"/>
      <x:c r="L263" s="38"/>
      <x:c r="M263" s="38"/>
      <x:c r="N263" s="38"/>
      <x:c r="O263" s="38"/>
      <x:c r="P263" s="38"/>
      <x:c r="Q263" s="38"/>
      <x:c r="R263" s="38"/>
      <x:c r="S263" s="38"/>
      <x:c r="T263" s="38"/>
      <x:c r="U263" s="38"/>
      <x:c r="V263" s="38"/>
      <x:c r="W263" s="38"/>
      <x:c r="X263" s="38"/>
      <x:c r="Y263" s="38"/>
      <x:c r="Z263" s="38"/>
    </x:row>
    <x:row r="264">
      <x:c r="A264" s="38"/>
      <x:c r="B264" s="38"/>
      <x:c r="C264" s="38"/>
      <x:c r="D264" s="38"/>
      <x:c r="E264" s="38"/>
      <x:c r="F264" s="38"/>
      <x:c r="G264" s="38"/>
      <x:c r="H264" s="38"/>
      <x:c r="I264" s="38"/>
      <x:c r="J264" s="38"/>
      <x:c r="K264" s="38"/>
      <x:c r="L264" s="38"/>
      <x:c r="M264" s="38"/>
      <x:c r="N264" s="38"/>
      <x:c r="O264" s="38"/>
      <x:c r="P264" s="38"/>
      <x:c r="Q264" s="38"/>
      <x:c r="R264" s="38"/>
      <x:c r="S264" s="38"/>
      <x:c r="T264" s="38"/>
      <x:c r="U264" s="38"/>
      <x:c r="V264" s="38"/>
      <x:c r="W264" s="38"/>
      <x:c r="X264" s="38"/>
      <x:c r="Y264" s="38"/>
      <x:c r="Z264" s="38"/>
    </x:row>
    <x:row r="265">
      <x:c r="A265" s="38"/>
      <x:c r="B265" s="38"/>
      <x:c r="C265" s="38"/>
      <x:c r="D265" s="38"/>
      <x:c r="E265" s="38"/>
      <x:c r="F265" s="38"/>
      <x:c r="G265" s="38"/>
      <x:c r="H265" s="38"/>
      <x:c r="I265" s="38"/>
      <x:c r="J265" s="38"/>
      <x:c r="K265" s="38"/>
      <x:c r="L265" s="38"/>
      <x:c r="M265" s="38"/>
      <x:c r="N265" s="38"/>
      <x:c r="O265" s="38"/>
      <x:c r="P265" s="38"/>
      <x:c r="Q265" s="38"/>
      <x:c r="R265" s="38"/>
      <x:c r="S265" s="38"/>
      <x:c r="T265" s="38"/>
      <x:c r="U265" s="38"/>
      <x:c r="V265" s="38"/>
      <x:c r="W265" s="38"/>
      <x:c r="X265" s="38"/>
      <x:c r="Y265" s="38"/>
      <x:c r="Z265" s="38"/>
    </x:row>
    <x:row r="266">
      <x:c r="A266" s="38"/>
      <x:c r="B266" s="38"/>
      <x:c r="C266" s="38"/>
      <x:c r="D266" s="38"/>
      <x:c r="E266" s="38"/>
      <x:c r="F266" s="38"/>
      <x:c r="G266" s="38"/>
      <x:c r="H266" s="38"/>
      <x:c r="I266" s="38"/>
      <x:c r="J266" s="38"/>
      <x:c r="K266" s="38"/>
      <x:c r="L266" s="38"/>
      <x:c r="M266" s="38"/>
      <x:c r="N266" s="38"/>
      <x:c r="O266" s="38"/>
      <x:c r="P266" s="38"/>
      <x:c r="Q266" s="38"/>
      <x:c r="R266" s="38"/>
      <x:c r="S266" s="38"/>
      <x:c r="T266" s="38"/>
      <x:c r="U266" s="38"/>
      <x:c r="V266" s="38"/>
      <x:c r="W266" s="38"/>
      <x:c r="X266" s="38"/>
      <x:c r="Y266" s="38"/>
      <x:c r="Z266" s="38"/>
    </x:row>
    <x:row r="267">
      <x:c r="A267" s="38"/>
      <x:c r="B267" s="38"/>
      <x:c r="C267" s="38"/>
      <x:c r="D267" s="38"/>
      <x:c r="E267" s="38"/>
      <x:c r="F267" s="38"/>
      <x:c r="G267" s="38"/>
      <x:c r="H267" s="38"/>
      <x:c r="I267" s="38"/>
      <x:c r="J267" s="38"/>
      <x:c r="K267" s="38"/>
      <x:c r="L267" s="38"/>
      <x:c r="M267" s="38"/>
      <x:c r="N267" s="38"/>
      <x:c r="O267" s="38"/>
      <x:c r="P267" s="38"/>
      <x:c r="Q267" s="38"/>
      <x:c r="R267" s="38"/>
      <x:c r="S267" s="38"/>
      <x:c r="T267" s="38"/>
      <x:c r="U267" s="38"/>
      <x:c r="V267" s="38"/>
      <x:c r="W267" s="38"/>
      <x:c r="X267" s="38"/>
      <x:c r="Y267" s="38"/>
      <x:c r="Z267" s="38"/>
    </x:row>
    <x:row r="268">
      <x:c r="A268" s="38"/>
      <x:c r="B268" s="38"/>
      <x:c r="C268" s="38"/>
      <x:c r="D268" s="38"/>
      <x:c r="E268" s="38"/>
      <x:c r="F268" s="38"/>
      <x:c r="G268" s="38"/>
      <x:c r="H268" s="38"/>
      <x:c r="I268" s="38"/>
      <x:c r="J268" s="38"/>
      <x:c r="K268" s="38"/>
      <x:c r="L268" s="38"/>
      <x:c r="M268" s="38"/>
      <x:c r="N268" s="38"/>
      <x:c r="O268" s="38"/>
      <x:c r="P268" s="38"/>
      <x:c r="Q268" s="38"/>
      <x:c r="R268" s="38"/>
      <x:c r="S268" s="38"/>
      <x:c r="T268" s="38"/>
      <x:c r="U268" s="38"/>
      <x:c r="V268" s="38"/>
      <x:c r="W268" s="38"/>
      <x:c r="X268" s="38"/>
      <x:c r="Y268" s="38"/>
      <x:c r="Z268" s="38"/>
    </x:row>
    <x:row r="269">
      <x:c r="A269" s="38"/>
      <x:c r="B269" s="38"/>
      <x:c r="C269" s="38"/>
      <x:c r="D269" s="38"/>
      <x:c r="E269" s="38"/>
      <x:c r="F269" s="38"/>
      <x:c r="G269" s="38"/>
      <x:c r="H269" s="38"/>
      <x:c r="I269" s="38"/>
      <x:c r="J269" s="38"/>
      <x:c r="K269" s="38"/>
      <x:c r="L269" s="38"/>
      <x:c r="M269" s="38"/>
      <x:c r="N269" s="38"/>
      <x:c r="O269" s="38"/>
      <x:c r="P269" s="38"/>
      <x:c r="Q269" s="38"/>
      <x:c r="R269" s="38"/>
      <x:c r="S269" s="38"/>
      <x:c r="T269" s="38"/>
      <x:c r="U269" s="38"/>
      <x:c r="V269" s="38"/>
      <x:c r="W269" s="38"/>
      <x:c r="X269" s="38"/>
      <x:c r="Y269" s="38"/>
      <x:c r="Z269" s="38"/>
    </x:row>
    <x:row r="270">
      <x:c r="A270" s="38"/>
      <x:c r="B270" s="38"/>
      <x:c r="C270" s="38"/>
      <x:c r="D270" s="38"/>
      <x:c r="E270" s="38"/>
      <x:c r="F270" s="38"/>
      <x:c r="G270" s="38"/>
      <x:c r="H270" s="38"/>
      <x:c r="I270" s="38"/>
      <x:c r="J270" s="38"/>
      <x:c r="K270" s="38"/>
      <x:c r="L270" s="38"/>
      <x:c r="M270" s="38"/>
      <x:c r="N270" s="38"/>
      <x:c r="O270" s="38"/>
      <x:c r="P270" s="38"/>
      <x:c r="Q270" s="38"/>
      <x:c r="R270" s="38"/>
      <x:c r="S270" s="38"/>
      <x:c r="T270" s="38"/>
      <x:c r="U270" s="38"/>
      <x:c r="V270" s="38"/>
      <x:c r="W270" s="38"/>
      <x:c r="X270" s="38"/>
      <x:c r="Y270" s="38"/>
      <x:c r="Z270" s="38"/>
    </x:row>
    <x:row r="271">
      <x:c r="A271" s="38"/>
      <x:c r="B271" s="38"/>
      <x:c r="C271" s="38"/>
      <x:c r="D271" s="38"/>
      <x:c r="E271" s="38"/>
      <x:c r="F271" s="38"/>
      <x:c r="G271" s="38"/>
      <x:c r="H271" s="38"/>
      <x:c r="I271" s="38"/>
      <x:c r="J271" s="38"/>
      <x:c r="K271" s="38"/>
      <x:c r="L271" s="38"/>
      <x:c r="M271" s="38"/>
      <x:c r="N271" s="38"/>
      <x:c r="O271" s="38"/>
      <x:c r="P271" s="38"/>
      <x:c r="Q271" s="38"/>
      <x:c r="R271" s="38"/>
      <x:c r="S271" s="38"/>
      <x:c r="T271" s="38"/>
      <x:c r="U271" s="38"/>
      <x:c r="V271" s="38"/>
      <x:c r="W271" s="38"/>
      <x:c r="X271" s="38"/>
      <x:c r="Y271" s="38"/>
      <x:c r="Z271" s="38"/>
    </x:row>
    <x:row r="272">
      <x:c r="A272" s="38"/>
      <x:c r="B272" s="38"/>
      <x:c r="C272" s="38"/>
      <x:c r="D272" s="38"/>
      <x:c r="E272" s="38"/>
      <x:c r="F272" s="38"/>
      <x:c r="G272" s="38"/>
      <x:c r="H272" s="38"/>
      <x:c r="I272" s="38"/>
      <x:c r="J272" s="38"/>
      <x:c r="K272" s="38"/>
      <x:c r="L272" s="38"/>
      <x:c r="M272" s="38"/>
      <x:c r="N272" s="38"/>
      <x:c r="O272" s="38"/>
      <x:c r="P272" s="38"/>
      <x:c r="Q272" s="38"/>
      <x:c r="R272" s="38"/>
      <x:c r="S272" s="38"/>
      <x:c r="T272" s="38"/>
      <x:c r="U272" s="38"/>
      <x:c r="V272" s="38"/>
      <x:c r="W272" s="38"/>
      <x:c r="X272" s="38"/>
      <x:c r="Y272" s="38"/>
      <x:c r="Z272" s="38"/>
    </x:row>
    <x:row r="273">
      <x:c r="A273" s="38"/>
      <x:c r="B273" s="38"/>
      <x:c r="C273" s="38"/>
      <x:c r="D273" s="38"/>
      <x:c r="E273" s="38"/>
      <x:c r="F273" s="38"/>
      <x:c r="G273" s="38"/>
      <x:c r="H273" s="38"/>
      <x:c r="I273" s="38"/>
      <x:c r="J273" s="38"/>
      <x:c r="K273" s="38"/>
      <x:c r="L273" s="38"/>
      <x:c r="M273" s="38"/>
      <x:c r="N273" s="38"/>
      <x:c r="O273" s="38"/>
      <x:c r="P273" s="38"/>
      <x:c r="Q273" s="38"/>
      <x:c r="R273" s="38"/>
      <x:c r="S273" s="38"/>
      <x:c r="T273" s="38"/>
      <x:c r="U273" s="38"/>
      <x:c r="V273" s="38"/>
      <x:c r="W273" s="38"/>
      <x:c r="X273" s="38"/>
      <x:c r="Y273" s="38"/>
      <x:c r="Z273" s="38"/>
    </x:row>
    <x:row r="274">
      <x:c r="A274" s="38"/>
      <x:c r="B274" s="38"/>
      <x:c r="C274" s="38"/>
      <x:c r="D274" s="38"/>
      <x:c r="E274" s="38"/>
      <x:c r="F274" s="38"/>
      <x:c r="G274" s="38"/>
      <x:c r="H274" s="38"/>
      <x:c r="I274" s="38"/>
      <x:c r="J274" s="38"/>
      <x:c r="K274" s="38"/>
      <x:c r="L274" s="38"/>
      <x:c r="M274" s="38"/>
      <x:c r="N274" s="38"/>
      <x:c r="O274" s="38"/>
      <x:c r="P274" s="38"/>
      <x:c r="Q274" s="38"/>
      <x:c r="R274" s="38"/>
      <x:c r="S274" s="38"/>
      <x:c r="T274" s="38"/>
      <x:c r="U274" s="38"/>
      <x:c r="V274" s="38"/>
      <x:c r="W274" s="38"/>
      <x:c r="X274" s="38"/>
      <x:c r="Y274" s="38"/>
      <x:c r="Z274" s="38"/>
    </x:row>
    <x:row r="275">
      <x:c r="A275" s="38"/>
      <x:c r="B275" s="38"/>
      <x:c r="C275" s="38"/>
      <x:c r="D275" s="38"/>
      <x:c r="E275" s="38"/>
      <x:c r="F275" s="38"/>
      <x:c r="G275" s="38"/>
      <x:c r="H275" s="38"/>
      <x:c r="I275" s="38"/>
      <x:c r="J275" s="38"/>
      <x:c r="K275" s="38"/>
      <x:c r="L275" s="38"/>
      <x:c r="M275" s="38"/>
      <x:c r="N275" s="38"/>
      <x:c r="O275" s="38"/>
      <x:c r="P275" s="38"/>
      <x:c r="Q275" s="38"/>
      <x:c r="R275" s="38"/>
      <x:c r="S275" s="38"/>
      <x:c r="T275" s="38"/>
      <x:c r="U275" s="38"/>
      <x:c r="V275" s="38"/>
      <x:c r="W275" s="38"/>
      <x:c r="X275" s="38"/>
      <x:c r="Y275" s="38"/>
      <x:c r="Z275" s="38"/>
    </x:row>
    <x:row r="276">
      <x:c r="A276" s="38"/>
      <x:c r="B276" s="38"/>
      <x:c r="C276" s="38"/>
      <x:c r="D276" s="38"/>
      <x:c r="E276" s="38"/>
      <x:c r="F276" s="38"/>
      <x:c r="G276" s="38"/>
      <x:c r="H276" s="38"/>
      <x:c r="I276" s="38"/>
      <x:c r="J276" s="38"/>
      <x:c r="K276" s="38"/>
      <x:c r="L276" s="38"/>
      <x:c r="M276" s="38"/>
      <x:c r="N276" s="38"/>
      <x:c r="O276" s="38"/>
      <x:c r="P276" s="38"/>
      <x:c r="Q276" s="38"/>
      <x:c r="R276" s="38"/>
      <x:c r="S276" s="38"/>
      <x:c r="T276" s="38"/>
      <x:c r="U276" s="38"/>
      <x:c r="V276" s="38"/>
      <x:c r="W276" s="38"/>
      <x:c r="X276" s="38"/>
      <x:c r="Y276" s="38"/>
      <x:c r="Z276" s="38"/>
    </x:row>
    <x:row r="277">
      <x:c r="A277" s="38"/>
      <x:c r="B277" s="38"/>
      <x:c r="C277" s="38"/>
      <x:c r="D277" s="38"/>
      <x:c r="E277" s="38"/>
      <x:c r="F277" s="38"/>
      <x:c r="G277" s="38"/>
      <x:c r="H277" s="38"/>
      <x:c r="I277" s="38"/>
      <x:c r="J277" s="38"/>
      <x:c r="K277" s="38"/>
      <x:c r="L277" s="38"/>
      <x:c r="M277" s="38"/>
      <x:c r="N277" s="38"/>
      <x:c r="O277" s="38"/>
      <x:c r="P277" s="38"/>
      <x:c r="Q277" s="38"/>
      <x:c r="R277" s="38"/>
      <x:c r="S277" s="38"/>
      <x:c r="T277" s="38"/>
      <x:c r="U277" s="38"/>
      <x:c r="V277" s="38"/>
      <x:c r="W277" s="38"/>
      <x:c r="X277" s="38"/>
      <x:c r="Y277" s="38"/>
      <x:c r="Z277" s="38"/>
    </x:row>
    <x:row r="278">
      <x:c r="A278" s="38"/>
      <x:c r="B278" s="38"/>
      <x:c r="C278" s="38"/>
      <x:c r="D278" s="38"/>
      <x:c r="E278" s="38"/>
      <x:c r="F278" s="38"/>
      <x:c r="G278" s="38"/>
      <x:c r="H278" s="38"/>
      <x:c r="I278" s="38"/>
      <x:c r="J278" s="38"/>
      <x:c r="K278" s="38"/>
      <x:c r="L278" s="38"/>
      <x:c r="M278" s="38"/>
      <x:c r="N278" s="38"/>
      <x:c r="O278" s="38"/>
      <x:c r="P278" s="38"/>
      <x:c r="Q278" s="38"/>
      <x:c r="R278" s="38"/>
      <x:c r="S278" s="38"/>
      <x:c r="T278" s="38"/>
      <x:c r="U278" s="38"/>
      <x:c r="V278" s="38"/>
      <x:c r="W278" s="38"/>
      <x:c r="X278" s="38"/>
      <x:c r="Y278" s="38"/>
      <x:c r="Z278" s="38"/>
    </x:row>
    <x:row r="279">
      <x:c r="A279" s="38"/>
      <x:c r="B279" s="38"/>
      <x:c r="C279" s="38"/>
      <x:c r="D279" s="38"/>
      <x:c r="E279" s="38"/>
      <x:c r="F279" s="38"/>
      <x:c r="G279" s="38"/>
      <x:c r="H279" s="38"/>
      <x:c r="I279" s="38"/>
      <x:c r="J279" s="38"/>
      <x:c r="K279" s="38"/>
      <x:c r="L279" s="38"/>
      <x:c r="M279" s="38"/>
      <x:c r="N279" s="38"/>
      <x:c r="O279" s="38"/>
      <x:c r="P279" s="38"/>
      <x:c r="Q279" s="38"/>
      <x:c r="R279" s="38"/>
      <x:c r="S279" s="38"/>
      <x:c r="T279" s="38"/>
      <x:c r="U279" s="38"/>
      <x:c r="V279" s="38"/>
      <x:c r="W279" s="38"/>
      <x:c r="X279" s="38"/>
      <x:c r="Y279" s="38"/>
      <x:c r="Z279" s="38"/>
    </x:row>
    <x:row r="280">
      <x:c r="A280" s="38"/>
      <x:c r="B280" s="38"/>
      <x:c r="C280" s="38"/>
      <x:c r="D280" s="38"/>
      <x:c r="E280" s="38"/>
      <x:c r="F280" s="38"/>
      <x:c r="G280" s="38"/>
      <x:c r="H280" s="38"/>
      <x:c r="I280" s="38"/>
      <x:c r="J280" s="38"/>
      <x:c r="K280" s="38"/>
      <x:c r="L280" s="38"/>
      <x:c r="M280" s="38"/>
      <x:c r="N280" s="38"/>
      <x:c r="O280" s="38"/>
      <x:c r="P280" s="38"/>
      <x:c r="Q280" s="38"/>
      <x:c r="R280" s="38"/>
      <x:c r="S280" s="38"/>
      <x:c r="T280" s="38"/>
      <x:c r="U280" s="38"/>
      <x:c r="V280" s="38"/>
      <x:c r="W280" s="38"/>
      <x:c r="X280" s="38"/>
      <x:c r="Y280" s="38"/>
      <x:c r="Z280" s="38"/>
    </x:row>
    <x:row r="281">
      <x:c r="A281" s="38"/>
      <x:c r="B281" s="38"/>
      <x:c r="C281" s="38"/>
      <x:c r="D281" s="38"/>
      <x:c r="E281" s="38"/>
      <x:c r="F281" s="38"/>
      <x:c r="G281" s="38"/>
      <x:c r="H281" s="38"/>
      <x:c r="I281" s="38"/>
      <x:c r="J281" s="38"/>
      <x:c r="K281" s="38"/>
      <x:c r="L281" s="38"/>
      <x:c r="M281" s="38"/>
      <x:c r="N281" s="38"/>
      <x:c r="O281" s="38"/>
      <x:c r="P281" s="38"/>
      <x:c r="Q281" s="38"/>
      <x:c r="R281" s="38"/>
      <x:c r="S281" s="38"/>
      <x:c r="T281" s="38"/>
      <x:c r="U281" s="38"/>
      <x:c r="V281" s="38"/>
      <x:c r="W281" s="38"/>
      <x:c r="X281" s="38"/>
      <x:c r="Y281" s="38"/>
      <x:c r="Z281" s="38"/>
    </x:row>
    <x:row r="282">
      <x:c r="A282" s="38"/>
      <x:c r="B282" s="38"/>
      <x:c r="C282" s="38"/>
      <x:c r="D282" s="38"/>
      <x:c r="E282" s="38"/>
      <x:c r="F282" s="38"/>
      <x:c r="G282" s="38"/>
      <x:c r="H282" s="38"/>
      <x:c r="I282" s="38"/>
      <x:c r="J282" s="38"/>
      <x:c r="K282" s="38"/>
      <x:c r="L282" s="38"/>
      <x:c r="M282" s="38"/>
      <x:c r="N282" s="38"/>
      <x:c r="O282" s="38"/>
      <x:c r="P282" s="38"/>
      <x:c r="Q282" s="38"/>
      <x:c r="R282" s="38"/>
      <x:c r="S282" s="38"/>
      <x:c r="T282" s="38"/>
      <x:c r="U282" s="38"/>
      <x:c r="V282" s="38"/>
      <x:c r="W282" s="38"/>
      <x:c r="X282" s="38"/>
      <x:c r="Y282" s="38"/>
      <x:c r="Z282" s="38"/>
    </x:row>
    <x:row r="283">
      <x:c r="A283" s="38"/>
      <x:c r="B283" s="38"/>
      <x:c r="C283" s="38"/>
      <x:c r="D283" s="38"/>
      <x:c r="E283" s="38"/>
      <x:c r="F283" s="38"/>
      <x:c r="G283" s="38"/>
      <x:c r="H283" s="38"/>
      <x:c r="I283" s="38"/>
      <x:c r="J283" s="38"/>
      <x:c r="K283" s="38"/>
      <x:c r="L283" s="38"/>
      <x:c r="M283" s="38"/>
      <x:c r="N283" s="38"/>
      <x:c r="O283" s="38"/>
      <x:c r="P283" s="38"/>
      <x:c r="Q283" s="38"/>
      <x:c r="R283" s="38"/>
      <x:c r="S283" s="38"/>
      <x:c r="T283" s="38"/>
      <x:c r="U283" s="38"/>
      <x:c r="V283" s="38"/>
      <x:c r="W283" s="38"/>
      <x:c r="X283" s="38"/>
      <x:c r="Y283" s="38"/>
      <x:c r="Z283" s="38"/>
    </x:row>
    <x:row r="284">
      <x:c r="A284" s="38"/>
      <x:c r="B284" s="38"/>
      <x:c r="C284" s="38"/>
      <x:c r="D284" s="38"/>
      <x:c r="E284" s="38"/>
      <x:c r="F284" s="38"/>
      <x:c r="G284" s="38"/>
      <x:c r="H284" s="38"/>
      <x:c r="I284" s="38"/>
      <x:c r="J284" s="38"/>
      <x:c r="K284" s="38"/>
      <x:c r="L284" s="38"/>
      <x:c r="M284" s="38"/>
      <x:c r="N284" s="38"/>
      <x:c r="O284" s="38"/>
      <x:c r="P284" s="38"/>
      <x:c r="Q284" s="38"/>
      <x:c r="R284" s="38"/>
      <x:c r="S284" s="38"/>
      <x:c r="T284" s="38"/>
      <x:c r="U284" s="38"/>
      <x:c r="V284" s="38"/>
      <x:c r="W284" s="38"/>
      <x:c r="X284" s="38"/>
      <x:c r="Y284" s="38"/>
      <x:c r="Z284" s="38"/>
    </x:row>
    <x:row r="285">
      <x:c r="A285" s="38"/>
      <x:c r="B285" s="38"/>
      <x:c r="C285" s="38"/>
      <x:c r="D285" s="38"/>
      <x:c r="E285" s="38"/>
      <x:c r="F285" s="38"/>
      <x:c r="G285" s="38"/>
      <x:c r="H285" s="38"/>
      <x:c r="I285" s="38"/>
      <x:c r="J285" s="38"/>
      <x:c r="K285" s="38"/>
      <x:c r="L285" s="38"/>
      <x:c r="M285" s="38"/>
      <x:c r="N285" s="38"/>
      <x:c r="O285" s="38"/>
      <x:c r="P285" s="38"/>
      <x:c r="Q285" s="38"/>
      <x:c r="R285" s="38"/>
      <x:c r="S285" s="38"/>
      <x:c r="T285" s="38"/>
      <x:c r="U285" s="38"/>
      <x:c r="V285" s="38"/>
      <x:c r="W285" s="38"/>
      <x:c r="X285" s="38"/>
      <x:c r="Y285" s="38"/>
      <x:c r="Z285" s="38"/>
    </x:row>
    <x:row r="286">
      <x:c r="A286" s="38"/>
      <x:c r="B286" s="38"/>
      <x:c r="C286" s="38"/>
      <x:c r="D286" s="38"/>
      <x:c r="E286" s="38"/>
      <x:c r="F286" s="38"/>
      <x:c r="G286" s="38"/>
      <x:c r="H286" s="38"/>
      <x:c r="I286" s="38"/>
      <x:c r="J286" s="38"/>
      <x:c r="K286" s="38"/>
      <x:c r="L286" s="38"/>
      <x:c r="M286" s="38"/>
      <x:c r="N286" s="38"/>
      <x:c r="O286" s="38"/>
      <x:c r="P286" s="38"/>
      <x:c r="Q286" s="38"/>
      <x:c r="R286" s="38"/>
      <x:c r="S286" s="38"/>
      <x:c r="T286" s="38"/>
      <x:c r="U286" s="38"/>
      <x:c r="V286" s="38"/>
      <x:c r="W286" s="38"/>
      <x:c r="X286" s="38"/>
      <x:c r="Y286" s="38"/>
      <x:c r="Z286" s="38"/>
    </x:row>
    <x:row r="287">
      <x:c r="A287" s="38"/>
      <x:c r="B287" s="38"/>
      <x:c r="C287" s="38"/>
      <x:c r="D287" s="38"/>
      <x:c r="E287" s="38"/>
      <x:c r="F287" s="38"/>
      <x:c r="G287" s="38"/>
      <x:c r="H287" s="38"/>
      <x:c r="I287" s="38"/>
      <x:c r="J287" s="38"/>
      <x:c r="K287" s="38"/>
      <x:c r="L287" s="38"/>
      <x:c r="M287" s="38"/>
      <x:c r="N287" s="38"/>
      <x:c r="O287" s="38"/>
      <x:c r="P287" s="38"/>
      <x:c r="Q287" s="38"/>
      <x:c r="R287" s="38"/>
      <x:c r="S287" s="38"/>
      <x:c r="T287" s="38"/>
      <x:c r="U287" s="38"/>
      <x:c r="V287" s="38"/>
      <x:c r="W287" s="38"/>
      <x:c r="X287" s="38"/>
      <x:c r="Y287" s="38"/>
      <x:c r="Z287" s="38"/>
    </x:row>
    <x:row r="288">
      <x:c r="A288" s="38"/>
      <x:c r="B288" s="38"/>
      <x:c r="C288" s="38"/>
      <x:c r="D288" s="38"/>
      <x:c r="E288" s="38"/>
      <x:c r="F288" s="38"/>
      <x:c r="G288" s="38"/>
      <x:c r="H288" s="38"/>
      <x:c r="I288" s="38"/>
      <x:c r="J288" s="38"/>
      <x:c r="K288" s="38"/>
      <x:c r="L288" s="38"/>
      <x:c r="M288" s="38"/>
      <x:c r="N288" s="38"/>
      <x:c r="O288" s="38"/>
      <x:c r="P288" s="38"/>
      <x:c r="Q288" s="38"/>
      <x:c r="R288" s="38"/>
      <x:c r="S288" s="38"/>
      <x:c r="T288" s="38"/>
      <x:c r="U288" s="38"/>
      <x:c r="V288" s="38"/>
      <x:c r="W288" s="38"/>
      <x:c r="X288" s="38"/>
      <x:c r="Y288" s="38"/>
      <x:c r="Z288" s="38"/>
    </x:row>
    <x:row r="289">
      <x:c r="A289" s="38"/>
      <x:c r="B289" s="38"/>
      <x:c r="C289" s="38"/>
      <x:c r="D289" s="38"/>
      <x:c r="E289" s="38"/>
      <x:c r="F289" s="38"/>
      <x:c r="G289" s="38"/>
      <x:c r="H289" s="38"/>
      <x:c r="I289" s="38"/>
      <x:c r="J289" s="38"/>
      <x:c r="K289" s="38"/>
      <x:c r="L289" s="38"/>
      <x:c r="M289" s="38"/>
      <x:c r="N289" s="38"/>
      <x:c r="O289" s="38"/>
      <x:c r="P289" s="38"/>
      <x:c r="Q289" s="38"/>
      <x:c r="R289" s="38"/>
      <x:c r="S289" s="38"/>
      <x:c r="T289" s="38"/>
      <x:c r="U289" s="38"/>
      <x:c r="V289" s="38"/>
      <x:c r="W289" s="38"/>
      <x:c r="X289" s="38"/>
      <x:c r="Y289" s="38"/>
      <x:c r="Z289" s="38"/>
    </x:row>
    <x:row r="290">
      <x:c r="A290" s="38"/>
      <x:c r="B290" s="38"/>
      <x:c r="C290" s="38"/>
      <x:c r="D290" s="38"/>
      <x:c r="E290" s="38"/>
      <x:c r="F290" s="38"/>
      <x:c r="G290" s="38"/>
      <x:c r="H290" s="38"/>
      <x:c r="I290" s="38"/>
      <x:c r="J290" s="38"/>
      <x:c r="K290" s="38"/>
      <x:c r="L290" s="38"/>
      <x:c r="M290" s="38"/>
      <x:c r="N290" s="38"/>
      <x:c r="O290" s="38"/>
      <x:c r="P290" s="38"/>
      <x:c r="Q290" s="38"/>
      <x:c r="R290" s="38"/>
      <x:c r="S290" s="38"/>
      <x:c r="T290" s="38"/>
      <x:c r="U290" s="38"/>
      <x:c r="V290" s="38"/>
      <x:c r="W290" s="38"/>
      <x:c r="X290" s="38"/>
      <x:c r="Y290" s="38"/>
      <x:c r="Z290" s="38"/>
    </x:row>
    <x:row r="291">
      <x:c r="A291" s="38"/>
      <x:c r="B291" s="38"/>
      <x:c r="C291" s="38"/>
      <x:c r="D291" s="38"/>
      <x:c r="E291" s="38"/>
      <x:c r="F291" s="38"/>
      <x:c r="G291" s="38"/>
      <x:c r="H291" s="38"/>
      <x:c r="I291" s="38"/>
      <x:c r="J291" s="38"/>
      <x:c r="K291" s="38"/>
      <x:c r="L291" s="38"/>
      <x:c r="M291" s="38"/>
      <x:c r="N291" s="38"/>
      <x:c r="O291" s="38"/>
      <x:c r="P291" s="38"/>
      <x:c r="Q291" s="38"/>
      <x:c r="R291" s="38"/>
      <x:c r="S291" s="38"/>
      <x:c r="T291" s="38"/>
      <x:c r="U291" s="38"/>
      <x:c r="V291" s="38"/>
      <x:c r="W291" s="38"/>
      <x:c r="X291" s="38"/>
      <x:c r="Y291" s="38"/>
      <x:c r="Z291" s="38"/>
    </x:row>
    <x:row r="292">
      <x:c r="A292" s="38"/>
      <x:c r="B292" s="38"/>
      <x:c r="C292" s="38"/>
      <x:c r="D292" s="38"/>
      <x:c r="E292" s="38"/>
      <x:c r="F292" s="38"/>
      <x:c r="G292" s="38"/>
      <x:c r="H292" s="38"/>
      <x:c r="I292" s="38"/>
      <x:c r="J292" s="38"/>
      <x:c r="K292" s="38"/>
      <x:c r="L292" s="38"/>
      <x:c r="M292" s="38"/>
      <x:c r="N292" s="38"/>
      <x:c r="O292" s="38"/>
      <x:c r="P292" s="38"/>
      <x:c r="Q292" s="38"/>
      <x:c r="R292" s="38"/>
      <x:c r="S292" s="38"/>
      <x:c r="T292" s="38"/>
      <x:c r="U292" s="38"/>
      <x:c r="V292" s="38"/>
      <x:c r="W292" s="38"/>
      <x:c r="X292" s="38"/>
      <x:c r="Y292" s="38"/>
      <x:c r="Z292" s="38"/>
    </x:row>
    <x:row r="293">
      <x:c r="A293" s="38"/>
      <x:c r="B293" s="38"/>
      <x:c r="C293" s="38"/>
      <x:c r="D293" s="38"/>
      <x:c r="E293" s="38"/>
      <x:c r="F293" s="38"/>
      <x:c r="G293" s="38"/>
      <x:c r="H293" s="38"/>
      <x:c r="I293" s="38"/>
      <x:c r="J293" s="38"/>
      <x:c r="K293" s="38"/>
      <x:c r="L293" s="38"/>
      <x:c r="M293" s="38"/>
      <x:c r="N293" s="38"/>
      <x:c r="O293" s="38"/>
      <x:c r="P293" s="38"/>
      <x:c r="Q293" s="38"/>
      <x:c r="R293" s="38"/>
      <x:c r="S293" s="38"/>
      <x:c r="T293" s="38"/>
      <x:c r="U293" s="38"/>
      <x:c r="V293" s="38"/>
      <x:c r="W293" s="38"/>
      <x:c r="X293" s="38"/>
      <x:c r="Y293" s="38"/>
      <x:c r="Z293" s="38"/>
    </x:row>
    <x:row r="294">
      <x:c r="A294" s="38"/>
      <x:c r="B294" s="38"/>
      <x:c r="C294" s="38"/>
      <x:c r="D294" s="38"/>
      <x:c r="E294" s="38"/>
      <x:c r="F294" s="38"/>
      <x:c r="G294" s="38"/>
      <x:c r="H294" s="38"/>
      <x:c r="I294" s="38"/>
      <x:c r="J294" s="38"/>
      <x:c r="K294" s="38"/>
      <x:c r="L294" s="38"/>
      <x:c r="M294" s="38"/>
      <x:c r="N294" s="38"/>
      <x:c r="O294" s="38"/>
      <x:c r="P294" s="38"/>
      <x:c r="Q294" s="38"/>
      <x:c r="R294" s="38"/>
      <x:c r="S294" s="38"/>
      <x:c r="T294" s="38"/>
      <x:c r="U294" s="38"/>
      <x:c r="V294" s="38"/>
      <x:c r="W294" s="38"/>
      <x:c r="X294" s="38"/>
      <x:c r="Y294" s="38"/>
      <x:c r="Z294" s="38"/>
    </x:row>
    <x:row r="295">
      <x:c r="A295" s="38"/>
      <x:c r="B295" s="38"/>
      <x:c r="C295" s="38"/>
      <x:c r="D295" s="38"/>
      <x:c r="E295" s="38"/>
      <x:c r="F295" s="38"/>
      <x:c r="G295" s="38"/>
      <x:c r="H295" s="38"/>
      <x:c r="I295" s="38"/>
      <x:c r="J295" s="38"/>
      <x:c r="K295" s="38"/>
      <x:c r="L295" s="38"/>
      <x:c r="M295" s="38"/>
      <x:c r="N295" s="38"/>
      <x:c r="O295" s="38"/>
      <x:c r="P295" s="38"/>
      <x:c r="Q295" s="38"/>
      <x:c r="R295" s="38"/>
      <x:c r="S295" s="38"/>
      <x:c r="T295" s="38"/>
      <x:c r="U295" s="38"/>
      <x:c r="V295" s="38"/>
      <x:c r="W295" s="38"/>
      <x:c r="X295" s="38"/>
      <x:c r="Y295" s="38"/>
      <x:c r="Z295" s="38"/>
    </x:row>
    <x:row r="296">
      <x:c r="A296" s="38"/>
      <x:c r="B296" s="38"/>
      <x:c r="C296" s="38"/>
      <x:c r="D296" s="38"/>
      <x:c r="E296" s="38"/>
      <x:c r="F296" s="38"/>
      <x:c r="G296" s="38"/>
      <x:c r="H296" s="38"/>
      <x:c r="I296" s="38"/>
      <x:c r="J296" s="38"/>
      <x:c r="K296" s="38"/>
      <x:c r="L296" s="38"/>
      <x:c r="M296" s="38"/>
      <x:c r="N296" s="38"/>
      <x:c r="O296" s="38"/>
      <x:c r="P296" s="38"/>
      <x:c r="Q296" s="38"/>
      <x:c r="R296" s="38"/>
      <x:c r="S296" s="38"/>
      <x:c r="T296" s="38"/>
      <x:c r="U296" s="38"/>
      <x:c r="V296" s="38"/>
      <x:c r="W296" s="38"/>
      <x:c r="X296" s="38"/>
      <x:c r="Y296" s="38"/>
      <x:c r="Z296" s="38"/>
    </x:row>
    <x:row r="297">
      <x:c r="A297" s="38"/>
      <x:c r="B297" s="38"/>
      <x:c r="C297" s="38"/>
      <x:c r="D297" s="38"/>
      <x:c r="E297" s="38"/>
      <x:c r="F297" s="38"/>
      <x:c r="G297" s="38"/>
      <x:c r="H297" s="38"/>
      <x:c r="I297" s="38"/>
      <x:c r="J297" s="38"/>
      <x:c r="K297" s="38"/>
      <x:c r="L297" s="38"/>
      <x:c r="M297" s="38"/>
      <x:c r="N297" s="38"/>
      <x:c r="O297" s="38"/>
      <x:c r="P297" s="38"/>
      <x:c r="Q297" s="38"/>
      <x:c r="R297" s="38"/>
      <x:c r="S297" s="38"/>
      <x:c r="T297" s="38"/>
      <x:c r="U297" s="38"/>
      <x:c r="V297" s="38"/>
      <x:c r="W297" s="38"/>
      <x:c r="X297" s="38"/>
      <x:c r="Y297" s="38"/>
      <x:c r="Z297" s="38"/>
    </x:row>
    <x:row r="298">
      <x:c r="A298" s="38"/>
      <x:c r="B298" s="38"/>
      <x:c r="C298" s="38"/>
      <x:c r="D298" s="38"/>
      <x:c r="E298" s="38"/>
      <x:c r="F298" s="38"/>
      <x:c r="G298" s="38"/>
      <x:c r="H298" s="38"/>
      <x:c r="I298" s="38"/>
      <x:c r="J298" s="38"/>
      <x:c r="K298" s="38"/>
      <x:c r="L298" s="38"/>
      <x:c r="M298" s="38"/>
      <x:c r="N298" s="38"/>
      <x:c r="O298" s="38"/>
      <x:c r="P298" s="38"/>
      <x:c r="Q298" s="38"/>
      <x:c r="R298" s="38"/>
      <x:c r="S298" s="38"/>
      <x:c r="T298" s="38"/>
      <x:c r="U298" s="38"/>
      <x:c r="V298" s="38"/>
      <x:c r="W298" s="38"/>
      <x:c r="X298" s="38"/>
      <x:c r="Y298" s="38"/>
      <x:c r="Z298" s="38"/>
    </x:row>
    <x:row r="299">
      <x:c r="A299" s="38"/>
      <x:c r="B299" s="38"/>
      <x:c r="C299" s="38"/>
      <x:c r="D299" s="38"/>
      <x:c r="E299" s="38"/>
      <x:c r="F299" s="38"/>
      <x:c r="G299" s="38"/>
      <x:c r="H299" s="38"/>
      <x:c r="I299" s="38"/>
      <x:c r="J299" s="38"/>
      <x:c r="K299" s="38"/>
      <x:c r="L299" s="38"/>
      <x:c r="M299" s="38"/>
      <x:c r="N299" s="38"/>
      <x:c r="O299" s="38"/>
      <x:c r="P299" s="38"/>
      <x:c r="Q299" s="38"/>
      <x:c r="R299" s="38"/>
      <x:c r="S299" s="38"/>
      <x:c r="T299" s="38"/>
      <x:c r="U299" s="38"/>
      <x:c r="V299" s="38"/>
      <x:c r="W299" s="38"/>
      <x:c r="X299" s="38"/>
      <x:c r="Y299" s="38"/>
      <x:c r="Z299" s="38"/>
    </x:row>
    <x:row r="300">
      <x:c r="A300" s="38"/>
      <x:c r="B300" s="38"/>
      <x:c r="C300" s="38"/>
      <x:c r="D300" s="38"/>
      <x:c r="E300" s="38"/>
      <x:c r="F300" s="38"/>
      <x:c r="G300" s="38"/>
      <x:c r="H300" s="38"/>
      <x:c r="I300" s="38"/>
      <x:c r="J300" s="38"/>
      <x:c r="K300" s="38"/>
      <x:c r="L300" s="38"/>
      <x:c r="M300" s="38"/>
      <x:c r="N300" s="38"/>
      <x:c r="O300" s="38"/>
      <x:c r="P300" s="38"/>
      <x:c r="Q300" s="38"/>
      <x:c r="R300" s="38"/>
      <x:c r="S300" s="38"/>
      <x:c r="T300" s="38"/>
      <x:c r="U300" s="38"/>
      <x:c r="V300" s="38"/>
      <x:c r="W300" s="38"/>
      <x:c r="X300" s="38"/>
      <x:c r="Y300" s="38"/>
      <x:c r="Z300" s="38"/>
    </x:row>
    <x:row r="301">
      <x:c r="A301" s="38"/>
      <x:c r="B301" s="38"/>
      <x:c r="C301" s="38"/>
      <x:c r="D301" s="38"/>
      <x:c r="E301" s="38"/>
      <x:c r="F301" s="38"/>
      <x:c r="G301" s="38"/>
      <x:c r="H301" s="38"/>
      <x:c r="I301" s="38"/>
      <x:c r="J301" s="38"/>
      <x:c r="K301" s="38"/>
      <x:c r="L301" s="38"/>
      <x:c r="M301" s="38"/>
      <x:c r="N301" s="38"/>
      <x:c r="O301" s="38"/>
      <x:c r="P301" s="38"/>
      <x:c r="Q301" s="38"/>
      <x:c r="R301" s="38"/>
      <x:c r="S301" s="38"/>
      <x:c r="T301" s="38"/>
      <x:c r="U301" s="38"/>
      <x:c r="V301" s="38"/>
      <x:c r="W301" s="38"/>
      <x:c r="X301" s="38"/>
      <x:c r="Y301" s="38"/>
      <x:c r="Z301" s="38"/>
    </x:row>
    <x:row r="302">
      <x:c r="A302" s="38"/>
      <x:c r="B302" s="38"/>
      <x:c r="C302" s="38"/>
      <x:c r="D302" s="38"/>
      <x:c r="E302" s="38"/>
      <x:c r="F302" s="38"/>
      <x:c r="G302" s="38"/>
      <x:c r="H302" s="38"/>
      <x:c r="I302" s="38"/>
      <x:c r="J302" s="38"/>
      <x:c r="K302" s="38"/>
      <x:c r="L302" s="38"/>
      <x:c r="M302" s="38"/>
      <x:c r="N302" s="38"/>
      <x:c r="O302" s="38"/>
      <x:c r="P302" s="38"/>
      <x:c r="Q302" s="38"/>
      <x:c r="R302" s="38"/>
      <x:c r="S302" s="38"/>
      <x:c r="T302" s="38"/>
      <x:c r="U302" s="38"/>
      <x:c r="V302" s="38"/>
      <x:c r="W302" s="38"/>
      <x:c r="X302" s="38"/>
      <x:c r="Y302" s="38"/>
      <x:c r="Z302" s="38"/>
    </x:row>
    <x:row r="303">
      <x:c r="A303" s="38"/>
      <x:c r="B303" s="38"/>
      <x:c r="C303" s="38"/>
      <x:c r="D303" s="38"/>
      <x:c r="E303" s="38"/>
      <x:c r="F303" s="38"/>
      <x:c r="G303" s="38"/>
      <x:c r="H303" s="38"/>
      <x:c r="I303" s="38"/>
      <x:c r="J303" s="38"/>
      <x:c r="K303" s="38"/>
      <x:c r="L303" s="38"/>
      <x:c r="M303" s="38"/>
      <x:c r="N303" s="38"/>
      <x:c r="O303" s="38"/>
      <x:c r="P303" s="38"/>
      <x:c r="Q303" s="38"/>
      <x:c r="R303" s="38"/>
      <x:c r="S303" s="38"/>
      <x:c r="T303" s="38"/>
      <x:c r="U303" s="38"/>
      <x:c r="V303" s="38"/>
      <x:c r="W303" s="38"/>
      <x:c r="X303" s="38"/>
      <x:c r="Y303" s="38"/>
      <x:c r="Z303" s="38"/>
    </x:row>
    <x:row r="304">
      <x:c r="A304" s="38"/>
      <x:c r="B304" s="38"/>
      <x:c r="C304" s="38"/>
      <x:c r="D304" s="38"/>
      <x:c r="E304" s="38"/>
      <x:c r="F304" s="38"/>
      <x:c r="G304" s="38"/>
      <x:c r="H304" s="38"/>
      <x:c r="I304" s="38"/>
      <x:c r="J304" s="38"/>
      <x:c r="K304" s="38"/>
      <x:c r="L304" s="38"/>
      <x:c r="M304" s="38"/>
      <x:c r="N304" s="38"/>
      <x:c r="O304" s="38"/>
      <x:c r="P304" s="38"/>
      <x:c r="Q304" s="38"/>
      <x:c r="R304" s="38"/>
      <x:c r="S304" s="38"/>
      <x:c r="T304" s="38"/>
      <x:c r="U304" s="38"/>
      <x:c r="V304" s="38"/>
      <x:c r="W304" s="38"/>
      <x:c r="X304" s="38"/>
      <x:c r="Y304" s="38"/>
      <x:c r="Z304" s="38"/>
    </x:row>
    <x:row r="305">
      <x:c r="A305" s="38"/>
      <x:c r="B305" s="38"/>
      <x:c r="C305" s="38"/>
      <x:c r="D305" s="38"/>
      <x:c r="E305" s="38"/>
      <x:c r="F305" s="38"/>
      <x:c r="G305" s="38"/>
      <x:c r="H305" s="38"/>
      <x:c r="I305" s="38"/>
      <x:c r="J305" s="38"/>
      <x:c r="K305" s="38"/>
      <x:c r="L305" s="38"/>
      <x:c r="M305" s="38"/>
      <x:c r="N305" s="38"/>
      <x:c r="O305" s="38"/>
      <x:c r="P305" s="38"/>
      <x:c r="Q305" s="38"/>
      <x:c r="R305" s="38"/>
      <x:c r="S305" s="38"/>
      <x:c r="T305" s="38"/>
      <x:c r="U305" s="38"/>
      <x:c r="V305" s="38"/>
      <x:c r="W305" s="38"/>
      <x:c r="X305" s="38"/>
      <x:c r="Y305" s="38"/>
      <x:c r="Z305" s="38"/>
    </x:row>
    <x:row r="306">
      <x:c r="A306" s="38"/>
      <x:c r="B306" s="38"/>
      <x:c r="C306" s="38"/>
      <x:c r="D306" s="38"/>
      <x:c r="E306" s="38"/>
      <x:c r="F306" s="38"/>
      <x:c r="G306" s="38"/>
      <x:c r="H306" s="38"/>
      <x:c r="I306" s="38"/>
      <x:c r="J306" s="38"/>
      <x:c r="K306" s="38"/>
      <x:c r="L306" s="38"/>
      <x:c r="M306" s="38"/>
      <x:c r="N306" s="38"/>
      <x:c r="O306" s="38"/>
      <x:c r="P306" s="38"/>
      <x:c r="Q306" s="38"/>
      <x:c r="R306" s="38"/>
      <x:c r="S306" s="38"/>
      <x:c r="T306" s="38"/>
      <x:c r="U306" s="38"/>
      <x:c r="V306" s="38"/>
      <x:c r="W306" s="38"/>
      <x:c r="X306" s="38"/>
      <x:c r="Y306" s="38"/>
      <x:c r="Z306" s="38"/>
    </x:row>
    <x:row r="307">
      <x:c r="A307" s="38"/>
      <x:c r="B307" s="38"/>
      <x:c r="C307" s="38"/>
      <x:c r="D307" s="38"/>
      <x:c r="E307" s="38"/>
      <x:c r="F307" s="38"/>
      <x:c r="G307" s="38"/>
      <x:c r="H307" s="38"/>
      <x:c r="I307" s="38"/>
      <x:c r="J307" s="38"/>
      <x:c r="K307" s="38"/>
      <x:c r="L307" s="38"/>
      <x:c r="M307" s="38"/>
      <x:c r="N307" s="38"/>
      <x:c r="O307" s="38"/>
      <x:c r="P307" s="38"/>
      <x:c r="Q307" s="38"/>
      <x:c r="R307" s="38"/>
      <x:c r="S307" s="38"/>
      <x:c r="T307" s="38"/>
      <x:c r="U307" s="38"/>
      <x:c r="V307" s="38"/>
      <x:c r="W307" s="38"/>
      <x:c r="X307" s="38"/>
      <x:c r="Y307" s="38"/>
      <x:c r="Z307" s="38"/>
    </x:row>
    <x:row r="308">
      <x:c r="A308" s="38"/>
      <x:c r="B308" s="38"/>
      <x:c r="C308" s="38"/>
      <x:c r="D308" s="38"/>
      <x:c r="E308" s="38"/>
      <x:c r="F308" s="38"/>
      <x:c r="G308" s="38"/>
      <x:c r="H308" s="38"/>
      <x:c r="I308" s="38"/>
      <x:c r="J308" s="38"/>
      <x:c r="K308" s="38"/>
      <x:c r="L308" s="38"/>
      <x:c r="M308" s="38"/>
      <x:c r="N308" s="38"/>
      <x:c r="O308" s="38"/>
      <x:c r="P308" s="38"/>
      <x:c r="Q308" s="38"/>
      <x:c r="R308" s="38"/>
      <x:c r="S308" s="38"/>
      <x:c r="T308" s="38"/>
      <x:c r="U308" s="38"/>
      <x:c r="V308" s="38"/>
      <x:c r="W308" s="38"/>
      <x:c r="X308" s="38"/>
      <x:c r="Y308" s="38"/>
      <x:c r="Z308" s="38"/>
    </x:row>
    <x:row r="309">
      <x:c r="A309" s="38"/>
      <x:c r="B309" s="38"/>
      <x:c r="C309" s="38"/>
      <x:c r="D309" s="38"/>
      <x:c r="E309" s="38"/>
      <x:c r="F309" s="38"/>
      <x:c r="G309" s="38"/>
      <x:c r="H309" s="38"/>
      <x:c r="I309" s="38"/>
      <x:c r="J309" s="38"/>
      <x:c r="K309" s="38"/>
      <x:c r="L309" s="38"/>
      <x:c r="M309" s="38"/>
      <x:c r="N309" s="38"/>
      <x:c r="O309" s="38"/>
      <x:c r="P309" s="38"/>
      <x:c r="Q309" s="38"/>
      <x:c r="R309" s="38"/>
      <x:c r="S309" s="38"/>
      <x:c r="T309" s="38"/>
      <x:c r="U309" s="38"/>
      <x:c r="V309" s="38"/>
      <x:c r="W309" s="38"/>
      <x:c r="X309" s="38"/>
      <x:c r="Y309" s="38"/>
      <x:c r="Z309" s="38"/>
    </x:row>
    <x:row r="310">
      <x:c r="A310" s="38"/>
      <x:c r="B310" s="38"/>
      <x:c r="C310" s="38"/>
      <x:c r="D310" s="38"/>
      <x:c r="E310" s="38"/>
      <x:c r="F310" s="38"/>
      <x:c r="G310" s="38"/>
      <x:c r="H310" s="38"/>
      <x:c r="I310" s="38"/>
      <x:c r="J310" s="38"/>
      <x:c r="K310" s="38"/>
      <x:c r="L310" s="38"/>
      <x:c r="M310" s="38"/>
      <x:c r="N310" s="38"/>
      <x:c r="O310" s="38"/>
      <x:c r="P310" s="38"/>
      <x:c r="Q310" s="38"/>
      <x:c r="R310" s="38"/>
      <x:c r="S310" s="38"/>
      <x:c r="T310" s="38"/>
      <x:c r="U310" s="38"/>
      <x:c r="V310" s="38"/>
      <x:c r="W310" s="38"/>
      <x:c r="X310" s="38"/>
      <x:c r="Y310" s="38"/>
      <x:c r="Z310" s="38"/>
    </x:row>
    <x:row r="311">
      <x:c r="A311" s="38"/>
      <x:c r="B311" s="38"/>
      <x:c r="C311" s="38"/>
      <x:c r="D311" s="38"/>
      <x:c r="E311" s="38"/>
      <x:c r="F311" s="38"/>
      <x:c r="G311" s="38"/>
      <x:c r="H311" s="38"/>
      <x:c r="I311" s="38"/>
      <x:c r="J311" s="38"/>
      <x:c r="K311" s="38"/>
      <x:c r="L311" s="38"/>
      <x:c r="M311" s="38"/>
      <x:c r="N311" s="38"/>
      <x:c r="O311" s="38"/>
      <x:c r="P311" s="38"/>
      <x:c r="Q311" s="38"/>
      <x:c r="R311" s="38"/>
      <x:c r="S311" s="38"/>
      <x:c r="T311" s="38"/>
      <x:c r="U311" s="38"/>
      <x:c r="V311" s="38"/>
      <x:c r="W311" s="38"/>
      <x:c r="X311" s="38"/>
      <x:c r="Y311" s="38"/>
      <x:c r="Z311" s="38"/>
    </x:row>
    <x:row r="312">
      <x:c r="A312" s="38"/>
      <x:c r="B312" s="38"/>
      <x:c r="C312" s="38"/>
      <x:c r="D312" s="38"/>
      <x:c r="E312" s="38"/>
      <x:c r="F312" s="38"/>
      <x:c r="G312" s="38"/>
      <x:c r="H312" s="38"/>
      <x:c r="I312" s="38"/>
      <x:c r="J312" s="38"/>
      <x:c r="K312" s="38"/>
      <x:c r="L312" s="38"/>
      <x:c r="M312" s="38"/>
      <x:c r="N312" s="38"/>
      <x:c r="O312" s="38"/>
      <x:c r="P312" s="38"/>
      <x:c r="Q312" s="38"/>
      <x:c r="R312" s="38"/>
      <x:c r="S312" s="38"/>
      <x:c r="T312" s="38"/>
      <x:c r="U312" s="38"/>
      <x:c r="V312" s="38"/>
      <x:c r="W312" s="38"/>
      <x:c r="X312" s="38"/>
      <x:c r="Y312" s="38"/>
      <x:c r="Z312" s="38"/>
    </x:row>
    <x:row r="313">
      <x:c r="A313" s="38"/>
      <x:c r="B313" s="38"/>
      <x:c r="C313" s="38"/>
      <x:c r="D313" s="38"/>
      <x:c r="E313" s="38"/>
      <x:c r="F313" s="38"/>
      <x:c r="G313" s="38"/>
      <x:c r="H313" s="38"/>
      <x:c r="I313" s="38"/>
      <x:c r="J313" s="38"/>
      <x:c r="K313" s="38"/>
      <x:c r="L313" s="38"/>
      <x:c r="M313" s="38"/>
      <x:c r="N313" s="38"/>
      <x:c r="O313" s="38"/>
      <x:c r="P313" s="38"/>
      <x:c r="Q313" s="38"/>
      <x:c r="R313" s="38"/>
      <x:c r="S313" s="38"/>
      <x:c r="T313" s="38"/>
      <x:c r="U313" s="38"/>
      <x:c r="V313" s="38"/>
      <x:c r="W313" s="38"/>
      <x:c r="X313" s="38"/>
      <x:c r="Y313" s="38"/>
      <x:c r="Z313" s="38"/>
    </x:row>
    <x:row r="314">
      <x:c r="A314" s="38"/>
      <x:c r="B314" s="38"/>
      <x:c r="C314" s="38"/>
      <x:c r="D314" s="38"/>
      <x:c r="E314" s="38"/>
      <x:c r="F314" s="38"/>
      <x:c r="G314" s="38"/>
      <x:c r="H314" s="38"/>
      <x:c r="I314" s="38"/>
      <x:c r="J314" s="38"/>
      <x:c r="K314" s="38"/>
      <x:c r="L314" s="38"/>
      <x:c r="M314" s="38"/>
      <x:c r="N314" s="38"/>
      <x:c r="O314" s="38"/>
      <x:c r="P314" s="38"/>
      <x:c r="Q314" s="38"/>
      <x:c r="R314" s="38"/>
      <x:c r="S314" s="38"/>
      <x:c r="T314" s="38"/>
      <x:c r="U314" s="38"/>
      <x:c r="V314" s="38"/>
      <x:c r="W314" s="38"/>
      <x:c r="X314" s="38"/>
      <x:c r="Y314" s="38"/>
      <x:c r="Z314" s="38"/>
    </x:row>
    <x:row r="315">
      <x:c r="A315" s="38"/>
      <x:c r="B315" s="38"/>
      <x:c r="C315" s="38"/>
      <x:c r="D315" s="38"/>
      <x:c r="E315" s="38"/>
      <x:c r="F315" s="38"/>
      <x:c r="G315" s="38"/>
      <x:c r="H315" s="38"/>
      <x:c r="I315" s="38"/>
      <x:c r="J315" s="38"/>
      <x:c r="K315" s="38"/>
      <x:c r="L315" s="38"/>
      <x:c r="M315" s="38"/>
      <x:c r="N315" s="38"/>
      <x:c r="O315" s="38"/>
      <x:c r="P315" s="38"/>
      <x:c r="Q315" s="38"/>
      <x:c r="R315" s="38"/>
      <x:c r="S315" s="38"/>
      <x:c r="T315" s="38"/>
      <x:c r="U315" s="38"/>
      <x:c r="V315" s="38"/>
      <x:c r="W315" s="38"/>
      <x:c r="X315" s="38"/>
      <x:c r="Y315" s="38"/>
      <x:c r="Z315" s="38"/>
    </x:row>
    <x:row r="316">
      <x:c r="A316" s="38"/>
      <x:c r="B316" s="38"/>
      <x:c r="C316" s="38"/>
      <x:c r="D316" s="38"/>
      <x:c r="E316" s="38"/>
      <x:c r="F316" s="38"/>
      <x:c r="G316" s="38"/>
      <x:c r="H316" s="38"/>
      <x:c r="I316" s="38"/>
      <x:c r="J316" s="38"/>
      <x:c r="K316" s="38"/>
      <x:c r="L316" s="38"/>
      <x:c r="M316" s="38"/>
      <x:c r="N316" s="38"/>
      <x:c r="O316" s="38"/>
      <x:c r="P316" s="38"/>
      <x:c r="Q316" s="38"/>
      <x:c r="R316" s="38"/>
      <x:c r="S316" s="38"/>
      <x:c r="T316" s="38"/>
      <x:c r="U316" s="38"/>
      <x:c r="V316" s="38"/>
      <x:c r="W316" s="38"/>
      <x:c r="X316" s="38"/>
      <x:c r="Y316" s="38"/>
      <x:c r="Z316" s="38"/>
    </x:row>
    <x:row r="317">
      <x:c r="A317" s="38"/>
      <x:c r="B317" s="38"/>
      <x:c r="C317" s="38"/>
      <x:c r="D317" s="38"/>
      <x:c r="E317" s="38"/>
      <x:c r="F317" s="38"/>
      <x:c r="G317" s="38"/>
      <x:c r="H317" s="38"/>
      <x:c r="I317" s="38"/>
      <x:c r="J317" s="38"/>
      <x:c r="K317" s="38"/>
      <x:c r="L317" s="38"/>
      <x:c r="M317" s="38"/>
      <x:c r="N317" s="38"/>
      <x:c r="O317" s="38"/>
      <x:c r="P317" s="38"/>
      <x:c r="Q317" s="38"/>
      <x:c r="R317" s="38"/>
      <x:c r="S317" s="38"/>
      <x:c r="T317" s="38"/>
      <x:c r="U317" s="38"/>
      <x:c r="V317" s="38"/>
      <x:c r="W317" s="38"/>
      <x:c r="X317" s="38"/>
      <x:c r="Y317" s="38"/>
      <x:c r="Z317" s="38"/>
    </x:row>
    <x:row r="318">
      <x:c r="A318" s="38"/>
      <x:c r="B318" s="38"/>
      <x:c r="C318" s="38"/>
      <x:c r="D318" s="38"/>
      <x:c r="E318" s="38"/>
      <x:c r="F318" s="38"/>
      <x:c r="G318" s="38"/>
      <x:c r="H318" s="38"/>
      <x:c r="I318" s="38"/>
      <x:c r="J318" s="38"/>
      <x:c r="K318" s="38"/>
      <x:c r="L318" s="38"/>
      <x:c r="M318" s="38"/>
      <x:c r="N318" s="38"/>
      <x:c r="O318" s="38"/>
      <x:c r="P318" s="38"/>
      <x:c r="Q318" s="38"/>
      <x:c r="R318" s="38"/>
      <x:c r="S318" s="38"/>
      <x:c r="T318" s="38"/>
      <x:c r="U318" s="38"/>
      <x:c r="V318" s="38"/>
      <x:c r="W318" s="38"/>
      <x:c r="X318" s="38"/>
      <x:c r="Y318" s="38"/>
      <x:c r="Z318" s="38"/>
    </x:row>
    <x:row r="319">
      <x:c r="A319" s="38"/>
      <x:c r="B319" s="38"/>
      <x:c r="C319" s="38"/>
      <x:c r="D319" s="38"/>
      <x:c r="E319" s="38"/>
      <x:c r="F319" s="38"/>
      <x:c r="G319" s="38"/>
      <x:c r="H319" s="38"/>
      <x:c r="I319" s="38"/>
      <x:c r="J319" s="38"/>
      <x:c r="K319" s="38"/>
      <x:c r="L319" s="38"/>
      <x:c r="M319" s="38"/>
      <x:c r="N319" s="38"/>
      <x:c r="O319" s="38"/>
      <x:c r="P319" s="38"/>
      <x:c r="Q319" s="38"/>
      <x:c r="R319" s="38"/>
      <x:c r="S319" s="38"/>
      <x:c r="T319" s="38"/>
      <x:c r="U319" s="38"/>
      <x:c r="V319" s="38"/>
      <x:c r="W319" s="38"/>
      <x:c r="X319" s="38"/>
      <x:c r="Y319" s="38"/>
      <x:c r="Z319" s="38"/>
    </x:row>
    <x:row r="320">
      <x:c r="A320" s="38"/>
      <x:c r="B320" s="38"/>
      <x:c r="C320" s="38"/>
      <x:c r="D320" s="38"/>
      <x:c r="E320" s="38"/>
      <x:c r="F320" s="38"/>
      <x:c r="G320" s="38"/>
      <x:c r="H320" s="38"/>
      <x:c r="I320" s="38"/>
      <x:c r="J320" s="38"/>
      <x:c r="K320" s="38"/>
      <x:c r="L320" s="38"/>
      <x:c r="M320" s="38"/>
      <x:c r="N320" s="38"/>
      <x:c r="O320" s="38"/>
      <x:c r="P320" s="38"/>
      <x:c r="Q320" s="38"/>
      <x:c r="R320" s="38"/>
      <x:c r="S320" s="38"/>
      <x:c r="T320" s="38"/>
      <x:c r="U320" s="38"/>
      <x:c r="V320" s="38"/>
      <x:c r="W320" s="38"/>
      <x:c r="X320" s="38"/>
      <x:c r="Y320" s="38"/>
      <x:c r="Z320" s="38"/>
    </x:row>
    <x:row r="321">
      <x:c r="A321" s="38"/>
      <x:c r="B321" s="38"/>
      <x:c r="C321" s="38"/>
      <x:c r="D321" s="38"/>
      <x:c r="E321" s="38"/>
      <x:c r="F321" s="38"/>
      <x:c r="G321" s="38"/>
      <x:c r="H321" s="38"/>
      <x:c r="I321" s="38"/>
      <x:c r="J321" s="38"/>
      <x:c r="K321" s="38"/>
      <x:c r="L321" s="38"/>
      <x:c r="M321" s="38"/>
      <x:c r="N321" s="38"/>
      <x:c r="O321" s="38"/>
      <x:c r="P321" s="38"/>
      <x:c r="Q321" s="38"/>
      <x:c r="R321" s="38"/>
      <x:c r="S321" s="38"/>
      <x:c r="T321" s="38"/>
      <x:c r="U321" s="38"/>
      <x:c r="V321" s="38"/>
      <x:c r="W321" s="38"/>
      <x:c r="X321" s="38"/>
      <x:c r="Y321" s="38"/>
      <x:c r="Z321" s="38"/>
    </x:row>
    <x:row r="322">
      <x:c r="A322" s="38"/>
      <x:c r="B322" s="38"/>
      <x:c r="C322" s="38"/>
      <x:c r="D322" s="38"/>
      <x:c r="E322" s="38"/>
      <x:c r="F322" s="38"/>
      <x:c r="G322" s="38"/>
      <x:c r="H322" s="38"/>
      <x:c r="I322" s="38"/>
      <x:c r="J322" s="38"/>
      <x:c r="K322" s="38"/>
      <x:c r="L322" s="38"/>
      <x:c r="M322" s="38"/>
      <x:c r="N322" s="38"/>
      <x:c r="O322" s="38"/>
      <x:c r="P322" s="38"/>
      <x:c r="Q322" s="38"/>
      <x:c r="R322" s="38"/>
      <x:c r="S322" s="38"/>
      <x:c r="T322" s="38"/>
      <x:c r="U322" s="38"/>
      <x:c r="V322" s="38"/>
      <x:c r="W322" s="38"/>
      <x:c r="X322" s="38"/>
      <x:c r="Y322" s="38"/>
      <x:c r="Z322" s="38"/>
    </x:row>
    <x:row r="323">
      <x:c r="A323" s="38"/>
      <x:c r="B323" s="38"/>
      <x:c r="C323" s="38"/>
      <x:c r="D323" s="38"/>
      <x:c r="E323" s="38"/>
      <x:c r="F323" s="38"/>
      <x:c r="G323" s="38"/>
      <x:c r="H323" s="38"/>
      <x:c r="I323" s="38"/>
      <x:c r="J323" s="38"/>
      <x:c r="K323" s="38"/>
      <x:c r="L323" s="38"/>
      <x:c r="M323" s="38"/>
      <x:c r="N323" s="38"/>
      <x:c r="O323" s="38"/>
      <x:c r="P323" s="38"/>
      <x:c r="Q323" s="38"/>
      <x:c r="R323" s="38"/>
      <x:c r="S323" s="38"/>
      <x:c r="T323" s="38"/>
      <x:c r="U323" s="38"/>
      <x:c r="V323" s="38"/>
      <x:c r="W323" s="38"/>
      <x:c r="X323" s="38"/>
      <x:c r="Y323" s="38"/>
      <x:c r="Z323" s="38"/>
    </x:row>
    <x:row r="324">
      <x:c r="A324" s="38"/>
      <x:c r="B324" s="38"/>
      <x:c r="C324" s="38"/>
      <x:c r="D324" s="38"/>
      <x:c r="E324" s="38"/>
      <x:c r="F324" s="38"/>
      <x:c r="G324" s="38"/>
      <x:c r="H324" s="38"/>
      <x:c r="I324" s="38"/>
      <x:c r="J324" s="38"/>
      <x:c r="K324" s="38"/>
      <x:c r="L324" s="38"/>
      <x:c r="M324" s="38"/>
      <x:c r="N324" s="38"/>
      <x:c r="O324" s="38"/>
      <x:c r="P324" s="38"/>
      <x:c r="Q324" s="38"/>
      <x:c r="R324" s="38"/>
      <x:c r="S324" s="38"/>
      <x:c r="T324" s="38"/>
      <x:c r="U324" s="38"/>
      <x:c r="V324" s="38"/>
      <x:c r="W324" s="38"/>
      <x:c r="X324" s="38"/>
      <x:c r="Y324" s="38"/>
      <x:c r="Z324" s="38"/>
    </x:row>
    <x:row r="325">
      <x:c r="A325" s="38"/>
      <x:c r="B325" s="38"/>
      <x:c r="C325" s="38"/>
      <x:c r="D325" s="38"/>
      <x:c r="E325" s="38"/>
      <x:c r="F325" s="38"/>
      <x:c r="G325" s="38"/>
      <x:c r="H325" s="38"/>
      <x:c r="I325" s="38"/>
      <x:c r="J325" s="38"/>
      <x:c r="K325" s="38"/>
      <x:c r="L325" s="38"/>
      <x:c r="M325" s="38"/>
      <x:c r="N325" s="38"/>
      <x:c r="O325" s="38"/>
      <x:c r="P325" s="38"/>
      <x:c r="Q325" s="38"/>
      <x:c r="R325" s="38"/>
      <x:c r="S325" s="38"/>
      <x:c r="T325" s="38"/>
      <x:c r="U325" s="38"/>
      <x:c r="V325" s="38"/>
      <x:c r="W325" s="38"/>
      <x:c r="X325" s="38"/>
      <x:c r="Y325" s="38"/>
      <x:c r="Z325" s="38"/>
    </x:row>
    <x:row r="326">
      <x:c r="A326" s="38"/>
      <x:c r="B326" s="38"/>
      <x:c r="C326" s="38"/>
      <x:c r="D326" s="38"/>
      <x:c r="E326" s="38"/>
      <x:c r="F326" s="38"/>
      <x:c r="G326" s="38"/>
      <x:c r="H326" s="38"/>
      <x:c r="I326" s="38"/>
      <x:c r="J326" s="38"/>
      <x:c r="K326" s="38"/>
      <x:c r="L326" s="38"/>
      <x:c r="M326" s="38"/>
      <x:c r="N326" s="38"/>
      <x:c r="O326" s="38"/>
      <x:c r="P326" s="38"/>
      <x:c r="Q326" s="38"/>
      <x:c r="R326" s="38"/>
      <x:c r="S326" s="38"/>
      <x:c r="T326" s="38"/>
      <x:c r="U326" s="38"/>
      <x:c r="V326" s="38"/>
      <x:c r="W326" s="38"/>
      <x:c r="X326" s="38"/>
      <x:c r="Y326" s="38"/>
      <x:c r="Z326" s="38"/>
    </x:row>
    <x:row r="327">
      <x:c r="A327" s="38"/>
      <x:c r="B327" s="38"/>
      <x:c r="C327" s="38"/>
      <x:c r="D327" s="38"/>
      <x:c r="E327" s="38"/>
      <x:c r="F327" s="38"/>
      <x:c r="G327" s="38"/>
      <x:c r="H327" s="38"/>
      <x:c r="I327" s="38"/>
      <x:c r="J327" s="38"/>
      <x:c r="K327" s="38"/>
      <x:c r="L327" s="38"/>
      <x:c r="M327" s="38"/>
      <x:c r="N327" s="38"/>
      <x:c r="O327" s="38"/>
      <x:c r="P327" s="38"/>
      <x:c r="Q327" s="38"/>
      <x:c r="R327" s="38"/>
      <x:c r="S327" s="38"/>
      <x:c r="T327" s="38"/>
      <x:c r="U327" s="38"/>
      <x:c r="V327" s="38"/>
      <x:c r="W327" s="38"/>
      <x:c r="X327" s="38"/>
      <x:c r="Y327" s="38"/>
      <x:c r="Z327" s="38"/>
    </x:row>
    <x:row r="328">
      <x:c r="A328" s="38"/>
      <x:c r="B328" s="38"/>
      <x:c r="C328" s="38"/>
      <x:c r="D328" s="38"/>
      <x:c r="E328" s="38"/>
      <x:c r="F328" s="38"/>
      <x:c r="G328" s="38"/>
      <x:c r="H328" s="38"/>
      <x:c r="I328" s="38"/>
      <x:c r="J328" s="38"/>
      <x:c r="K328" s="38"/>
      <x:c r="L328" s="38"/>
      <x:c r="M328" s="38"/>
      <x:c r="N328" s="38"/>
      <x:c r="O328" s="38"/>
      <x:c r="P328" s="38"/>
      <x:c r="Q328" s="38"/>
      <x:c r="R328" s="38"/>
      <x:c r="S328" s="38"/>
      <x:c r="T328" s="38"/>
      <x:c r="U328" s="38"/>
      <x:c r="V328" s="38"/>
      <x:c r="W328" s="38"/>
      <x:c r="X328" s="38"/>
      <x:c r="Y328" s="38"/>
      <x:c r="Z328" s="38"/>
    </x:row>
    <x:row r="329">
      <x:c r="A329" s="38"/>
      <x:c r="B329" s="38"/>
      <x:c r="C329" s="38"/>
      <x:c r="D329" s="38"/>
      <x:c r="E329" s="38"/>
      <x:c r="F329" s="38"/>
      <x:c r="G329" s="38"/>
      <x:c r="H329" s="38"/>
      <x:c r="I329" s="38"/>
      <x:c r="J329" s="38"/>
      <x:c r="K329" s="38"/>
      <x:c r="L329" s="38"/>
      <x:c r="M329" s="38"/>
      <x:c r="N329" s="38"/>
      <x:c r="O329" s="38"/>
      <x:c r="P329" s="38"/>
      <x:c r="Q329" s="38"/>
      <x:c r="R329" s="38"/>
      <x:c r="S329" s="38"/>
      <x:c r="T329" s="38"/>
      <x:c r="U329" s="38"/>
      <x:c r="V329" s="38"/>
      <x:c r="W329" s="38"/>
      <x:c r="X329" s="38"/>
      <x:c r="Y329" s="38"/>
      <x:c r="Z329" s="38"/>
    </x:row>
    <x:row r="330">
      <x:c r="A330" s="38"/>
      <x:c r="B330" s="38"/>
      <x:c r="C330" s="38"/>
      <x:c r="D330" s="38"/>
      <x:c r="E330" s="38"/>
      <x:c r="F330" s="38"/>
      <x:c r="G330" s="38"/>
      <x:c r="H330" s="38"/>
      <x:c r="I330" s="38"/>
      <x:c r="J330" s="38"/>
      <x:c r="K330" s="38"/>
      <x:c r="L330" s="38"/>
      <x:c r="M330" s="38"/>
      <x:c r="N330" s="38"/>
      <x:c r="O330" s="38"/>
      <x:c r="P330" s="38"/>
      <x:c r="Q330" s="38"/>
      <x:c r="R330" s="38"/>
      <x:c r="S330" s="38"/>
      <x:c r="T330" s="38"/>
      <x:c r="U330" s="38"/>
      <x:c r="V330" s="38"/>
      <x:c r="W330" s="38"/>
      <x:c r="X330" s="38"/>
      <x:c r="Y330" s="38"/>
      <x:c r="Z330" s="38"/>
    </x:row>
    <x:row r="331">
      <x:c r="A331" s="38"/>
      <x:c r="B331" s="38"/>
      <x:c r="C331" s="38"/>
      <x:c r="D331" s="38"/>
      <x:c r="E331" s="38"/>
      <x:c r="F331" s="38"/>
      <x:c r="G331" s="38"/>
      <x:c r="H331" s="38"/>
      <x:c r="I331" s="38"/>
      <x:c r="J331" s="38"/>
      <x:c r="K331" s="38"/>
      <x:c r="L331" s="38"/>
      <x:c r="M331" s="38"/>
      <x:c r="N331" s="38"/>
      <x:c r="O331" s="38"/>
      <x:c r="P331" s="38"/>
      <x:c r="Q331" s="38"/>
      <x:c r="R331" s="38"/>
      <x:c r="S331" s="38"/>
      <x:c r="T331" s="38"/>
      <x:c r="U331" s="38"/>
      <x:c r="V331" s="38"/>
      <x:c r="W331" s="38"/>
      <x:c r="X331" s="38"/>
      <x:c r="Y331" s="38"/>
      <x:c r="Z331" s="38"/>
    </x:row>
    <x:row r="332">
      <x:c r="A332" s="38"/>
      <x:c r="B332" s="38"/>
      <x:c r="C332" s="38"/>
      <x:c r="D332" s="38"/>
      <x:c r="E332" s="38"/>
      <x:c r="F332" s="38"/>
      <x:c r="G332" s="38"/>
      <x:c r="H332" s="38"/>
      <x:c r="I332" s="38"/>
      <x:c r="J332" s="38"/>
      <x:c r="K332" s="38"/>
      <x:c r="L332" s="38"/>
      <x:c r="M332" s="38"/>
      <x:c r="N332" s="38"/>
      <x:c r="O332" s="38"/>
      <x:c r="P332" s="38"/>
      <x:c r="Q332" s="38"/>
      <x:c r="R332" s="38"/>
      <x:c r="S332" s="38"/>
      <x:c r="T332" s="38"/>
      <x:c r="U332" s="38"/>
      <x:c r="V332" s="38"/>
      <x:c r="W332" s="38"/>
      <x:c r="X332" s="38"/>
      <x:c r="Y332" s="38"/>
      <x:c r="Z332" s="38"/>
    </x:row>
    <x:row r="333">
      <x:c r="A333" s="38"/>
      <x:c r="B333" s="38"/>
      <x:c r="C333" s="38"/>
      <x:c r="D333" s="38"/>
      <x:c r="E333" s="38"/>
      <x:c r="F333" s="38"/>
      <x:c r="G333" s="38"/>
      <x:c r="H333" s="38"/>
      <x:c r="I333" s="38"/>
      <x:c r="J333" s="38"/>
      <x:c r="K333" s="38"/>
      <x:c r="L333" s="38"/>
      <x:c r="M333" s="38"/>
      <x:c r="N333" s="38"/>
      <x:c r="O333" s="38"/>
      <x:c r="P333" s="38"/>
      <x:c r="Q333" s="38"/>
      <x:c r="R333" s="38"/>
      <x:c r="S333" s="38"/>
      <x:c r="T333" s="38"/>
      <x:c r="U333" s="38"/>
      <x:c r="V333" s="38"/>
      <x:c r="W333" s="38"/>
      <x:c r="X333" s="38"/>
      <x:c r="Y333" s="38"/>
      <x:c r="Z333" s="38"/>
    </x:row>
    <x:row r="334">
      <x:c r="A334" s="38"/>
      <x:c r="B334" s="38"/>
      <x:c r="C334" s="38"/>
      <x:c r="D334" s="38"/>
      <x:c r="E334" s="38"/>
      <x:c r="F334" s="38"/>
      <x:c r="G334" s="38"/>
      <x:c r="H334" s="38"/>
      <x:c r="I334" s="38"/>
      <x:c r="J334" s="38"/>
      <x:c r="K334" s="38"/>
      <x:c r="L334" s="38"/>
      <x:c r="M334" s="38"/>
      <x:c r="N334" s="38"/>
      <x:c r="O334" s="38"/>
      <x:c r="P334" s="38"/>
      <x:c r="Q334" s="38"/>
      <x:c r="R334" s="38"/>
      <x:c r="S334" s="38"/>
      <x:c r="T334" s="38"/>
      <x:c r="U334" s="38"/>
      <x:c r="V334" s="38"/>
      <x:c r="W334" s="38"/>
      <x:c r="X334" s="38"/>
      <x:c r="Y334" s="38"/>
      <x:c r="Z334" s="38"/>
    </x:row>
    <x:row r="335">
      <x:c r="A335" s="38"/>
      <x:c r="B335" s="38"/>
      <x:c r="C335" s="38"/>
      <x:c r="D335" s="38"/>
      <x:c r="E335" s="38"/>
      <x:c r="F335" s="38"/>
      <x:c r="G335" s="38"/>
      <x:c r="H335" s="38"/>
      <x:c r="I335" s="38"/>
      <x:c r="J335" s="38"/>
      <x:c r="K335" s="38"/>
      <x:c r="L335" s="38"/>
      <x:c r="M335" s="38"/>
      <x:c r="N335" s="38"/>
      <x:c r="O335" s="38"/>
      <x:c r="P335" s="38"/>
      <x:c r="Q335" s="38"/>
      <x:c r="R335" s="38"/>
      <x:c r="S335" s="38"/>
      <x:c r="T335" s="38"/>
      <x:c r="U335" s="38"/>
      <x:c r="V335" s="38"/>
      <x:c r="W335" s="38"/>
      <x:c r="X335" s="38"/>
      <x:c r="Y335" s="38"/>
      <x:c r="Z335" s="38"/>
    </x:row>
    <x:row r="336">
      <x:c r="A336" s="38"/>
      <x:c r="B336" s="38"/>
      <x:c r="C336" s="38"/>
      <x:c r="D336" s="38"/>
      <x:c r="E336" s="38"/>
      <x:c r="F336" s="38"/>
      <x:c r="G336" s="38"/>
      <x:c r="H336" s="38"/>
      <x:c r="I336" s="38"/>
      <x:c r="J336" s="38"/>
      <x:c r="K336" s="38"/>
      <x:c r="L336" s="38"/>
      <x:c r="M336" s="38"/>
      <x:c r="N336" s="38"/>
      <x:c r="O336" s="38"/>
      <x:c r="P336" s="38"/>
      <x:c r="Q336" s="38"/>
      <x:c r="R336" s="38"/>
      <x:c r="S336" s="38"/>
      <x:c r="T336" s="38"/>
      <x:c r="U336" s="38"/>
      <x:c r="V336" s="38"/>
      <x:c r="W336" s="38"/>
      <x:c r="X336" s="38"/>
      <x:c r="Y336" s="38"/>
      <x:c r="Z336" s="38"/>
    </x:row>
    <x:row r="337">
      <x:c r="A337" s="38"/>
      <x:c r="B337" s="38"/>
      <x:c r="C337" s="38"/>
      <x:c r="D337" s="38"/>
      <x:c r="E337" s="38"/>
      <x:c r="F337" s="38"/>
      <x:c r="G337" s="38"/>
      <x:c r="H337" s="38"/>
      <x:c r="I337" s="38"/>
      <x:c r="J337" s="38"/>
      <x:c r="K337" s="38"/>
      <x:c r="L337" s="38"/>
      <x:c r="M337" s="38"/>
      <x:c r="N337" s="38"/>
      <x:c r="O337" s="38"/>
      <x:c r="P337" s="38"/>
      <x:c r="Q337" s="38"/>
      <x:c r="R337" s="38"/>
      <x:c r="S337" s="38"/>
      <x:c r="T337" s="38"/>
      <x:c r="U337" s="38"/>
      <x:c r="V337" s="38"/>
      <x:c r="W337" s="38"/>
      <x:c r="X337" s="38"/>
      <x:c r="Y337" s="38"/>
      <x:c r="Z337" s="38"/>
    </x:row>
    <x:row r="338">
      <x:c r="A338" s="38"/>
      <x:c r="B338" s="38"/>
      <x:c r="C338" s="38"/>
      <x:c r="D338" s="38"/>
      <x:c r="E338" s="38"/>
      <x:c r="F338" s="38"/>
      <x:c r="G338" s="38"/>
      <x:c r="H338" s="38"/>
      <x:c r="I338" s="38"/>
      <x:c r="J338" s="38"/>
      <x:c r="K338" s="38"/>
      <x:c r="L338" s="38"/>
      <x:c r="M338" s="38"/>
      <x:c r="N338" s="38"/>
      <x:c r="O338" s="38"/>
      <x:c r="P338" s="38"/>
      <x:c r="Q338" s="38"/>
      <x:c r="R338" s="38"/>
      <x:c r="S338" s="38"/>
      <x:c r="T338" s="38"/>
      <x:c r="U338" s="38"/>
      <x:c r="V338" s="38"/>
      <x:c r="W338" s="38"/>
      <x:c r="X338" s="38"/>
      <x:c r="Y338" s="38"/>
      <x:c r="Z338" s="38"/>
    </x:row>
    <x:row r="339">
      <x:c r="A339" s="38"/>
      <x:c r="B339" s="38"/>
      <x:c r="C339" s="38"/>
      <x:c r="D339" s="38"/>
      <x:c r="E339" s="38"/>
      <x:c r="F339" s="38"/>
      <x:c r="G339" s="38"/>
      <x:c r="H339" s="38"/>
      <x:c r="I339" s="38"/>
      <x:c r="J339" s="38"/>
      <x:c r="K339" s="38"/>
      <x:c r="L339" s="38"/>
      <x:c r="M339" s="38"/>
      <x:c r="N339" s="38"/>
      <x:c r="O339" s="38"/>
      <x:c r="P339" s="38"/>
      <x:c r="Q339" s="38"/>
      <x:c r="R339" s="38"/>
      <x:c r="S339" s="38"/>
      <x:c r="T339" s="38"/>
      <x:c r="U339" s="38"/>
      <x:c r="V339" s="38"/>
      <x:c r="W339" s="38"/>
      <x:c r="X339" s="38"/>
      <x:c r="Y339" s="38"/>
      <x:c r="Z339" s="38"/>
    </x:row>
    <x:row r="340">
      <x:c r="A340" s="38"/>
      <x:c r="B340" s="38"/>
      <x:c r="C340" s="38"/>
      <x:c r="D340" s="38"/>
      <x:c r="E340" s="38"/>
      <x:c r="F340" s="38"/>
      <x:c r="G340" s="38"/>
      <x:c r="H340" s="38"/>
      <x:c r="I340" s="38"/>
      <x:c r="J340" s="38"/>
      <x:c r="K340" s="38"/>
      <x:c r="L340" s="38"/>
      <x:c r="M340" s="38"/>
      <x:c r="N340" s="38"/>
      <x:c r="O340" s="38"/>
      <x:c r="P340" s="38"/>
      <x:c r="Q340" s="38"/>
      <x:c r="R340" s="38"/>
      <x:c r="S340" s="38"/>
      <x:c r="T340" s="38"/>
      <x:c r="U340" s="38"/>
      <x:c r="V340" s="38"/>
      <x:c r="W340" s="38"/>
      <x:c r="X340" s="38"/>
      <x:c r="Y340" s="38"/>
      <x:c r="Z340" s="38"/>
    </x:row>
    <x:row r="341">
      <x:c r="A341" s="38"/>
      <x:c r="B341" s="38"/>
      <x:c r="C341" s="38"/>
      <x:c r="D341" s="38"/>
      <x:c r="E341" s="38"/>
      <x:c r="F341" s="38"/>
      <x:c r="G341" s="38"/>
      <x:c r="H341" s="38"/>
      <x:c r="I341" s="38"/>
      <x:c r="J341" s="38"/>
      <x:c r="K341" s="38"/>
      <x:c r="L341" s="38"/>
      <x:c r="M341" s="38"/>
      <x:c r="N341" s="38"/>
      <x:c r="O341" s="38"/>
      <x:c r="P341" s="38"/>
      <x:c r="Q341" s="38"/>
      <x:c r="R341" s="38"/>
      <x:c r="S341" s="38"/>
      <x:c r="T341" s="38"/>
      <x:c r="U341" s="38"/>
      <x:c r="V341" s="38"/>
      <x:c r="W341" s="38"/>
      <x:c r="X341" s="38"/>
      <x:c r="Y341" s="38"/>
      <x:c r="Z341" s="38"/>
    </x:row>
    <x:row r="342">
      <x:c r="A342" s="38"/>
      <x:c r="B342" s="38"/>
      <x:c r="C342" s="38"/>
      <x:c r="D342" s="38"/>
      <x:c r="E342" s="38"/>
      <x:c r="F342" s="38"/>
      <x:c r="G342" s="38"/>
      <x:c r="H342" s="38"/>
      <x:c r="I342" s="38"/>
      <x:c r="J342" s="38"/>
      <x:c r="K342" s="38"/>
      <x:c r="L342" s="38"/>
      <x:c r="M342" s="38"/>
      <x:c r="N342" s="38"/>
      <x:c r="O342" s="38"/>
      <x:c r="P342" s="38"/>
      <x:c r="Q342" s="38"/>
      <x:c r="R342" s="38"/>
      <x:c r="S342" s="38"/>
      <x:c r="T342" s="38"/>
      <x:c r="U342" s="38"/>
      <x:c r="V342" s="38"/>
      <x:c r="W342" s="38"/>
      <x:c r="X342" s="38"/>
      <x:c r="Y342" s="38"/>
      <x:c r="Z342" s="38"/>
    </x:row>
    <x:row r="343">
      <x:c r="A343" s="38"/>
      <x:c r="B343" s="38"/>
      <x:c r="C343" s="38"/>
      <x:c r="D343" s="38"/>
      <x:c r="E343" s="38"/>
      <x:c r="F343" s="38"/>
      <x:c r="G343" s="38"/>
      <x:c r="H343" s="38"/>
      <x:c r="I343" s="38"/>
      <x:c r="J343" s="38"/>
      <x:c r="K343" s="38"/>
      <x:c r="L343" s="38"/>
      <x:c r="M343" s="38"/>
      <x:c r="N343" s="38"/>
      <x:c r="O343" s="38"/>
      <x:c r="P343" s="38"/>
      <x:c r="Q343" s="38"/>
      <x:c r="R343" s="38"/>
      <x:c r="S343" s="38"/>
      <x:c r="T343" s="38"/>
      <x:c r="U343" s="38"/>
      <x:c r="V343" s="38"/>
      <x:c r="W343" s="38"/>
      <x:c r="X343" s="38"/>
      <x:c r="Y343" s="38"/>
      <x:c r="Z343" s="38"/>
    </x:row>
    <x:row r="344">
      <x:c r="A344" s="38"/>
      <x:c r="B344" s="38"/>
      <x:c r="C344" s="38"/>
      <x:c r="D344" s="38"/>
      <x:c r="E344" s="38"/>
      <x:c r="F344" s="38"/>
      <x:c r="G344" s="38"/>
      <x:c r="H344" s="38"/>
      <x:c r="I344" s="38"/>
      <x:c r="J344" s="38"/>
      <x:c r="K344" s="38"/>
      <x:c r="L344" s="38"/>
      <x:c r="M344" s="38"/>
      <x:c r="N344" s="38"/>
      <x:c r="O344" s="38"/>
      <x:c r="P344" s="38"/>
      <x:c r="Q344" s="38"/>
      <x:c r="R344" s="38"/>
      <x:c r="S344" s="38"/>
      <x:c r="T344" s="38"/>
      <x:c r="U344" s="38"/>
      <x:c r="V344" s="38"/>
      <x:c r="W344" s="38"/>
      <x:c r="X344" s="38"/>
      <x:c r="Y344" s="38"/>
      <x:c r="Z344" s="38"/>
    </x:row>
    <x:row r="345">
      <x:c r="A345" s="38"/>
      <x:c r="B345" s="38"/>
      <x:c r="C345" s="38"/>
      <x:c r="D345" s="38"/>
      <x:c r="E345" s="38"/>
      <x:c r="F345" s="38"/>
      <x:c r="G345" s="38"/>
      <x:c r="H345" s="38"/>
      <x:c r="I345" s="38"/>
      <x:c r="J345" s="38"/>
      <x:c r="K345" s="38"/>
      <x:c r="L345" s="38"/>
      <x:c r="M345" s="38"/>
      <x:c r="N345" s="38"/>
      <x:c r="O345" s="38"/>
      <x:c r="P345" s="38"/>
      <x:c r="Q345" s="38"/>
      <x:c r="R345" s="38"/>
      <x:c r="S345" s="38"/>
      <x:c r="T345" s="38"/>
      <x:c r="U345" s="38"/>
      <x:c r="V345" s="38"/>
      <x:c r="W345" s="38"/>
      <x:c r="X345" s="38"/>
      <x:c r="Y345" s="38"/>
      <x:c r="Z345" s="38"/>
    </x:row>
    <x:row r="346">
      <x:c r="A346" s="38"/>
      <x:c r="B346" s="38"/>
      <x:c r="C346" s="38"/>
      <x:c r="D346" s="38"/>
      <x:c r="E346" s="38"/>
      <x:c r="F346" s="38"/>
      <x:c r="G346" s="38"/>
      <x:c r="H346" s="38"/>
      <x:c r="I346" s="38"/>
      <x:c r="J346" s="38"/>
      <x:c r="K346" s="38"/>
      <x:c r="L346" s="38"/>
      <x:c r="M346" s="38"/>
      <x:c r="N346" s="38"/>
      <x:c r="O346" s="38"/>
      <x:c r="P346" s="38"/>
      <x:c r="Q346" s="38"/>
      <x:c r="R346" s="38"/>
      <x:c r="S346" s="38"/>
      <x:c r="T346" s="38"/>
      <x:c r="U346" s="38"/>
      <x:c r="V346" s="38"/>
      <x:c r="W346" s="38"/>
      <x:c r="X346" s="38"/>
      <x:c r="Y346" s="38"/>
      <x:c r="Z346" s="38"/>
    </x:row>
    <x:row r="347">
      <x:c r="A347" s="38"/>
      <x:c r="B347" s="38"/>
      <x:c r="C347" s="38"/>
      <x:c r="D347" s="38"/>
      <x:c r="E347" s="38"/>
      <x:c r="F347" s="38"/>
      <x:c r="G347" s="38"/>
      <x:c r="H347" s="38"/>
      <x:c r="I347" s="38"/>
      <x:c r="J347" s="38"/>
      <x:c r="K347" s="38"/>
      <x:c r="L347" s="38"/>
      <x:c r="M347" s="38"/>
      <x:c r="N347" s="38"/>
      <x:c r="O347" s="38"/>
      <x:c r="P347" s="38"/>
      <x:c r="Q347" s="38"/>
      <x:c r="R347" s="38"/>
      <x:c r="S347" s="38"/>
      <x:c r="T347" s="38"/>
      <x:c r="U347" s="38"/>
      <x:c r="V347" s="38"/>
      <x:c r="W347" s="38"/>
      <x:c r="X347" s="38"/>
      <x:c r="Y347" s="38"/>
      <x:c r="Z347" s="38"/>
    </x:row>
    <x:row r="348">
      <x:c r="A348" s="38"/>
      <x:c r="B348" s="38"/>
      <x:c r="C348" s="38"/>
      <x:c r="D348" s="38"/>
      <x:c r="E348" s="38"/>
      <x:c r="F348" s="38"/>
      <x:c r="G348" s="38"/>
      <x:c r="H348" s="38"/>
      <x:c r="I348" s="38"/>
      <x:c r="J348" s="38"/>
      <x:c r="K348" s="38"/>
      <x:c r="L348" s="38"/>
      <x:c r="M348" s="38"/>
      <x:c r="N348" s="38"/>
      <x:c r="O348" s="38"/>
      <x:c r="P348" s="38"/>
      <x:c r="Q348" s="38"/>
      <x:c r="R348" s="38"/>
      <x:c r="S348" s="38"/>
      <x:c r="T348" s="38"/>
      <x:c r="U348" s="38"/>
      <x:c r="V348" s="38"/>
      <x:c r="W348" s="38"/>
      <x:c r="X348" s="38"/>
      <x:c r="Y348" s="38"/>
      <x:c r="Z348" s="38"/>
    </x:row>
    <x:row r="349">
      <x:c r="A349" s="38"/>
      <x:c r="B349" s="38"/>
      <x:c r="C349" s="38"/>
      <x:c r="D349" s="38"/>
      <x:c r="E349" s="38"/>
      <x:c r="F349" s="38"/>
      <x:c r="G349" s="38"/>
      <x:c r="H349" s="38"/>
      <x:c r="I349" s="38"/>
      <x:c r="J349" s="38"/>
      <x:c r="K349" s="38"/>
      <x:c r="L349" s="38"/>
      <x:c r="M349" s="38"/>
      <x:c r="N349" s="38"/>
      <x:c r="O349" s="38"/>
      <x:c r="P349" s="38"/>
      <x:c r="Q349" s="38"/>
      <x:c r="R349" s="38"/>
      <x:c r="S349" s="38"/>
      <x:c r="T349" s="38"/>
      <x:c r="U349" s="38"/>
      <x:c r="V349" s="38"/>
      <x:c r="W349" s="38"/>
      <x:c r="X349" s="38"/>
      <x:c r="Y349" s="38"/>
      <x:c r="Z349" s="38"/>
    </x:row>
    <x:row r="350">
      <x:c r="A350" s="38"/>
      <x:c r="B350" s="38"/>
      <x:c r="C350" s="38"/>
      <x:c r="D350" s="38"/>
      <x:c r="E350" s="38"/>
      <x:c r="F350" s="38"/>
      <x:c r="G350" s="38"/>
      <x:c r="H350" s="38"/>
      <x:c r="I350" s="38"/>
      <x:c r="J350" s="38"/>
      <x:c r="K350" s="38"/>
      <x:c r="L350" s="38"/>
      <x:c r="M350" s="38"/>
      <x:c r="N350" s="38"/>
      <x:c r="O350" s="38"/>
      <x:c r="P350" s="38"/>
      <x:c r="Q350" s="38"/>
      <x:c r="R350" s="38"/>
      <x:c r="S350" s="38"/>
      <x:c r="T350" s="38"/>
      <x:c r="U350" s="38"/>
      <x:c r="V350" s="38"/>
      <x:c r="W350" s="38"/>
      <x:c r="X350" s="38"/>
      <x:c r="Y350" s="38"/>
      <x:c r="Z350" s="38"/>
    </x:row>
  </x:sheetData>
  <x:mergeCells>
    <x:mergeCell ref="A1:F1"/>
    <x:mergeCell ref="A2:F2"/>
  </x:mergeCells>
  <x:conditionalFormatting sqref="F5:F21">
    <x:cfRule type="expression" dxfId="0" priority="1">
      <x:formula>F5="OK"</x:formula>
    </x:cfRule>
    <x:cfRule type="expression" dxfId="1" priority="2">
      <x:formula>F5="Review"</x:formula>
    </x:cfRule>
    <x:cfRule type="expression" dxfId="2" priority="3">
      <x:formula>F5="Fix"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fab89f85b214eb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6" hidden="0" customWidth="1"/>
    <x:col min="4" max="4" width="24" hidden="0" customWidth="1"/>
    <x:col min="5" max="5" width="16" hidden="0" customWidth="1"/>
    <x:col min="6" max="6" width="22" hidden="0" customWidth="1"/>
    <x:col min="7" max="7" width="56" hidden="0" customWidth="1"/>
    <x:col min="8" max="8" width="46" hidden="0" customWidth="1"/>
    <x:col min="9" max="9" width="46" hidden="0" customWidth="1"/>
    <x:col min="10" max="10" width="18" hidden="0" customWidth="1"/>
  </x:cols>
  <x:sheetData>
    <x:row r="1" ht="28" customHeight="1">
      <x:c r="A1" s="5" t="str">
        <x:v>06 — Change Log</x:v>
      </x:c>
    </x:row>
    <x:row r="2" ht="32" customHeight="1">
      <x:c r="A2" s="14" t="str">
        <x:v>Governance history for product, feature, and functionality model changes. Do not delete historical entries.</x:v>
      </x:c>
    </x:row>
    <x:row r="4" ht="36" customHeight="1">
      <x:c r="A4" s="24" t="str">
        <x:v>Change_ID</x:v>
      </x:c>
      <x:c r="B4" s="24" t="str">
        <x:v>Date</x:v>
      </x:c>
      <x:c r="C4" s="24" t="str">
        <x:v>Model_Version</x:v>
      </x:c>
      <x:c r="D4" s="24" t="str">
        <x:v>Changed_By</x:v>
      </x:c>
      <x:c r="E4" s="24" t="str">
        <x:v>Change_Type</x:v>
      </x:c>
      <x:c r="F4" s="24" t="str">
        <x:v>Affected_ID</x:v>
      </x:c>
      <x:c r="G4" s="24" t="str">
        <x:v>Change_Summary</x:v>
      </x:c>
      <x:c r="H4" s="24" t="str">
        <x:v>Rationale</x:v>
      </x:c>
      <x:c r="I4" s="24" t="str">
        <x:v>Impact</x:v>
      </x:c>
      <x:c r="J4" s="24" t="str">
        <x:v>Approval_Status</x:v>
      </x:c>
      <x:c r="K4" s="38"/>
      <x:c r="L4" s="38"/>
      <x:c r="M4" s="38"/>
      <x:c r="N4" s="38"/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</x:row>
    <x:row r="5">
      <x:c r="A5" s="32" t="str">
        <x:v>CHG-0001</x:v>
      </x:c>
      <x:c r="B5" s="36" t="n">
        <x:v>46196</x:v>
      </x:c>
      <x:c r="C5" s="32" t="str">
        <x:v>CN v0.1</x:v>
      </x:c>
      <x:c r="D5" s="32" t="str">
        <x:v>OpenAI / Keith review</x:v>
      </x:c>
      <x:c r="E5" s="32" t="str">
        <x:v>Create</x:v>
      </x:c>
      <x:c r="F5" s="32" t="str">
        <x:v>VCF-AFA-CN</x:v>
      </x:c>
      <x:c r="G5" s="32" t="str">
        <x:v>Initial canonical model workbook created with schema, quality checks, enums, app load view, and draft product/component seed rows.</x:v>
      </x:c>
      <x:c r="H5" s="32" t="str">
        <x:v>Create governed CN workbook before KB and comparator workbook build-out.</x:v>
      </x:c>
      <x:c r="I5" s="32" t="str">
        <x:v>Establishes source identity model for VCF-AFA analysis.</x:v>
      </x:c>
      <x:c r="J5" s="32" t="str">
        <x:v>Draft</x:v>
      </x:c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</x:row>
    <x:row r="6">
      <x:c r="A6" s="32"/>
      <x:c r="B6" s="36"/>
      <x:c r="C6" s="32"/>
      <x:c r="D6" s="32"/>
      <x:c r="E6" s="32"/>
      <x:c r="F6" s="32"/>
      <x:c r="G6" s="32"/>
      <x:c r="H6" s="32"/>
      <x:c r="I6" s="32"/>
      <x:c r="J6" s="32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</x:row>
    <x:row r="7">
      <x:c r="A7" s="32"/>
      <x:c r="B7" s="36"/>
      <x:c r="C7" s="32"/>
      <x:c r="D7" s="32"/>
      <x:c r="E7" s="32"/>
      <x:c r="F7" s="32"/>
      <x:c r="G7" s="32"/>
      <x:c r="H7" s="32"/>
      <x:c r="I7" s="32"/>
      <x:c r="J7" s="32"/>
      <x:c r="K7" s="38"/>
      <x:c r="L7" s="38"/>
      <x:c r="M7" s="38"/>
      <x:c r="N7" s="38"/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</x:row>
    <x:row r="8">
      <x:c r="A8" s="32"/>
      <x:c r="B8" s="36"/>
      <x:c r="C8" s="32"/>
      <x:c r="D8" s="32"/>
      <x:c r="E8" s="32"/>
      <x:c r="F8" s="32"/>
      <x:c r="G8" s="32"/>
      <x:c r="H8" s="32"/>
      <x:c r="I8" s="32"/>
      <x:c r="J8" s="32"/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</x:row>
    <x:row r="9">
      <x:c r="A9" s="32"/>
      <x:c r="B9" s="36"/>
      <x:c r="C9" s="32"/>
      <x:c r="D9" s="32"/>
      <x:c r="E9" s="32"/>
      <x:c r="F9" s="32"/>
      <x:c r="G9" s="32"/>
      <x:c r="H9" s="32"/>
      <x:c r="I9" s="32"/>
      <x:c r="J9" s="32"/>
      <x:c r="K9" s="38"/>
      <x:c r="L9" s="38"/>
      <x:c r="M9" s="38"/>
      <x:c r="N9" s="38"/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</x:row>
    <x:row r="10">
      <x:c r="A10" s="32"/>
      <x:c r="B10" s="36"/>
      <x:c r="C10" s="32"/>
      <x:c r="D10" s="32"/>
      <x:c r="E10" s="32"/>
      <x:c r="F10" s="32"/>
      <x:c r="G10" s="32"/>
      <x:c r="H10" s="32"/>
      <x:c r="I10" s="32"/>
      <x:c r="J10" s="32"/>
      <x:c r="K10" s="38"/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</x:row>
    <x:row r="11">
      <x:c r="A11" s="32"/>
      <x:c r="B11" s="36"/>
      <x:c r="C11" s="32"/>
      <x:c r="D11" s="32"/>
      <x:c r="E11" s="32"/>
      <x:c r="F11" s="32"/>
      <x:c r="G11" s="32"/>
      <x:c r="H11" s="32"/>
      <x:c r="I11" s="32"/>
      <x:c r="J11" s="32"/>
      <x:c r="K11" s="38"/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</x:row>
    <x:row r="12">
      <x:c r="A12" s="32"/>
      <x:c r="B12" s="36"/>
      <x:c r="C12" s="32"/>
      <x:c r="D12" s="32"/>
      <x:c r="E12" s="32"/>
      <x:c r="F12" s="32"/>
      <x:c r="G12" s="32"/>
      <x:c r="H12" s="32"/>
      <x:c r="I12" s="32"/>
      <x:c r="J12" s="32"/>
      <x:c r="K12" s="38"/>
      <x:c r="L12" s="38"/>
      <x:c r="M12" s="38"/>
      <x:c r="N12" s="38"/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</x:row>
    <x:row r="13">
      <x:c r="A13" s="32"/>
      <x:c r="B13" s="36"/>
      <x:c r="C13" s="32"/>
      <x:c r="D13" s="32"/>
      <x:c r="E13" s="32"/>
      <x:c r="F13" s="32"/>
      <x:c r="G13" s="32"/>
      <x:c r="H13" s="32"/>
      <x:c r="I13" s="32"/>
      <x:c r="J13" s="32"/>
      <x:c r="K13" s="38"/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</x:row>
    <x:row r="14">
      <x:c r="A14" s="32"/>
      <x:c r="B14" s="36"/>
      <x:c r="C14" s="32"/>
      <x:c r="D14" s="32"/>
      <x:c r="E14" s="32"/>
      <x:c r="F14" s="32"/>
      <x:c r="G14" s="32"/>
      <x:c r="H14" s="32"/>
      <x:c r="I14" s="32"/>
      <x:c r="J14" s="32"/>
      <x:c r="K14" s="38"/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</x:row>
    <x:row r="15">
      <x:c r="A15" s="32"/>
      <x:c r="B15" s="36"/>
      <x:c r="C15" s="32"/>
      <x:c r="D15" s="32"/>
      <x:c r="E15" s="32"/>
      <x:c r="F15" s="32"/>
      <x:c r="G15" s="32"/>
      <x:c r="H15" s="32"/>
      <x:c r="I15" s="32"/>
      <x:c r="J15" s="32"/>
      <x:c r="K15" s="38"/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</x:row>
    <x:row r="16">
      <x:c r="A16" s="32"/>
      <x:c r="B16" s="36"/>
      <x:c r="C16" s="32"/>
      <x:c r="D16" s="32"/>
      <x:c r="E16" s="32"/>
      <x:c r="F16" s="32"/>
      <x:c r="G16" s="32"/>
      <x:c r="H16" s="32"/>
      <x:c r="I16" s="32"/>
      <x:c r="J16" s="32"/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</x:row>
    <x:row r="17">
      <x:c r="A17" s="32"/>
      <x:c r="B17" s="36"/>
      <x:c r="C17" s="32"/>
      <x:c r="D17" s="32"/>
      <x:c r="E17" s="32"/>
      <x:c r="F17" s="32"/>
      <x:c r="G17" s="32"/>
      <x:c r="H17" s="32"/>
      <x:c r="I17" s="32"/>
      <x:c r="J17" s="32"/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</x:row>
    <x:row r="18">
      <x:c r="A18" s="32"/>
      <x:c r="B18" s="36"/>
      <x:c r="C18" s="32"/>
      <x:c r="D18" s="32"/>
      <x:c r="E18" s="32"/>
      <x:c r="F18" s="32"/>
      <x:c r="G18" s="32"/>
      <x:c r="H18" s="32"/>
      <x:c r="I18" s="32"/>
      <x:c r="J18" s="32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</x:row>
    <x:row r="19">
      <x:c r="A19" s="32"/>
      <x:c r="B19" s="36"/>
      <x:c r="C19" s="32"/>
      <x:c r="D19" s="32"/>
      <x:c r="E19" s="32"/>
      <x:c r="F19" s="32"/>
      <x:c r="G19" s="32"/>
      <x:c r="H19" s="32"/>
      <x:c r="I19" s="32"/>
      <x:c r="J19" s="32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</x:row>
    <x:row r="20">
      <x:c r="A20" s="32"/>
      <x:c r="B20" s="36"/>
      <x:c r="C20" s="32"/>
      <x:c r="D20" s="32"/>
      <x:c r="E20" s="32"/>
      <x:c r="F20" s="32"/>
      <x:c r="G20" s="32"/>
      <x:c r="H20" s="32"/>
      <x:c r="I20" s="32"/>
      <x:c r="J20" s="32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</x:row>
    <x:row r="21">
      <x:c r="A21" s="32"/>
      <x:c r="B21" s="36"/>
      <x:c r="C21" s="32"/>
      <x:c r="D21" s="32"/>
      <x:c r="E21" s="32"/>
      <x:c r="F21" s="32"/>
      <x:c r="G21" s="32"/>
      <x:c r="H21" s="32"/>
      <x:c r="I21" s="32"/>
      <x:c r="J21" s="32"/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</x:row>
    <x:row r="22">
      <x:c r="A22" s="32"/>
      <x:c r="B22" s="36"/>
      <x:c r="C22" s="32"/>
      <x:c r="D22" s="32"/>
      <x:c r="E22" s="32"/>
      <x:c r="F22" s="32"/>
      <x:c r="G22" s="32"/>
      <x:c r="H22" s="32"/>
      <x:c r="I22" s="32"/>
      <x:c r="J22" s="32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</x:row>
    <x:row r="23">
      <x:c r="A23" s="32"/>
      <x:c r="B23" s="36"/>
      <x:c r="C23" s="32"/>
      <x:c r="D23" s="32"/>
      <x:c r="E23" s="32"/>
      <x:c r="F23" s="32"/>
      <x:c r="G23" s="32"/>
      <x:c r="H23" s="32"/>
      <x:c r="I23" s="32"/>
      <x:c r="J23" s="32"/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</x:row>
    <x:row r="24">
      <x:c r="A24" s="32"/>
      <x:c r="B24" s="36"/>
      <x:c r="C24" s="32"/>
      <x:c r="D24" s="32"/>
      <x:c r="E24" s="32"/>
      <x:c r="F24" s="32"/>
      <x:c r="G24" s="32"/>
      <x:c r="H24" s="32"/>
      <x:c r="I24" s="32"/>
      <x:c r="J24" s="32"/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</x:row>
    <x:row r="25">
      <x:c r="A25" s="32"/>
      <x:c r="B25" s="36"/>
      <x:c r="C25" s="32"/>
      <x:c r="D25" s="32"/>
      <x:c r="E25" s="32"/>
      <x:c r="F25" s="32"/>
      <x:c r="G25" s="32"/>
      <x:c r="H25" s="32"/>
      <x:c r="I25" s="32"/>
      <x:c r="J25" s="32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</x:row>
    <x:row r="26">
      <x:c r="A26" s="32"/>
      <x:c r="B26" s="36"/>
      <x:c r="C26" s="32"/>
      <x:c r="D26" s="32"/>
      <x:c r="E26" s="32"/>
      <x:c r="F26" s="32"/>
      <x:c r="G26" s="32"/>
      <x:c r="H26" s="32"/>
      <x:c r="I26" s="32"/>
      <x:c r="J26" s="32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</x:row>
    <x:row r="27">
      <x:c r="A27" s="32"/>
      <x:c r="B27" s="36"/>
      <x:c r="C27" s="32"/>
      <x:c r="D27" s="32"/>
      <x:c r="E27" s="32"/>
      <x:c r="F27" s="32"/>
      <x:c r="G27" s="32"/>
      <x:c r="H27" s="32"/>
      <x:c r="I27" s="32"/>
      <x:c r="J27" s="32"/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</x:row>
    <x:row r="28">
      <x:c r="A28" s="32"/>
      <x:c r="B28" s="36"/>
      <x:c r="C28" s="32"/>
      <x:c r="D28" s="32"/>
      <x:c r="E28" s="32"/>
      <x:c r="F28" s="32"/>
      <x:c r="G28" s="32"/>
      <x:c r="H28" s="32"/>
      <x:c r="I28" s="32"/>
      <x:c r="J28" s="32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</x:row>
    <x:row r="29">
      <x:c r="A29" s="32"/>
      <x:c r="B29" s="36"/>
      <x:c r="C29" s="32"/>
      <x:c r="D29" s="32"/>
      <x:c r="E29" s="32"/>
      <x:c r="F29" s="32"/>
      <x:c r="G29" s="32"/>
      <x:c r="H29" s="32"/>
      <x:c r="I29" s="32"/>
      <x:c r="J29" s="32"/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</x:row>
    <x:row r="30">
      <x:c r="A30" s="32"/>
      <x:c r="B30" s="36"/>
      <x:c r="C30" s="32"/>
      <x:c r="D30" s="32"/>
      <x:c r="E30" s="32"/>
      <x:c r="F30" s="32"/>
      <x:c r="G30" s="32"/>
      <x:c r="H30" s="32"/>
      <x:c r="I30" s="32"/>
      <x:c r="J30" s="32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</x:row>
    <x:row r="31">
      <x:c r="A31" s="32"/>
      <x:c r="B31" s="36"/>
      <x:c r="C31" s="32"/>
      <x:c r="D31" s="32"/>
      <x:c r="E31" s="32"/>
      <x:c r="F31" s="32"/>
      <x:c r="G31" s="32"/>
      <x:c r="H31" s="32"/>
      <x:c r="I31" s="32"/>
      <x:c r="J31" s="32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</x:row>
    <x:row r="32">
      <x:c r="A32" s="32"/>
      <x:c r="B32" s="36"/>
      <x:c r="C32" s="32"/>
      <x:c r="D32" s="32"/>
      <x:c r="E32" s="32"/>
      <x:c r="F32" s="32"/>
      <x:c r="G32" s="32"/>
      <x:c r="H32" s="32"/>
      <x:c r="I32" s="32"/>
      <x:c r="J32" s="32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</x:row>
    <x:row r="33">
      <x:c r="A33" s="32"/>
      <x:c r="B33" s="36"/>
      <x:c r="C33" s="32"/>
      <x:c r="D33" s="32"/>
      <x:c r="E33" s="32"/>
      <x:c r="F33" s="32"/>
      <x:c r="G33" s="32"/>
      <x:c r="H33" s="32"/>
      <x:c r="I33" s="32"/>
      <x:c r="J33" s="32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</x:row>
    <x:row r="34">
      <x:c r="A34" s="32"/>
      <x:c r="B34" s="36"/>
      <x:c r="C34" s="32"/>
      <x:c r="D34" s="32"/>
      <x:c r="E34" s="32"/>
      <x:c r="F34" s="32"/>
      <x:c r="G34" s="32"/>
      <x:c r="H34" s="32"/>
      <x:c r="I34" s="32"/>
      <x:c r="J34" s="32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</x:row>
    <x:row r="35">
      <x:c r="A35" s="32"/>
      <x:c r="B35" s="36"/>
      <x:c r="C35" s="32"/>
      <x:c r="D35" s="32"/>
      <x:c r="E35" s="32"/>
      <x:c r="F35" s="32"/>
      <x:c r="G35" s="32"/>
      <x:c r="H35" s="32"/>
      <x:c r="I35" s="32"/>
      <x:c r="J35" s="32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</x:row>
    <x:row r="36">
      <x:c r="A36" s="32"/>
      <x:c r="B36" s="36"/>
      <x:c r="C36" s="32"/>
      <x:c r="D36" s="32"/>
      <x:c r="E36" s="32"/>
      <x:c r="F36" s="32"/>
      <x:c r="G36" s="32"/>
      <x:c r="H36" s="32"/>
      <x:c r="I36" s="32"/>
      <x:c r="J36" s="32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</x:row>
    <x:row r="37">
      <x:c r="A37" s="32"/>
      <x:c r="B37" s="36"/>
      <x:c r="C37" s="32"/>
      <x:c r="D37" s="32"/>
      <x:c r="E37" s="32"/>
      <x:c r="F37" s="32"/>
      <x:c r="G37" s="32"/>
      <x:c r="H37" s="32"/>
      <x:c r="I37" s="32"/>
      <x:c r="J37" s="32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</x:row>
    <x:row r="38">
      <x:c r="A38" s="32"/>
      <x:c r="B38" s="36"/>
      <x:c r="C38" s="32"/>
      <x:c r="D38" s="32"/>
      <x:c r="E38" s="32"/>
      <x:c r="F38" s="32"/>
      <x:c r="G38" s="32"/>
      <x:c r="H38" s="32"/>
      <x:c r="I38" s="32"/>
      <x:c r="J38" s="32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</x:row>
    <x:row r="39">
      <x:c r="A39" s="32"/>
      <x:c r="B39" s="36"/>
      <x:c r="C39" s="32"/>
      <x:c r="D39" s="32"/>
      <x:c r="E39" s="32"/>
      <x:c r="F39" s="32"/>
      <x:c r="G39" s="32"/>
      <x:c r="H39" s="32"/>
      <x:c r="I39" s="32"/>
      <x:c r="J39" s="32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</x:row>
    <x:row r="40">
      <x:c r="A40" s="32"/>
      <x:c r="B40" s="36"/>
      <x:c r="C40" s="32"/>
      <x:c r="D40" s="32"/>
      <x:c r="E40" s="32"/>
      <x:c r="F40" s="32"/>
      <x:c r="G40" s="32"/>
      <x:c r="H40" s="32"/>
      <x:c r="I40" s="32"/>
      <x:c r="J40" s="32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</x:row>
    <x:row r="41">
      <x:c r="A41" s="32"/>
      <x:c r="B41" s="36"/>
      <x:c r="C41" s="32"/>
      <x:c r="D41" s="32"/>
      <x:c r="E41" s="32"/>
      <x:c r="F41" s="32"/>
      <x:c r="G41" s="32"/>
      <x:c r="H41" s="32"/>
      <x:c r="I41" s="32"/>
      <x:c r="J41" s="32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</x:row>
    <x:row r="42">
      <x:c r="A42" s="32"/>
      <x:c r="B42" s="36"/>
      <x:c r="C42" s="32"/>
      <x:c r="D42" s="32"/>
      <x:c r="E42" s="32"/>
      <x:c r="F42" s="32"/>
      <x:c r="G42" s="32"/>
      <x:c r="H42" s="32"/>
      <x:c r="I42" s="32"/>
      <x:c r="J42" s="32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</x:row>
    <x:row r="43">
      <x:c r="A43" s="32"/>
      <x:c r="B43" s="36"/>
      <x:c r="C43" s="32"/>
      <x:c r="D43" s="32"/>
      <x:c r="E43" s="32"/>
      <x:c r="F43" s="32"/>
      <x:c r="G43" s="32"/>
      <x:c r="H43" s="32"/>
      <x:c r="I43" s="32"/>
      <x:c r="J43" s="32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</x:row>
    <x:row r="44">
      <x:c r="A44" s="32"/>
      <x:c r="B44" s="36"/>
      <x:c r="C44" s="32"/>
      <x:c r="D44" s="32"/>
      <x:c r="E44" s="32"/>
      <x:c r="F44" s="32"/>
      <x:c r="G44" s="32"/>
      <x:c r="H44" s="32"/>
      <x:c r="I44" s="32"/>
      <x:c r="J44" s="32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</x:row>
    <x:row r="45">
      <x:c r="A45" s="32"/>
      <x:c r="B45" s="36"/>
      <x:c r="C45" s="32"/>
      <x:c r="D45" s="32"/>
      <x:c r="E45" s="32"/>
      <x:c r="F45" s="32"/>
      <x:c r="G45" s="32"/>
      <x:c r="H45" s="32"/>
      <x:c r="I45" s="32"/>
      <x:c r="J45" s="32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</x:row>
    <x:row r="46">
      <x:c r="A46" s="32"/>
      <x:c r="B46" s="36"/>
      <x:c r="C46" s="32"/>
      <x:c r="D46" s="32"/>
      <x:c r="E46" s="32"/>
      <x:c r="F46" s="32"/>
      <x:c r="G46" s="32"/>
      <x:c r="H46" s="32"/>
      <x:c r="I46" s="32"/>
      <x:c r="J46" s="32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</x:row>
    <x:row r="47">
      <x:c r="A47" s="32"/>
      <x:c r="B47" s="36"/>
      <x:c r="C47" s="32"/>
      <x:c r="D47" s="32"/>
      <x:c r="E47" s="32"/>
      <x:c r="F47" s="32"/>
      <x:c r="G47" s="32"/>
      <x:c r="H47" s="32"/>
      <x:c r="I47" s="32"/>
      <x:c r="J47" s="32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</x:row>
    <x:row r="48">
      <x:c r="A48" s="32"/>
      <x:c r="B48" s="36"/>
      <x:c r="C48" s="32"/>
      <x:c r="D48" s="32"/>
      <x:c r="E48" s="32"/>
      <x:c r="F48" s="32"/>
      <x:c r="G48" s="32"/>
      <x:c r="H48" s="32"/>
      <x:c r="I48" s="32"/>
      <x:c r="J48" s="32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</x:row>
    <x:row r="49">
      <x:c r="A49" s="32"/>
      <x:c r="B49" s="36"/>
      <x:c r="C49" s="32"/>
      <x:c r="D49" s="32"/>
      <x:c r="E49" s="32"/>
      <x:c r="F49" s="32"/>
      <x:c r="G49" s="32"/>
      <x:c r="H49" s="32"/>
      <x:c r="I49" s="32"/>
      <x:c r="J49" s="32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</x:row>
    <x:row r="50">
      <x:c r="A50" s="32"/>
      <x:c r="B50" s="36"/>
      <x:c r="C50" s="32"/>
      <x:c r="D50" s="32"/>
      <x:c r="E50" s="32"/>
      <x:c r="F50" s="32"/>
      <x:c r="G50" s="32"/>
      <x:c r="H50" s="32"/>
      <x:c r="I50" s="32"/>
      <x:c r="J50" s="32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</x:row>
    <x:row r="51">
      <x:c r="A51" s="32"/>
      <x:c r="B51" s="36"/>
      <x:c r="C51" s="32"/>
      <x:c r="D51" s="32"/>
      <x:c r="E51" s="32"/>
      <x:c r="F51" s="32"/>
      <x:c r="G51" s="32"/>
      <x:c r="H51" s="32"/>
      <x:c r="I51" s="32"/>
      <x:c r="J51" s="32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</x:row>
    <x:row r="52">
      <x:c r="A52" s="32"/>
      <x:c r="B52" s="36"/>
      <x:c r="C52" s="32"/>
      <x:c r="D52" s="32"/>
      <x:c r="E52" s="32"/>
      <x:c r="F52" s="32"/>
      <x:c r="G52" s="32"/>
      <x:c r="H52" s="32"/>
      <x:c r="I52" s="32"/>
      <x:c r="J52" s="32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</x:row>
    <x:row r="53">
      <x:c r="A53" s="32"/>
      <x:c r="B53" s="36"/>
      <x:c r="C53" s="32"/>
      <x:c r="D53" s="32"/>
      <x:c r="E53" s="32"/>
      <x:c r="F53" s="32"/>
      <x:c r="G53" s="32"/>
      <x:c r="H53" s="32"/>
      <x:c r="I53" s="32"/>
      <x:c r="J53" s="32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</x:row>
    <x:row r="54">
      <x:c r="A54" s="32"/>
      <x:c r="B54" s="36"/>
      <x:c r="C54" s="32"/>
      <x:c r="D54" s="32"/>
      <x:c r="E54" s="32"/>
      <x:c r="F54" s="32"/>
      <x:c r="G54" s="32"/>
      <x:c r="H54" s="32"/>
      <x:c r="I54" s="32"/>
      <x:c r="J54" s="32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</x:row>
    <x:row r="55">
      <x:c r="A55" s="32"/>
      <x:c r="B55" s="36"/>
      <x:c r="C55" s="32"/>
      <x:c r="D55" s="32"/>
      <x:c r="E55" s="32"/>
      <x:c r="F55" s="32"/>
      <x:c r="G55" s="32"/>
      <x:c r="H55" s="32"/>
      <x:c r="I55" s="32"/>
      <x:c r="J55" s="32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</x:row>
    <x:row r="56">
      <x:c r="A56" s="32"/>
      <x:c r="B56" s="36"/>
      <x:c r="C56" s="32"/>
      <x:c r="D56" s="32"/>
      <x:c r="E56" s="32"/>
      <x:c r="F56" s="32"/>
      <x:c r="G56" s="32"/>
      <x:c r="H56" s="32"/>
      <x:c r="I56" s="32"/>
      <x:c r="J56" s="32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</x:row>
    <x:row r="57">
      <x:c r="A57" s="32"/>
      <x:c r="B57" s="36"/>
      <x:c r="C57" s="32"/>
      <x:c r="D57" s="32"/>
      <x:c r="E57" s="32"/>
      <x:c r="F57" s="32"/>
      <x:c r="G57" s="32"/>
      <x:c r="H57" s="32"/>
      <x:c r="I57" s="32"/>
      <x:c r="J57" s="32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</x:row>
    <x:row r="58">
      <x:c r="A58" s="32"/>
      <x:c r="B58" s="36"/>
      <x:c r="C58" s="32"/>
      <x:c r="D58" s="32"/>
      <x:c r="E58" s="32"/>
      <x:c r="F58" s="32"/>
      <x:c r="G58" s="32"/>
      <x:c r="H58" s="32"/>
      <x:c r="I58" s="32"/>
      <x:c r="J58" s="32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</x:row>
    <x:row r="59">
      <x:c r="A59" s="32"/>
      <x:c r="B59" s="36"/>
      <x:c r="C59" s="32"/>
      <x:c r="D59" s="32"/>
      <x:c r="E59" s="32"/>
      <x:c r="F59" s="32"/>
      <x:c r="G59" s="32"/>
      <x:c r="H59" s="32"/>
      <x:c r="I59" s="32"/>
      <x:c r="J59" s="32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</x:row>
    <x:row r="60">
      <x:c r="A60" s="32"/>
      <x:c r="B60" s="36"/>
      <x:c r="C60" s="32"/>
      <x:c r="D60" s="32"/>
      <x:c r="E60" s="32"/>
      <x:c r="F60" s="32"/>
      <x:c r="G60" s="32"/>
      <x:c r="H60" s="32"/>
      <x:c r="I60" s="32"/>
      <x:c r="J60" s="32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</x:row>
    <x:row r="61">
      <x:c r="A61" s="32"/>
      <x:c r="B61" s="36"/>
      <x:c r="C61" s="32"/>
      <x:c r="D61" s="32"/>
      <x:c r="E61" s="32"/>
      <x:c r="F61" s="32"/>
      <x:c r="G61" s="32"/>
      <x:c r="H61" s="32"/>
      <x:c r="I61" s="32"/>
      <x:c r="J61" s="32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</x:row>
    <x:row r="62">
      <x:c r="A62" s="32"/>
      <x:c r="B62" s="36"/>
      <x:c r="C62" s="32"/>
      <x:c r="D62" s="32"/>
      <x:c r="E62" s="32"/>
      <x:c r="F62" s="32"/>
      <x:c r="G62" s="32"/>
      <x:c r="H62" s="32"/>
      <x:c r="I62" s="32"/>
      <x:c r="J62" s="32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</x:row>
    <x:row r="63">
      <x:c r="A63" s="32"/>
      <x:c r="B63" s="36"/>
      <x:c r="C63" s="32"/>
      <x:c r="D63" s="32"/>
      <x:c r="E63" s="32"/>
      <x:c r="F63" s="32"/>
      <x:c r="G63" s="32"/>
      <x:c r="H63" s="32"/>
      <x:c r="I63" s="32"/>
      <x:c r="J63" s="32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</x:row>
    <x:row r="64">
      <x:c r="A64" s="32"/>
      <x:c r="B64" s="36"/>
      <x:c r="C64" s="32"/>
      <x:c r="D64" s="32"/>
      <x:c r="E64" s="32"/>
      <x:c r="F64" s="32"/>
      <x:c r="G64" s="32"/>
      <x:c r="H64" s="32"/>
      <x:c r="I64" s="32"/>
      <x:c r="J64" s="32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</x:row>
    <x:row r="65">
      <x:c r="A65" s="32"/>
      <x:c r="B65" s="36"/>
      <x:c r="C65" s="32"/>
      <x:c r="D65" s="32"/>
      <x:c r="E65" s="32"/>
      <x:c r="F65" s="32"/>
      <x:c r="G65" s="32"/>
      <x:c r="H65" s="32"/>
      <x:c r="I65" s="32"/>
      <x:c r="J65" s="32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</x:row>
    <x:row r="66">
      <x:c r="A66" s="32"/>
      <x:c r="B66" s="36"/>
      <x:c r="C66" s="32"/>
      <x:c r="D66" s="32"/>
      <x:c r="E66" s="32"/>
      <x:c r="F66" s="32"/>
      <x:c r="G66" s="32"/>
      <x:c r="H66" s="32"/>
      <x:c r="I66" s="32"/>
      <x:c r="J66" s="32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</x:row>
    <x:row r="67">
      <x:c r="A67" s="32"/>
      <x:c r="B67" s="36"/>
      <x:c r="C67" s="32"/>
      <x:c r="D67" s="32"/>
      <x:c r="E67" s="32"/>
      <x:c r="F67" s="32"/>
      <x:c r="G67" s="32"/>
      <x:c r="H67" s="32"/>
      <x:c r="I67" s="32"/>
      <x:c r="J67" s="32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</x:row>
    <x:row r="68">
      <x:c r="A68" s="32"/>
      <x:c r="B68" s="36"/>
      <x:c r="C68" s="32"/>
      <x:c r="D68" s="32"/>
      <x:c r="E68" s="32"/>
      <x:c r="F68" s="32"/>
      <x:c r="G68" s="32"/>
      <x:c r="H68" s="32"/>
      <x:c r="I68" s="32"/>
      <x:c r="J68" s="32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</x:row>
    <x:row r="69">
      <x:c r="A69" s="32"/>
      <x:c r="B69" s="36"/>
      <x:c r="C69" s="32"/>
      <x:c r="D69" s="32"/>
      <x:c r="E69" s="32"/>
      <x:c r="F69" s="32"/>
      <x:c r="G69" s="32"/>
      <x:c r="H69" s="32"/>
      <x:c r="I69" s="32"/>
      <x:c r="J69" s="32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</x:row>
    <x:row r="70">
      <x:c r="A70" s="32"/>
      <x:c r="B70" s="36"/>
      <x:c r="C70" s="32"/>
      <x:c r="D70" s="32"/>
      <x:c r="E70" s="32"/>
      <x:c r="F70" s="32"/>
      <x:c r="G70" s="32"/>
      <x:c r="H70" s="32"/>
      <x:c r="I70" s="32"/>
      <x:c r="J70" s="32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</x:row>
    <x:row r="71">
      <x:c r="A71" s="32"/>
      <x:c r="B71" s="36"/>
      <x:c r="C71" s="32"/>
      <x:c r="D71" s="32"/>
      <x:c r="E71" s="32"/>
      <x:c r="F71" s="32"/>
      <x:c r="G71" s="32"/>
      <x:c r="H71" s="32"/>
      <x:c r="I71" s="32"/>
      <x:c r="J71" s="32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</x:row>
    <x:row r="72">
      <x:c r="A72" s="32"/>
      <x:c r="B72" s="36"/>
      <x:c r="C72" s="32"/>
      <x:c r="D72" s="32"/>
      <x:c r="E72" s="32"/>
      <x:c r="F72" s="32"/>
      <x:c r="G72" s="32"/>
      <x:c r="H72" s="32"/>
      <x:c r="I72" s="32"/>
      <x:c r="J72" s="32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</x:row>
    <x:row r="73">
      <x:c r="A73" s="32"/>
      <x:c r="B73" s="36"/>
      <x:c r="C73" s="32"/>
      <x:c r="D73" s="32"/>
      <x:c r="E73" s="32"/>
      <x:c r="F73" s="32"/>
      <x:c r="G73" s="32"/>
      <x:c r="H73" s="32"/>
      <x:c r="I73" s="32"/>
      <x:c r="J73" s="32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</x:row>
    <x:row r="74">
      <x:c r="A74" s="32"/>
      <x:c r="B74" s="36"/>
      <x:c r="C74" s="32"/>
      <x:c r="D74" s="32"/>
      <x:c r="E74" s="32"/>
      <x:c r="F74" s="32"/>
      <x:c r="G74" s="32"/>
      <x:c r="H74" s="32"/>
      <x:c r="I74" s="32"/>
      <x:c r="J74" s="32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</x:row>
    <x:row r="75">
      <x:c r="A75" s="32"/>
      <x:c r="B75" s="36"/>
      <x:c r="C75" s="32"/>
      <x:c r="D75" s="32"/>
      <x:c r="E75" s="32"/>
      <x:c r="F75" s="32"/>
      <x:c r="G75" s="32"/>
      <x:c r="H75" s="32"/>
      <x:c r="I75" s="32"/>
      <x:c r="J75" s="32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</x:row>
    <x:row r="76">
      <x:c r="A76" s="32"/>
      <x:c r="B76" s="36"/>
      <x:c r="C76" s="32"/>
      <x:c r="D76" s="32"/>
      <x:c r="E76" s="32"/>
      <x:c r="F76" s="32"/>
      <x:c r="G76" s="32"/>
      <x:c r="H76" s="32"/>
      <x:c r="I76" s="32"/>
      <x:c r="J76" s="32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</x:row>
    <x:row r="77">
      <x:c r="A77" s="32"/>
      <x:c r="B77" s="36"/>
      <x:c r="C77" s="32"/>
      <x:c r="D77" s="32"/>
      <x:c r="E77" s="32"/>
      <x:c r="F77" s="32"/>
      <x:c r="G77" s="32"/>
      <x:c r="H77" s="32"/>
      <x:c r="I77" s="32"/>
      <x:c r="J77" s="32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</x:row>
    <x:row r="78">
      <x:c r="A78" s="32"/>
      <x:c r="B78" s="36"/>
      <x:c r="C78" s="32"/>
      <x:c r="D78" s="32"/>
      <x:c r="E78" s="32"/>
      <x:c r="F78" s="32"/>
      <x:c r="G78" s="32"/>
      <x:c r="H78" s="32"/>
      <x:c r="I78" s="32"/>
      <x:c r="J78" s="32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</x:row>
    <x:row r="79">
      <x:c r="A79" s="32"/>
      <x:c r="B79" s="36"/>
      <x:c r="C79" s="32"/>
      <x:c r="D79" s="32"/>
      <x:c r="E79" s="32"/>
      <x:c r="F79" s="32"/>
      <x:c r="G79" s="32"/>
      <x:c r="H79" s="32"/>
      <x:c r="I79" s="32"/>
      <x:c r="J79" s="32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</x:row>
    <x:row r="80">
      <x:c r="A80" s="32"/>
      <x:c r="B80" s="36"/>
      <x:c r="C80" s="32"/>
      <x:c r="D80" s="32"/>
      <x:c r="E80" s="32"/>
      <x:c r="F80" s="32"/>
      <x:c r="G80" s="32"/>
      <x:c r="H80" s="32"/>
      <x:c r="I80" s="32"/>
      <x:c r="J80" s="32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</x:row>
    <x:row r="81">
      <x:c r="A81" s="32"/>
      <x:c r="B81" s="36"/>
      <x:c r="C81" s="32"/>
      <x:c r="D81" s="32"/>
      <x:c r="E81" s="32"/>
      <x:c r="F81" s="32"/>
      <x:c r="G81" s="32"/>
      <x:c r="H81" s="32"/>
      <x:c r="I81" s="32"/>
      <x:c r="J81" s="32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</x:row>
    <x:row r="82">
      <x:c r="A82" s="32"/>
      <x:c r="B82" s="36"/>
      <x:c r="C82" s="32"/>
      <x:c r="D82" s="32"/>
      <x:c r="E82" s="32"/>
      <x:c r="F82" s="32"/>
      <x:c r="G82" s="32"/>
      <x:c r="H82" s="32"/>
      <x:c r="I82" s="32"/>
      <x:c r="J82" s="32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</x:row>
    <x:row r="83">
      <x:c r="A83" s="32"/>
      <x:c r="B83" s="36"/>
      <x:c r="C83" s="32"/>
      <x:c r="D83" s="32"/>
      <x:c r="E83" s="32"/>
      <x:c r="F83" s="32"/>
      <x:c r="G83" s="32"/>
      <x:c r="H83" s="32"/>
      <x:c r="I83" s="32"/>
      <x:c r="J83" s="32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</x:row>
    <x:row r="84">
      <x:c r="A84" s="32"/>
      <x:c r="B84" s="36"/>
      <x:c r="C84" s="32"/>
      <x:c r="D84" s="32"/>
      <x:c r="E84" s="32"/>
      <x:c r="F84" s="32"/>
      <x:c r="G84" s="32"/>
      <x:c r="H84" s="32"/>
      <x:c r="I84" s="32"/>
      <x:c r="J84" s="32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</x:row>
    <x:row r="85">
      <x:c r="A85" s="32"/>
      <x:c r="B85" s="36"/>
      <x:c r="C85" s="32"/>
      <x:c r="D85" s="32"/>
      <x:c r="E85" s="32"/>
      <x:c r="F85" s="32"/>
      <x:c r="G85" s="32"/>
      <x:c r="H85" s="32"/>
      <x:c r="I85" s="32"/>
      <x:c r="J85" s="32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</x:row>
    <x:row r="86">
      <x:c r="A86" s="32"/>
      <x:c r="B86" s="36"/>
      <x:c r="C86" s="32"/>
      <x:c r="D86" s="32"/>
      <x:c r="E86" s="32"/>
      <x:c r="F86" s="32"/>
      <x:c r="G86" s="32"/>
      <x:c r="H86" s="32"/>
      <x:c r="I86" s="32"/>
      <x:c r="J86" s="32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</x:row>
    <x:row r="87">
      <x:c r="A87" s="32"/>
      <x:c r="B87" s="36"/>
      <x:c r="C87" s="32"/>
      <x:c r="D87" s="32"/>
      <x:c r="E87" s="32"/>
      <x:c r="F87" s="32"/>
      <x:c r="G87" s="32"/>
      <x:c r="H87" s="32"/>
      <x:c r="I87" s="32"/>
      <x:c r="J87" s="32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</x:row>
    <x:row r="88">
      <x:c r="A88" s="32"/>
      <x:c r="B88" s="36"/>
      <x:c r="C88" s="32"/>
      <x:c r="D88" s="32"/>
      <x:c r="E88" s="32"/>
      <x:c r="F88" s="32"/>
      <x:c r="G88" s="32"/>
      <x:c r="H88" s="32"/>
      <x:c r="I88" s="32"/>
      <x:c r="J88" s="32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</x:row>
    <x:row r="89">
      <x:c r="A89" s="32"/>
      <x:c r="B89" s="36"/>
      <x:c r="C89" s="32"/>
      <x:c r="D89" s="32"/>
      <x:c r="E89" s="32"/>
      <x:c r="F89" s="32"/>
      <x:c r="G89" s="32"/>
      <x:c r="H89" s="32"/>
      <x:c r="I89" s="32"/>
      <x:c r="J89" s="32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</x:row>
    <x:row r="90">
      <x:c r="A90" s="32"/>
      <x:c r="B90" s="36"/>
      <x:c r="C90" s="32"/>
      <x:c r="D90" s="32"/>
      <x:c r="E90" s="32"/>
      <x:c r="F90" s="32"/>
      <x:c r="G90" s="32"/>
      <x:c r="H90" s="32"/>
      <x:c r="I90" s="32"/>
      <x:c r="J90" s="32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</x:row>
    <x:row r="91">
      <x:c r="A91" s="32"/>
      <x:c r="B91" s="36"/>
      <x:c r="C91" s="32"/>
      <x:c r="D91" s="32"/>
      <x:c r="E91" s="32"/>
      <x:c r="F91" s="32"/>
      <x:c r="G91" s="32"/>
      <x:c r="H91" s="32"/>
      <x:c r="I91" s="32"/>
      <x:c r="J91" s="32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</x:row>
    <x:row r="92">
      <x:c r="A92" s="32"/>
      <x:c r="B92" s="36"/>
      <x:c r="C92" s="32"/>
      <x:c r="D92" s="32"/>
      <x:c r="E92" s="32"/>
      <x:c r="F92" s="32"/>
      <x:c r="G92" s="32"/>
      <x:c r="H92" s="32"/>
      <x:c r="I92" s="32"/>
      <x:c r="J92" s="32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</x:row>
    <x:row r="93">
      <x:c r="A93" s="32"/>
      <x:c r="B93" s="36"/>
      <x:c r="C93" s="32"/>
      <x:c r="D93" s="32"/>
      <x:c r="E93" s="32"/>
      <x:c r="F93" s="32"/>
      <x:c r="G93" s="32"/>
      <x:c r="H93" s="32"/>
      <x:c r="I93" s="32"/>
      <x:c r="J93" s="32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</x:row>
    <x:row r="94">
      <x:c r="A94" s="32"/>
      <x:c r="B94" s="36"/>
      <x:c r="C94" s="32"/>
      <x:c r="D94" s="32"/>
      <x:c r="E94" s="32"/>
      <x:c r="F94" s="32"/>
      <x:c r="G94" s="32"/>
      <x:c r="H94" s="32"/>
      <x:c r="I94" s="32"/>
      <x:c r="J94" s="32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</x:row>
    <x:row r="95">
      <x:c r="A95" s="32"/>
      <x:c r="B95" s="36"/>
      <x:c r="C95" s="32"/>
      <x:c r="D95" s="32"/>
      <x:c r="E95" s="32"/>
      <x:c r="F95" s="32"/>
      <x:c r="G95" s="32"/>
      <x:c r="H95" s="32"/>
      <x:c r="I95" s="32"/>
      <x:c r="J95" s="32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</x:row>
    <x:row r="96">
      <x:c r="A96" s="32"/>
      <x:c r="B96" s="36"/>
      <x:c r="C96" s="32"/>
      <x:c r="D96" s="32"/>
      <x:c r="E96" s="32"/>
      <x:c r="F96" s="32"/>
      <x:c r="G96" s="32"/>
      <x:c r="H96" s="32"/>
      <x:c r="I96" s="32"/>
      <x:c r="J96" s="32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</x:row>
    <x:row r="97">
      <x:c r="A97" s="32"/>
      <x:c r="B97" s="36"/>
      <x:c r="C97" s="32"/>
      <x:c r="D97" s="32"/>
      <x:c r="E97" s="32"/>
      <x:c r="F97" s="32"/>
      <x:c r="G97" s="32"/>
      <x:c r="H97" s="32"/>
      <x:c r="I97" s="32"/>
      <x:c r="J97" s="32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</x:row>
    <x:row r="98">
      <x:c r="A98" s="32"/>
      <x:c r="B98" s="36"/>
      <x:c r="C98" s="32"/>
      <x:c r="D98" s="32"/>
      <x:c r="E98" s="32"/>
      <x:c r="F98" s="32"/>
      <x:c r="G98" s="32"/>
      <x:c r="H98" s="32"/>
      <x:c r="I98" s="32"/>
      <x:c r="J98" s="32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</x:row>
    <x:row r="99">
      <x:c r="A99" s="32"/>
      <x:c r="B99" s="36"/>
      <x:c r="C99" s="32"/>
      <x:c r="D99" s="32"/>
      <x:c r="E99" s="32"/>
      <x:c r="F99" s="32"/>
      <x:c r="G99" s="32"/>
      <x:c r="H99" s="32"/>
      <x:c r="I99" s="32"/>
      <x:c r="J99" s="32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</x:row>
    <x:row r="100">
      <x:c r="A100" s="32"/>
      <x:c r="B100" s="36"/>
      <x:c r="C100" s="32"/>
      <x:c r="D100" s="32"/>
      <x:c r="E100" s="32"/>
      <x:c r="F100" s="32"/>
      <x:c r="G100" s="32"/>
      <x:c r="H100" s="32"/>
      <x:c r="I100" s="32"/>
      <x:c r="J100" s="32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</x:row>
    <x:row r="101">
      <x:c r="A101" s="32"/>
      <x:c r="B101" s="36"/>
      <x:c r="C101" s="32"/>
      <x:c r="D101" s="32"/>
      <x:c r="E101" s="32"/>
      <x:c r="F101" s="32"/>
      <x:c r="G101" s="32"/>
      <x:c r="H101" s="32"/>
      <x:c r="I101" s="32"/>
      <x:c r="J101" s="32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</x:row>
    <x:row r="102">
      <x:c r="A102" s="32"/>
      <x:c r="B102" s="36"/>
      <x:c r="C102" s="32"/>
      <x:c r="D102" s="32"/>
      <x:c r="E102" s="32"/>
      <x:c r="F102" s="32"/>
      <x:c r="G102" s="32"/>
      <x:c r="H102" s="32"/>
      <x:c r="I102" s="32"/>
      <x:c r="J102" s="32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</x:row>
    <x:row r="103">
      <x:c r="A103" s="32"/>
      <x:c r="B103" s="36"/>
      <x:c r="C103" s="32"/>
      <x:c r="D103" s="32"/>
      <x:c r="E103" s="32"/>
      <x:c r="F103" s="32"/>
      <x:c r="G103" s="32"/>
      <x:c r="H103" s="32"/>
      <x:c r="I103" s="32"/>
      <x:c r="J103" s="32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</x:row>
    <x:row r="104">
      <x:c r="A104" s="32"/>
      <x:c r="B104" s="36"/>
      <x:c r="C104" s="32"/>
      <x:c r="D104" s="32"/>
      <x:c r="E104" s="32"/>
      <x:c r="F104" s="32"/>
      <x:c r="G104" s="32"/>
      <x:c r="H104" s="32"/>
      <x:c r="I104" s="32"/>
      <x:c r="J104" s="32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</x:row>
    <x:row r="105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</x:row>
    <x:row r="106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</x:row>
    <x:row r="107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</x:row>
    <x:row r="108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</x:row>
    <x:row r="109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</x:row>
    <x:row r="110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</x:row>
    <x:row r="11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</x:row>
    <x:row r="112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</x:row>
    <x:row r="113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</x:row>
    <x:row r="114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</x:row>
    <x:row r="115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</x:row>
    <x:row r="116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</x:row>
    <x:row r="117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</x:row>
    <x:row r="118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</x:row>
    <x:row r="119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</x:row>
    <x:row r="120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  <x:row r="121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</x:row>
    <x:row r="122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</x:row>
    <x:row r="123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</x:row>
    <x:row r="124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</x:row>
    <x:row r="125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</x:row>
    <x:row r="126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</x:row>
    <x:row r="127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</x:row>
    <x:row r="128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</x:row>
    <x:row r="129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</x:row>
    <x:row r="130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</x:row>
    <x:row r="13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</x:row>
    <x:row r="132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</x:row>
    <x:row r="133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</x:row>
    <x:row r="134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</x:row>
    <x:row r="135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</x:row>
    <x:row r="136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</x:row>
    <x:row r="137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</x:row>
    <x:row r="138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</x:row>
    <x:row r="139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</x:row>
    <x:row r="140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</x:row>
    <x:row r="14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</x:row>
    <x:row r="142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</x:row>
    <x:row r="143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</x:row>
    <x:row r="144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</x:row>
    <x:row r="145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</x:row>
    <x:row r="146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</x:row>
    <x:row r="147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</x:row>
    <x:row r="148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</x:row>
    <x:row r="149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</x:row>
    <x:row r="150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</x:row>
    <x:row r="15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</x:row>
    <x:row r="152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</x:row>
    <x:row r="153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</x:row>
    <x:row r="154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</x:row>
    <x:row r="155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</x:row>
    <x:row r="156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</x:row>
    <x:row r="157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</x:row>
    <x:row r="158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</x:row>
    <x:row r="159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</x:row>
    <x:row r="160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</x:row>
    <x:row r="16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</x:row>
    <x:row r="162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</x:row>
    <x:row r="163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</x:row>
    <x:row r="164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</x:row>
    <x:row r="165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</x:row>
    <x:row r="166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</x:row>
    <x:row r="167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</x:row>
    <x:row r="168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</x:row>
    <x:row r="169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</x:row>
    <x:row r="170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</x:row>
    <x:row r="17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</x:row>
    <x:row r="172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</x:row>
    <x:row r="173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</x:row>
    <x:row r="174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</x:row>
    <x:row r="175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</x:row>
    <x:row r="176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</x:row>
    <x:row r="177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</x:row>
    <x:row r="178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</x:row>
    <x:row r="179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</x:row>
    <x:row r="180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</x:row>
    <x:row r="18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</x:row>
    <x:row r="182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</x:row>
    <x:row r="183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</x:row>
    <x:row r="184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</x:row>
    <x:row r="185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</x:row>
    <x:row r="186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</x:row>
    <x:row r="187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</x:row>
    <x:row r="188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</x:row>
    <x:row r="189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</x:row>
    <x:row r="190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</x:row>
    <x:row r="19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</x:row>
    <x:row r="192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</x:row>
    <x:row r="193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</x:row>
    <x:row r="194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</x:row>
    <x:row r="195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</x:row>
    <x:row r="196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</x:row>
    <x:row r="197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</x:row>
    <x:row r="198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</x:row>
    <x:row r="199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</x:row>
    <x:row r="200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</x:row>
    <x:row r="201">
      <x:c r="A201" s="38"/>
      <x:c r="B201" s="38"/>
      <x:c r="C201" s="38"/>
      <x:c r="D201" s="38"/>
      <x:c r="E201" s="38"/>
      <x:c r="F201" s="38"/>
      <x:c r="G201" s="38"/>
      <x:c r="H201" s="38"/>
      <x:c r="I201" s="38"/>
      <x:c r="J201" s="38"/>
      <x:c r="K201" s="38"/>
      <x:c r="L201" s="38"/>
      <x:c r="M201" s="38"/>
      <x:c r="N201" s="38"/>
      <x:c r="O201" s="38"/>
      <x:c r="P201" s="38"/>
      <x:c r="Q201" s="38"/>
      <x:c r="R201" s="38"/>
      <x:c r="S201" s="38"/>
      <x:c r="T201" s="38"/>
      <x:c r="U201" s="38"/>
      <x:c r="V201" s="38"/>
      <x:c r="W201" s="38"/>
      <x:c r="X201" s="38"/>
      <x:c r="Y201" s="38"/>
      <x:c r="Z201" s="38"/>
    </x:row>
    <x:row r="202">
      <x:c r="A202" s="38"/>
      <x:c r="B202" s="38"/>
      <x:c r="C202" s="38"/>
      <x:c r="D202" s="38"/>
      <x:c r="E202" s="38"/>
      <x:c r="F202" s="38"/>
      <x:c r="G202" s="38"/>
      <x:c r="H202" s="38"/>
      <x:c r="I202" s="38"/>
      <x:c r="J202" s="38"/>
      <x:c r="K202" s="38"/>
      <x:c r="L202" s="38"/>
      <x:c r="M202" s="38"/>
      <x:c r="N202" s="38"/>
      <x:c r="O202" s="38"/>
      <x:c r="P202" s="38"/>
      <x:c r="Q202" s="38"/>
      <x:c r="R202" s="38"/>
      <x:c r="S202" s="38"/>
      <x:c r="T202" s="38"/>
      <x:c r="U202" s="38"/>
      <x:c r="V202" s="38"/>
      <x:c r="W202" s="38"/>
      <x:c r="X202" s="38"/>
      <x:c r="Y202" s="38"/>
      <x:c r="Z202" s="38"/>
    </x:row>
    <x:row r="203">
      <x:c r="A203" s="38"/>
      <x:c r="B203" s="38"/>
      <x:c r="C203" s="38"/>
      <x:c r="D203" s="38"/>
      <x:c r="E203" s="38"/>
      <x:c r="F203" s="38"/>
      <x:c r="G203" s="38"/>
      <x:c r="H203" s="38"/>
      <x:c r="I203" s="38"/>
      <x:c r="J203" s="38"/>
      <x:c r="K203" s="38"/>
      <x:c r="L203" s="38"/>
      <x:c r="M203" s="38"/>
      <x:c r="N203" s="38"/>
      <x:c r="O203" s="38"/>
      <x:c r="P203" s="38"/>
      <x:c r="Q203" s="38"/>
      <x:c r="R203" s="38"/>
      <x:c r="S203" s="38"/>
      <x:c r="T203" s="38"/>
      <x:c r="U203" s="38"/>
      <x:c r="V203" s="38"/>
      <x:c r="W203" s="38"/>
      <x:c r="X203" s="38"/>
      <x:c r="Y203" s="38"/>
      <x:c r="Z203" s="38"/>
    </x:row>
    <x:row r="204">
      <x:c r="A204" s="38"/>
      <x:c r="B204" s="38"/>
      <x:c r="C204" s="38"/>
      <x:c r="D204" s="38"/>
      <x:c r="E204" s="38"/>
      <x:c r="F204" s="38"/>
      <x:c r="G204" s="38"/>
      <x:c r="H204" s="38"/>
      <x:c r="I204" s="38"/>
      <x:c r="J204" s="38"/>
      <x:c r="K204" s="38"/>
      <x:c r="L204" s="38"/>
      <x:c r="M204" s="38"/>
      <x:c r="N204" s="38"/>
      <x:c r="O204" s="38"/>
      <x:c r="P204" s="38"/>
      <x:c r="Q204" s="38"/>
      <x:c r="R204" s="38"/>
      <x:c r="S204" s="38"/>
      <x:c r="T204" s="38"/>
      <x:c r="U204" s="38"/>
      <x:c r="V204" s="38"/>
      <x:c r="W204" s="38"/>
      <x:c r="X204" s="38"/>
      <x:c r="Y204" s="38"/>
      <x:c r="Z204" s="38"/>
    </x:row>
    <x:row r="205">
      <x:c r="A205" s="38"/>
      <x:c r="B205" s="38"/>
      <x:c r="C205" s="38"/>
      <x:c r="D205" s="38"/>
      <x:c r="E205" s="38"/>
      <x:c r="F205" s="38"/>
      <x:c r="G205" s="38"/>
      <x:c r="H205" s="38"/>
      <x:c r="I205" s="38"/>
      <x:c r="J205" s="38"/>
      <x:c r="K205" s="38"/>
      <x:c r="L205" s="38"/>
      <x:c r="M205" s="38"/>
      <x:c r="N205" s="38"/>
      <x:c r="O205" s="38"/>
      <x:c r="P205" s="38"/>
      <x:c r="Q205" s="38"/>
      <x:c r="R205" s="38"/>
      <x:c r="S205" s="38"/>
      <x:c r="T205" s="38"/>
      <x:c r="U205" s="38"/>
      <x:c r="V205" s="38"/>
      <x:c r="W205" s="38"/>
      <x:c r="X205" s="38"/>
      <x:c r="Y205" s="38"/>
      <x:c r="Z205" s="38"/>
    </x:row>
    <x:row r="206">
      <x:c r="A206" s="38"/>
      <x:c r="B206" s="38"/>
      <x:c r="C206" s="38"/>
      <x:c r="D206" s="38"/>
      <x:c r="E206" s="38"/>
      <x:c r="F206" s="38"/>
      <x:c r="G206" s="38"/>
      <x:c r="H206" s="38"/>
      <x:c r="I206" s="38"/>
      <x:c r="J206" s="38"/>
      <x:c r="K206" s="38"/>
      <x:c r="L206" s="38"/>
      <x:c r="M206" s="38"/>
      <x:c r="N206" s="38"/>
      <x:c r="O206" s="38"/>
      <x:c r="P206" s="38"/>
      <x:c r="Q206" s="38"/>
      <x:c r="R206" s="38"/>
      <x:c r="S206" s="38"/>
      <x:c r="T206" s="38"/>
      <x:c r="U206" s="38"/>
      <x:c r="V206" s="38"/>
      <x:c r="W206" s="38"/>
      <x:c r="X206" s="38"/>
      <x:c r="Y206" s="38"/>
      <x:c r="Z206" s="38"/>
    </x:row>
    <x:row r="207">
      <x:c r="A207" s="38"/>
      <x:c r="B207" s="38"/>
      <x:c r="C207" s="38"/>
      <x:c r="D207" s="38"/>
      <x:c r="E207" s="38"/>
      <x:c r="F207" s="38"/>
      <x:c r="G207" s="38"/>
      <x:c r="H207" s="38"/>
      <x:c r="I207" s="38"/>
      <x:c r="J207" s="38"/>
      <x:c r="K207" s="38"/>
      <x:c r="L207" s="38"/>
      <x:c r="M207" s="38"/>
      <x:c r="N207" s="38"/>
      <x:c r="O207" s="38"/>
      <x:c r="P207" s="38"/>
      <x:c r="Q207" s="38"/>
      <x:c r="R207" s="38"/>
      <x:c r="S207" s="38"/>
      <x:c r="T207" s="38"/>
      <x:c r="U207" s="38"/>
      <x:c r="V207" s="38"/>
      <x:c r="W207" s="38"/>
      <x:c r="X207" s="38"/>
      <x:c r="Y207" s="38"/>
      <x:c r="Z207" s="38"/>
    </x:row>
    <x:row r="208">
      <x:c r="A208" s="38"/>
      <x:c r="B208" s="38"/>
      <x:c r="C208" s="38"/>
      <x:c r="D208" s="38"/>
      <x:c r="E208" s="38"/>
      <x:c r="F208" s="38"/>
      <x:c r="G208" s="38"/>
      <x:c r="H208" s="38"/>
      <x:c r="I208" s="38"/>
      <x:c r="J208" s="38"/>
      <x:c r="K208" s="38"/>
      <x:c r="L208" s="38"/>
      <x:c r="M208" s="38"/>
      <x:c r="N208" s="38"/>
      <x:c r="O208" s="38"/>
      <x:c r="P208" s="38"/>
      <x:c r="Q208" s="38"/>
      <x:c r="R208" s="38"/>
      <x:c r="S208" s="38"/>
      <x:c r="T208" s="38"/>
      <x:c r="U208" s="38"/>
      <x:c r="V208" s="38"/>
      <x:c r="W208" s="38"/>
      <x:c r="X208" s="38"/>
      <x:c r="Y208" s="38"/>
      <x:c r="Z208" s="38"/>
    </x:row>
    <x:row r="209">
      <x:c r="A209" s="38"/>
      <x:c r="B209" s="38"/>
      <x:c r="C209" s="38"/>
      <x:c r="D209" s="38"/>
      <x:c r="E209" s="38"/>
      <x:c r="F209" s="38"/>
      <x:c r="G209" s="38"/>
      <x:c r="H209" s="38"/>
      <x:c r="I209" s="38"/>
      <x:c r="J209" s="38"/>
      <x:c r="K209" s="38"/>
      <x:c r="L209" s="38"/>
      <x:c r="M209" s="38"/>
      <x:c r="N209" s="38"/>
      <x:c r="O209" s="38"/>
      <x:c r="P209" s="38"/>
      <x:c r="Q209" s="38"/>
      <x:c r="R209" s="38"/>
      <x:c r="S209" s="38"/>
      <x:c r="T209" s="38"/>
      <x:c r="U209" s="38"/>
      <x:c r="V209" s="38"/>
      <x:c r="W209" s="38"/>
      <x:c r="X209" s="38"/>
      <x:c r="Y209" s="38"/>
      <x:c r="Z209" s="38"/>
    </x:row>
    <x:row r="210">
      <x:c r="A210" s="38"/>
      <x:c r="B210" s="38"/>
      <x:c r="C210" s="38"/>
      <x:c r="D210" s="38"/>
      <x:c r="E210" s="38"/>
      <x:c r="F210" s="38"/>
      <x:c r="G210" s="38"/>
      <x:c r="H210" s="38"/>
      <x:c r="I210" s="38"/>
      <x:c r="J210" s="38"/>
      <x:c r="K210" s="38"/>
      <x:c r="L210" s="38"/>
      <x:c r="M210" s="38"/>
      <x:c r="N210" s="38"/>
      <x:c r="O210" s="38"/>
      <x:c r="P210" s="38"/>
      <x:c r="Q210" s="38"/>
      <x:c r="R210" s="38"/>
      <x:c r="S210" s="38"/>
      <x:c r="T210" s="38"/>
      <x:c r="U210" s="38"/>
      <x:c r="V210" s="38"/>
      <x:c r="W210" s="38"/>
      <x:c r="X210" s="38"/>
      <x:c r="Y210" s="38"/>
      <x:c r="Z210" s="38"/>
    </x:row>
    <x:row r="211">
      <x:c r="A211" s="38"/>
      <x:c r="B211" s="38"/>
      <x:c r="C211" s="38"/>
      <x:c r="D211" s="38"/>
      <x:c r="E211" s="38"/>
      <x:c r="F211" s="38"/>
      <x:c r="G211" s="38"/>
      <x:c r="H211" s="38"/>
      <x:c r="I211" s="38"/>
      <x:c r="J211" s="38"/>
      <x:c r="K211" s="38"/>
      <x:c r="L211" s="38"/>
      <x:c r="M211" s="38"/>
      <x:c r="N211" s="38"/>
      <x:c r="O211" s="38"/>
      <x:c r="P211" s="38"/>
      <x:c r="Q211" s="38"/>
      <x:c r="R211" s="38"/>
      <x:c r="S211" s="38"/>
      <x:c r="T211" s="38"/>
      <x:c r="U211" s="38"/>
      <x:c r="V211" s="38"/>
      <x:c r="W211" s="38"/>
      <x:c r="X211" s="38"/>
      <x:c r="Y211" s="38"/>
      <x:c r="Z211" s="38"/>
    </x:row>
    <x:row r="212">
      <x:c r="A212" s="38"/>
      <x:c r="B212" s="38"/>
      <x:c r="C212" s="38"/>
      <x:c r="D212" s="38"/>
      <x:c r="E212" s="38"/>
      <x:c r="F212" s="38"/>
      <x:c r="G212" s="38"/>
      <x:c r="H212" s="38"/>
      <x:c r="I212" s="38"/>
      <x:c r="J212" s="38"/>
      <x:c r="K212" s="38"/>
      <x:c r="L212" s="38"/>
      <x:c r="M212" s="38"/>
      <x:c r="N212" s="38"/>
      <x:c r="O212" s="38"/>
      <x:c r="P212" s="38"/>
      <x:c r="Q212" s="38"/>
      <x:c r="R212" s="38"/>
      <x:c r="S212" s="38"/>
      <x:c r="T212" s="38"/>
      <x:c r="U212" s="38"/>
      <x:c r="V212" s="38"/>
      <x:c r="W212" s="38"/>
      <x:c r="X212" s="38"/>
      <x:c r="Y212" s="38"/>
      <x:c r="Z212" s="38"/>
    </x:row>
    <x:row r="213">
      <x:c r="A213" s="38"/>
      <x:c r="B213" s="38"/>
      <x:c r="C213" s="38"/>
      <x:c r="D213" s="38"/>
      <x:c r="E213" s="38"/>
      <x:c r="F213" s="38"/>
      <x:c r="G213" s="38"/>
      <x:c r="H213" s="38"/>
      <x:c r="I213" s="38"/>
      <x:c r="J213" s="38"/>
      <x:c r="K213" s="38"/>
      <x:c r="L213" s="38"/>
      <x:c r="M213" s="38"/>
      <x:c r="N213" s="38"/>
      <x:c r="O213" s="38"/>
      <x:c r="P213" s="38"/>
      <x:c r="Q213" s="38"/>
      <x:c r="R213" s="38"/>
      <x:c r="S213" s="38"/>
      <x:c r="T213" s="38"/>
      <x:c r="U213" s="38"/>
      <x:c r="V213" s="38"/>
      <x:c r="W213" s="38"/>
      <x:c r="X213" s="38"/>
      <x:c r="Y213" s="38"/>
      <x:c r="Z213" s="38"/>
    </x:row>
    <x:row r="214">
      <x:c r="A214" s="38"/>
      <x:c r="B214" s="38"/>
      <x:c r="C214" s="38"/>
      <x:c r="D214" s="38"/>
      <x:c r="E214" s="38"/>
      <x:c r="F214" s="38"/>
      <x:c r="G214" s="38"/>
      <x:c r="H214" s="38"/>
      <x:c r="I214" s="38"/>
      <x:c r="J214" s="38"/>
      <x:c r="K214" s="38"/>
      <x:c r="L214" s="38"/>
      <x:c r="M214" s="38"/>
      <x:c r="N214" s="38"/>
      <x:c r="O214" s="38"/>
      <x:c r="P214" s="38"/>
      <x:c r="Q214" s="38"/>
      <x:c r="R214" s="38"/>
      <x:c r="S214" s="38"/>
      <x:c r="T214" s="38"/>
      <x:c r="U214" s="38"/>
      <x:c r="V214" s="38"/>
      <x:c r="W214" s="38"/>
      <x:c r="X214" s="38"/>
      <x:c r="Y214" s="38"/>
      <x:c r="Z214" s="38"/>
    </x:row>
    <x:row r="215">
      <x:c r="A215" s="38"/>
      <x:c r="B215" s="38"/>
      <x:c r="C215" s="38"/>
      <x:c r="D215" s="38"/>
      <x:c r="E215" s="38"/>
      <x:c r="F215" s="38"/>
      <x:c r="G215" s="38"/>
      <x:c r="H215" s="38"/>
      <x:c r="I215" s="38"/>
      <x:c r="J215" s="38"/>
      <x:c r="K215" s="38"/>
      <x:c r="L215" s="38"/>
      <x:c r="M215" s="38"/>
      <x:c r="N215" s="38"/>
      <x:c r="O215" s="38"/>
      <x:c r="P215" s="38"/>
      <x:c r="Q215" s="38"/>
      <x:c r="R215" s="38"/>
      <x:c r="S215" s="38"/>
      <x:c r="T215" s="38"/>
      <x:c r="U215" s="38"/>
      <x:c r="V215" s="38"/>
      <x:c r="W215" s="38"/>
      <x:c r="X215" s="38"/>
      <x:c r="Y215" s="38"/>
      <x:c r="Z215" s="38"/>
    </x:row>
    <x:row r="216">
      <x:c r="A216" s="38"/>
      <x:c r="B216" s="38"/>
      <x:c r="C216" s="38"/>
      <x:c r="D216" s="38"/>
      <x:c r="E216" s="38"/>
      <x:c r="F216" s="38"/>
      <x:c r="G216" s="38"/>
      <x:c r="H216" s="38"/>
      <x:c r="I216" s="38"/>
      <x:c r="J216" s="38"/>
      <x:c r="K216" s="38"/>
      <x:c r="L216" s="38"/>
      <x:c r="M216" s="38"/>
      <x:c r="N216" s="38"/>
      <x:c r="O216" s="38"/>
      <x:c r="P216" s="38"/>
      <x:c r="Q216" s="38"/>
      <x:c r="R216" s="38"/>
      <x:c r="S216" s="38"/>
      <x:c r="T216" s="38"/>
      <x:c r="U216" s="38"/>
      <x:c r="V216" s="38"/>
      <x:c r="W216" s="38"/>
      <x:c r="X216" s="38"/>
      <x:c r="Y216" s="38"/>
      <x:c r="Z216" s="38"/>
    </x:row>
    <x:row r="217">
      <x:c r="A217" s="38"/>
      <x:c r="B217" s="38"/>
      <x:c r="C217" s="38"/>
      <x:c r="D217" s="38"/>
      <x:c r="E217" s="38"/>
      <x:c r="F217" s="38"/>
      <x:c r="G217" s="38"/>
      <x:c r="H217" s="38"/>
      <x:c r="I217" s="38"/>
      <x:c r="J217" s="38"/>
      <x:c r="K217" s="38"/>
      <x:c r="L217" s="38"/>
      <x:c r="M217" s="38"/>
      <x:c r="N217" s="38"/>
      <x:c r="O217" s="38"/>
      <x:c r="P217" s="38"/>
      <x:c r="Q217" s="38"/>
      <x:c r="R217" s="38"/>
      <x:c r="S217" s="38"/>
      <x:c r="T217" s="38"/>
      <x:c r="U217" s="38"/>
      <x:c r="V217" s="38"/>
      <x:c r="W217" s="38"/>
      <x:c r="X217" s="38"/>
      <x:c r="Y217" s="38"/>
      <x:c r="Z217" s="38"/>
    </x:row>
    <x:row r="218">
      <x:c r="A218" s="38"/>
      <x:c r="B218" s="38"/>
      <x:c r="C218" s="38"/>
      <x:c r="D218" s="38"/>
      <x:c r="E218" s="38"/>
      <x:c r="F218" s="38"/>
      <x:c r="G218" s="38"/>
      <x:c r="H218" s="38"/>
      <x:c r="I218" s="38"/>
      <x:c r="J218" s="38"/>
      <x:c r="K218" s="38"/>
      <x:c r="L218" s="38"/>
      <x:c r="M218" s="38"/>
      <x:c r="N218" s="38"/>
      <x:c r="O218" s="38"/>
      <x:c r="P218" s="38"/>
      <x:c r="Q218" s="38"/>
      <x:c r="R218" s="38"/>
      <x:c r="S218" s="38"/>
      <x:c r="T218" s="38"/>
      <x:c r="U218" s="38"/>
      <x:c r="V218" s="38"/>
      <x:c r="W218" s="38"/>
      <x:c r="X218" s="38"/>
      <x:c r="Y218" s="38"/>
      <x:c r="Z218" s="38"/>
    </x:row>
    <x:row r="219">
      <x:c r="A219" s="38"/>
      <x:c r="B219" s="38"/>
      <x:c r="C219" s="38"/>
      <x:c r="D219" s="38"/>
      <x:c r="E219" s="38"/>
      <x:c r="F219" s="38"/>
      <x:c r="G219" s="38"/>
      <x:c r="H219" s="38"/>
      <x:c r="I219" s="38"/>
      <x:c r="J219" s="38"/>
      <x:c r="K219" s="38"/>
      <x:c r="L219" s="38"/>
      <x:c r="M219" s="38"/>
      <x:c r="N219" s="38"/>
      <x:c r="O219" s="38"/>
      <x:c r="P219" s="38"/>
      <x:c r="Q219" s="38"/>
      <x:c r="R219" s="38"/>
      <x:c r="S219" s="38"/>
      <x:c r="T219" s="38"/>
      <x:c r="U219" s="38"/>
      <x:c r="V219" s="38"/>
      <x:c r="W219" s="38"/>
      <x:c r="X219" s="38"/>
      <x:c r="Y219" s="38"/>
      <x:c r="Z219" s="38"/>
    </x:row>
    <x:row r="220">
      <x:c r="A220" s="38"/>
      <x:c r="B220" s="38"/>
      <x:c r="C220" s="38"/>
      <x:c r="D220" s="38"/>
      <x:c r="E220" s="38"/>
      <x:c r="F220" s="38"/>
      <x:c r="G220" s="38"/>
      <x:c r="H220" s="38"/>
      <x:c r="I220" s="38"/>
      <x:c r="J220" s="38"/>
      <x:c r="K220" s="38"/>
      <x:c r="L220" s="38"/>
      <x:c r="M220" s="38"/>
      <x:c r="N220" s="38"/>
      <x:c r="O220" s="38"/>
      <x:c r="P220" s="38"/>
      <x:c r="Q220" s="38"/>
      <x:c r="R220" s="38"/>
      <x:c r="S220" s="38"/>
      <x:c r="T220" s="38"/>
      <x:c r="U220" s="38"/>
      <x:c r="V220" s="38"/>
      <x:c r="W220" s="38"/>
      <x:c r="X220" s="38"/>
      <x:c r="Y220" s="38"/>
      <x:c r="Z220" s="38"/>
    </x:row>
    <x:row r="221">
      <x:c r="A221" s="38"/>
      <x:c r="B221" s="38"/>
      <x:c r="C221" s="38"/>
      <x:c r="D221" s="38"/>
      <x:c r="E221" s="38"/>
      <x:c r="F221" s="38"/>
      <x:c r="G221" s="38"/>
      <x:c r="H221" s="38"/>
      <x:c r="I221" s="38"/>
      <x:c r="J221" s="38"/>
      <x:c r="K221" s="38"/>
      <x:c r="L221" s="38"/>
      <x:c r="M221" s="38"/>
      <x:c r="N221" s="38"/>
      <x:c r="O221" s="38"/>
      <x:c r="P221" s="38"/>
      <x:c r="Q221" s="38"/>
      <x:c r="R221" s="38"/>
      <x:c r="S221" s="38"/>
      <x:c r="T221" s="38"/>
      <x:c r="U221" s="38"/>
      <x:c r="V221" s="38"/>
      <x:c r="W221" s="38"/>
      <x:c r="X221" s="38"/>
      <x:c r="Y221" s="38"/>
      <x:c r="Z221" s="38"/>
    </x:row>
    <x:row r="222">
      <x:c r="A222" s="38"/>
      <x:c r="B222" s="38"/>
      <x:c r="C222" s="38"/>
      <x:c r="D222" s="38"/>
      <x:c r="E222" s="38"/>
      <x:c r="F222" s="38"/>
      <x:c r="G222" s="38"/>
      <x:c r="H222" s="38"/>
      <x:c r="I222" s="38"/>
      <x:c r="J222" s="38"/>
      <x:c r="K222" s="38"/>
      <x:c r="L222" s="38"/>
      <x:c r="M222" s="38"/>
      <x:c r="N222" s="38"/>
      <x:c r="O222" s="38"/>
      <x:c r="P222" s="38"/>
      <x:c r="Q222" s="38"/>
      <x:c r="R222" s="38"/>
      <x:c r="S222" s="38"/>
      <x:c r="T222" s="38"/>
      <x:c r="U222" s="38"/>
      <x:c r="V222" s="38"/>
      <x:c r="W222" s="38"/>
      <x:c r="X222" s="38"/>
      <x:c r="Y222" s="38"/>
      <x:c r="Z222" s="38"/>
    </x:row>
    <x:row r="223">
      <x:c r="A223" s="38"/>
      <x:c r="B223" s="38"/>
      <x:c r="C223" s="38"/>
      <x:c r="D223" s="38"/>
      <x:c r="E223" s="38"/>
      <x:c r="F223" s="38"/>
      <x:c r="G223" s="38"/>
      <x:c r="H223" s="38"/>
      <x:c r="I223" s="38"/>
      <x:c r="J223" s="38"/>
      <x:c r="K223" s="38"/>
      <x:c r="L223" s="38"/>
      <x:c r="M223" s="38"/>
      <x:c r="N223" s="38"/>
      <x:c r="O223" s="38"/>
      <x:c r="P223" s="38"/>
      <x:c r="Q223" s="38"/>
      <x:c r="R223" s="38"/>
      <x:c r="S223" s="38"/>
      <x:c r="T223" s="38"/>
      <x:c r="U223" s="38"/>
      <x:c r="V223" s="38"/>
      <x:c r="W223" s="38"/>
      <x:c r="X223" s="38"/>
      <x:c r="Y223" s="38"/>
      <x:c r="Z223" s="38"/>
    </x:row>
    <x:row r="224">
      <x:c r="A224" s="38"/>
      <x:c r="B224" s="38"/>
      <x:c r="C224" s="38"/>
      <x:c r="D224" s="38"/>
      <x:c r="E224" s="38"/>
      <x:c r="F224" s="38"/>
      <x:c r="G224" s="38"/>
      <x:c r="H224" s="38"/>
      <x:c r="I224" s="38"/>
      <x:c r="J224" s="38"/>
      <x:c r="K224" s="38"/>
      <x:c r="L224" s="38"/>
      <x:c r="M224" s="38"/>
      <x:c r="N224" s="38"/>
      <x:c r="O224" s="38"/>
      <x:c r="P224" s="38"/>
      <x:c r="Q224" s="38"/>
      <x:c r="R224" s="38"/>
      <x:c r="S224" s="38"/>
      <x:c r="T224" s="38"/>
      <x:c r="U224" s="38"/>
      <x:c r="V224" s="38"/>
      <x:c r="W224" s="38"/>
      <x:c r="X224" s="38"/>
      <x:c r="Y224" s="38"/>
      <x:c r="Z224" s="38"/>
    </x:row>
    <x:row r="225">
      <x:c r="A225" s="38"/>
      <x:c r="B225" s="38"/>
      <x:c r="C225" s="38"/>
      <x:c r="D225" s="38"/>
      <x:c r="E225" s="38"/>
      <x:c r="F225" s="38"/>
      <x:c r="G225" s="38"/>
      <x:c r="H225" s="38"/>
      <x:c r="I225" s="38"/>
      <x:c r="J225" s="38"/>
      <x:c r="K225" s="38"/>
      <x:c r="L225" s="38"/>
      <x:c r="M225" s="38"/>
      <x:c r="N225" s="38"/>
      <x:c r="O225" s="38"/>
      <x:c r="P225" s="38"/>
      <x:c r="Q225" s="38"/>
      <x:c r="R225" s="38"/>
      <x:c r="S225" s="38"/>
      <x:c r="T225" s="38"/>
      <x:c r="U225" s="38"/>
      <x:c r="V225" s="38"/>
      <x:c r="W225" s="38"/>
      <x:c r="X225" s="38"/>
      <x:c r="Y225" s="38"/>
      <x:c r="Z225" s="38"/>
    </x:row>
    <x:row r="226">
      <x:c r="A226" s="38"/>
      <x:c r="B226" s="38"/>
      <x:c r="C226" s="38"/>
      <x:c r="D226" s="38"/>
      <x:c r="E226" s="38"/>
      <x:c r="F226" s="38"/>
      <x:c r="G226" s="38"/>
      <x:c r="H226" s="38"/>
      <x:c r="I226" s="38"/>
      <x:c r="J226" s="38"/>
      <x:c r="K226" s="38"/>
      <x:c r="L226" s="38"/>
      <x:c r="M226" s="38"/>
      <x:c r="N226" s="38"/>
      <x:c r="O226" s="38"/>
      <x:c r="P226" s="38"/>
      <x:c r="Q226" s="38"/>
      <x:c r="R226" s="38"/>
      <x:c r="S226" s="38"/>
      <x:c r="T226" s="38"/>
      <x:c r="U226" s="38"/>
      <x:c r="V226" s="38"/>
      <x:c r="W226" s="38"/>
      <x:c r="X226" s="38"/>
      <x:c r="Y226" s="38"/>
      <x:c r="Z226" s="38"/>
    </x:row>
    <x:row r="227">
      <x:c r="A227" s="38"/>
      <x:c r="B227" s="38"/>
      <x:c r="C227" s="38"/>
      <x:c r="D227" s="38"/>
      <x:c r="E227" s="38"/>
      <x:c r="F227" s="38"/>
      <x:c r="G227" s="38"/>
      <x:c r="H227" s="38"/>
      <x:c r="I227" s="38"/>
      <x:c r="J227" s="38"/>
      <x:c r="K227" s="38"/>
      <x:c r="L227" s="38"/>
      <x:c r="M227" s="38"/>
      <x:c r="N227" s="38"/>
      <x:c r="O227" s="38"/>
      <x:c r="P227" s="38"/>
      <x:c r="Q227" s="38"/>
      <x:c r="R227" s="38"/>
      <x:c r="S227" s="38"/>
      <x:c r="T227" s="38"/>
      <x:c r="U227" s="38"/>
      <x:c r="V227" s="38"/>
      <x:c r="W227" s="38"/>
      <x:c r="X227" s="38"/>
      <x:c r="Y227" s="38"/>
      <x:c r="Z227" s="38"/>
    </x:row>
    <x:row r="228">
      <x:c r="A228" s="38"/>
      <x:c r="B228" s="38"/>
      <x:c r="C228" s="38"/>
      <x:c r="D228" s="38"/>
      <x:c r="E228" s="38"/>
      <x:c r="F228" s="38"/>
      <x:c r="G228" s="38"/>
      <x:c r="H228" s="38"/>
      <x:c r="I228" s="38"/>
      <x:c r="J228" s="38"/>
      <x:c r="K228" s="38"/>
      <x:c r="L228" s="38"/>
      <x:c r="M228" s="38"/>
      <x:c r="N228" s="38"/>
      <x:c r="O228" s="38"/>
      <x:c r="P228" s="38"/>
      <x:c r="Q228" s="38"/>
      <x:c r="R228" s="38"/>
      <x:c r="S228" s="38"/>
      <x:c r="T228" s="38"/>
      <x:c r="U228" s="38"/>
      <x:c r="V228" s="38"/>
      <x:c r="W228" s="38"/>
      <x:c r="X228" s="38"/>
      <x:c r="Y228" s="38"/>
      <x:c r="Z228" s="38"/>
    </x:row>
    <x:row r="229">
      <x:c r="A229" s="38"/>
      <x:c r="B229" s="38"/>
      <x:c r="C229" s="38"/>
      <x:c r="D229" s="38"/>
      <x:c r="E229" s="38"/>
      <x:c r="F229" s="38"/>
      <x:c r="G229" s="38"/>
      <x:c r="H229" s="38"/>
      <x:c r="I229" s="38"/>
      <x:c r="J229" s="38"/>
      <x:c r="K229" s="38"/>
      <x:c r="L229" s="38"/>
      <x:c r="M229" s="38"/>
      <x:c r="N229" s="38"/>
      <x:c r="O229" s="38"/>
      <x:c r="P229" s="38"/>
      <x:c r="Q229" s="38"/>
      <x:c r="R229" s="38"/>
      <x:c r="S229" s="38"/>
      <x:c r="T229" s="38"/>
      <x:c r="U229" s="38"/>
      <x:c r="V229" s="38"/>
      <x:c r="W229" s="38"/>
      <x:c r="X229" s="38"/>
      <x:c r="Y229" s="38"/>
      <x:c r="Z229" s="38"/>
    </x:row>
    <x:row r="230">
      <x:c r="A230" s="38"/>
      <x:c r="B230" s="38"/>
      <x:c r="C230" s="38"/>
      <x:c r="D230" s="38"/>
      <x:c r="E230" s="38"/>
      <x:c r="F230" s="38"/>
      <x:c r="G230" s="38"/>
      <x:c r="H230" s="38"/>
      <x:c r="I230" s="38"/>
      <x:c r="J230" s="38"/>
      <x:c r="K230" s="38"/>
      <x:c r="L230" s="38"/>
      <x:c r="M230" s="38"/>
      <x:c r="N230" s="38"/>
      <x:c r="O230" s="38"/>
      <x:c r="P230" s="38"/>
      <x:c r="Q230" s="38"/>
      <x:c r="R230" s="38"/>
      <x:c r="S230" s="38"/>
      <x:c r="T230" s="38"/>
      <x:c r="U230" s="38"/>
      <x:c r="V230" s="38"/>
      <x:c r="W230" s="38"/>
      <x:c r="X230" s="38"/>
      <x:c r="Y230" s="38"/>
      <x:c r="Z230" s="38"/>
    </x:row>
    <x:row r="231">
      <x:c r="A231" s="38"/>
      <x:c r="B231" s="38"/>
      <x:c r="C231" s="38"/>
      <x:c r="D231" s="38"/>
      <x:c r="E231" s="38"/>
      <x:c r="F231" s="38"/>
      <x:c r="G231" s="38"/>
      <x:c r="H231" s="38"/>
      <x:c r="I231" s="38"/>
      <x:c r="J231" s="38"/>
      <x:c r="K231" s="38"/>
      <x:c r="L231" s="38"/>
      <x:c r="M231" s="38"/>
      <x:c r="N231" s="38"/>
      <x:c r="O231" s="38"/>
      <x:c r="P231" s="38"/>
      <x:c r="Q231" s="38"/>
      <x:c r="R231" s="38"/>
      <x:c r="S231" s="38"/>
      <x:c r="T231" s="38"/>
      <x:c r="U231" s="38"/>
      <x:c r="V231" s="38"/>
      <x:c r="W231" s="38"/>
      <x:c r="X231" s="38"/>
      <x:c r="Y231" s="38"/>
      <x:c r="Z231" s="38"/>
    </x:row>
    <x:row r="232">
      <x:c r="A232" s="38"/>
      <x:c r="B232" s="38"/>
      <x:c r="C232" s="38"/>
      <x:c r="D232" s="38"/>
      <x:c r="E232" s="38"/>
      <x:c r="F232" s="38"/>
      <x:c r="G232" s="38"/>
      <x:c r="H232" s="38"/>
      <x:c r="I232" s="38"/>
      <x:c r="J232" s="38"/>
      <x:c r="K232" s="38"/>
      <x:c r="L232" s="38"/>
      <x:c r="M232" s="38"/>
      <x:c r="N232" s="38"/>
      <x:c r="O232" s="38"/>
      <x:c r="P232" s="38"/>
      <x:c r="Q232" s="38"/>
      <x:c r="R232" s="38"/>
      <x:c r="S232" s="38"/>
      <x:c r="T232" s="38"/>
      <x:c r="U232" s="38"/>
      <x:c r="V232" s="38"/>
      <x:c r="W232" s="38"/>
      <x:c r="X232" s="38"/>
      <x:c r="Y232" s="38"/>
      <x:c r="Z232" s="38"/>
    </x:row>
    <x:row r="233">
      <x:c r="A233" s="38"/>
      <x:c r="B233" s="38"/>
      <x:c r="C233" s="38"/>
      <x:c r="D233" s="38"/>
      <x:c r="E233" s="38"/>
      <x:c r="F233" s="38"/>
      <x:c r="G233" s="38"/>
      <x:c r="H233" s="38"/>
      <x:c r="I233" s="38"/>
      <x:c r="J233" s="38"/>
      <x:c r="K233" s="38"/>
      <x:c r="L233" s="38"/>
      <x:c r="M233" s="38"/>
      <x:c r="N233" s="38"/>
      <x:c r="O233" s="38"/>
      <x:c r="P233" s="38"/>
      <x:c r="Q233" s="38"/>
      <x:c r="R233" s="38"/>
      <x:c r="S233" s="38"/>
      <x:c r="T233" s="38"/>
      <x:c r="U233" s="38"/>
      <x:c r="V233" s="38"/>
      <x:c r="W233" s="38"/>
      <x:c r="X233" s="38"/>
      <x:c r="Y233" s="38"/>
      <x:c r="Z233" s="38"/>
    </x:row>
    <x:row r="234">
      <x:c r="A234" s="38"/>
      <x:c r="B234" s="38"/>
      <x:c r="C234" s="38"/>
      <x:c r="D234" s="38"/>
      <x:c r="E234" s="38"/>
      <x:c r="F234" s="38"/>
      <x:c r="G234" s="38"/>
      <x:c r="H234" s="38"/>
      <x:c r="I234" s="38"/>
      <x:c r="J234" s="38"/>
      <x:c r="K234" s="38"/>
      <x:c r="L234" s="38"/>
      <x:c r="M234" s="38"/>
      <x:c r="N234" s="38"/>
      <x:c r="O234" s="38"/>
      <x:c r="P234" s="38"/>
      <x:c r="Q234" s="38"/>
      <x:c r="R234" s="38"/>
      <x:c r="S234" s="38"/>
      <x:c r="T234" s="38"/>
      <x:c r="U234" s="38"/>
      <x:c r="V234" s="38"/>
      <x:c r="W234" s="38"/>
      <x:c r="X234" s="38"/>
      <x:c r="Y234" s="38"/>
      <x:c r="Z234" s="38"/>
    </x:row>
    <x:row r="235">
      <x:c r="A235" s="38"/>
      <x:c r="B235" s="38"/>
      <x:c r="C235" s="38"/>
      <x:c r="D235" s="38"/>
      <x:c r="E235" s="38"/>
      <x:c r="F235" s="38"/>
      <x:c r="G235" s="38"/>
      <x:c r="H235" s="38"/>
      <x:c r="I235" s="38"/>
      <x:c r="J235" s="38"/>
      <x:c r="K235" s="38"/>
      <x:c r="L235" s="38"/>
      <x:c r="M235" s="38"/>
      <x:c r="N235" s="38"/>
      <x:c r="O235" s="38"/>
      <x:c r="P235" s="38"/>
      <x:c r="Q235" s="38"/>
      <x:c r="R235" s="38"/>
      <x:c r="S235" s="38"/>
      <x:c r="T235" s="38"/>
      <x:c r="U235" s="38"/>
      <x:c r="V235" s="38"/>
      <x:c r="W235" s="38"/>
      <x:c r="X235" s="38"/>
      <x:c r="Y235" s="38"/>
      <x:c r="Z235" s="38"/>
    </x:row>
    <x:row r="236">
      <x:c r="A236" s="38"/>
      <x:c r="B236" s="38"/>
      <x:c r="C236" s="38"/>
      <x:c r="D236" s="38"/>
      <x:c r="E236" s="38"/>
      <x:c r="F236" s="38"/>
      <x:c r="G236" s="38"/>
      <x:c r="H236" s="38"/>
      <x:c r="I236" s="38"/>
      <x:c r="J236" s="38"/>
      <x:c r="K236" s="38"/>
      <x:c r="L236" s="38"/>
      <x:c r="M236" s="38"/>
      <x:c r="N236" s="38"/>
      <x:c r="O236" s="38"/>
      <x:c r="P236" s="38"/>
      <x:c r="Q236" s="38"/>
      <x:c r="R236" s="38"/>
      <x:c r="S236" s="38"/>
      <x:c r="T236" s="38"/>
      <x:c r="U236" s="38"/>
      <x:c r="V236" s="38"/>
      <x:c r="W236" s="38"/>
      <x:c r="X236" s="38"/>
      <x:c r="Y236" s="38"/>
      <x:c r="Z236" s="38"/>
    </x:row>
    <x:row r="237">
      <x:c r="A237" s="38"/>
      <x:c r="B237" s="38"/>
      <x:c r="C237" s="38"/>
      <x:c r="D237" s="38"/>
      <x:c r="E237" s="38"/>
      <x:c r="F237" s="38"/>
      <x:c r="G237" s="38"/>
      <x:c r="H237" s="38"/>
      <x:c r="I237" s="38"/>
      <x:c r="J237" s="38"/>
      <x:c r="K237" s="38"/>
      <x:c r="L237" s="38"/>
      <x:c r="M237" s="38"/>
      <x:c r="N237" s="38"/>
      <x:c r="O237" s="38"/>
      <x:c r="P237" s="38"/>
      <x:c r="Q237" s="38"/>
      <x:c r="R237" s="38"/>
      <x:c r="S237" s="38"/>
      <x:c r="T237" s="38"/>
      <x:c r="U237" s="38"/>
      <x:c r="V237" s="38"/>
      <x:c r="W237" s="38"/>
      <x:c r="X237" s="38"/>
      <x:c r="Y237" s="38"/>
      <x:c r="Z237" s="38"/>
    </x:row>
    <x:row r="238">
      <x:c r="A238" s="38"/>
      <x:c r="B238" s="38"/>
      <x:c r="C238" s="38"/>
      <x:c r="D238" s="38"/>
      <x:c r="E238" s="38"/>
      <x:c r="F238" s="38"/>
      <x:c r="G238" s="38"/>
      <x:c r="H238" s="38"/>
      <x:c r="I238" s="38"/>
      <x:c r="J238" s="38"/>
      <x:c r="K238" s="38"/>
      <x:c r="L238" s="38"/>
      <x:c r="M238" s="38"/>
      <x:c r="N238" s="38"/>
      <x:c r="O238" s="38"/>
      <x:c r="P238" s="38"/>
      <x:c r="Q238" s="38"/>
      <x:c r="R238" s="38"/>
      <x:c r="S238" s="38"/>
      <x:c r="T238" s="38"/>
      <x:c r="U238" s="38"/>
      <x:c r="V238" s="38"/>
      <x:c r="W238" s="38"/>
      <x:c r="X238" s="38"/>
      <x:c r="Y238" s="38"/>
      <x:c r="Z238" s="38"/>
    </x:row>
    <x:row r="239">
      <x:c r="A239" s="38"/>
      <x:c r="B239" s="38"/>
      <x:c r="C239" s="38"/>
      <x:c r="D239" s="38"/>
      <x:c r="E239" s="38"/>
      <x:c r="F239" s="38"/>
      <x:c r="G239" s="38"/>
      <x:c r="H239" s="38"/>
      <x:c r="I239" s="38"/>
      <x:c r="J239" s="38"/>
      <x:c r="K239" s="38"/>
      <x:c r="L239" s="38"/>
      <x:c r="M239" s="38"/>
      <x:c r="N239" s="38"/>
      <x:c r="O239" s="38"/>
      <x:c r="P239" s="38"/>
      <x:c r="Q239" s="38"/>
      <x:c r="R239" s="38"/>
      <x:c r="S239" s="38"/>
      <x:c r="T239" s="38"/>
      <x:c r="U239" s="38"/>
      <x:c r="V239" s="38"/>
      <x:c r="W239" s="38"/>
      <x:c r="X239" s="38"/>
      <x:c r="Y239" s="38"/>
      <x:c r="Z239" s="38"/>
    </x:row>
    <x:row r="240">
      <x:c r="A240" s="38"/>
      <x:c r="B240" s="38"/>
      <x:c r="C240" s="38"/>
      <x:c r="D240" s="38"/>
      <x:c r="E240" s="38"/>
      <x:c r="F240" s="38"/>
      <x:c r="G240" s="38"/>
      <x:c r="H240" s="38"/>
      <x:c r="I240" s="38"/>
      <x:c r="J240" s="38"/>
      <x:c r="K240" s="38"/>
      <x:c r="L240" s="38"/>
      <x:c r="M240" s="38"/>
      <x:c r="N240" s="38"/>
      <x:c r="O240" s="38"/>
      <x:c r="P240" s="38"/>
      <x:c r="Q240" s="38"/>
      <x:c r="R240" s="38"/>
      <x:c r="S240" s="38"/>
      <x:c r="T240" s="38"/>
      <x:c r="U240" s="38"/>
      <x:c r="V240" s="38"/>
      <x:c r="W240" s="38"/>
      <x:c r="X240" s="38"/>
      <x:c r="Y240" s="38"/>
      <x:c r="Z240" s="38"/>
    </x:row>
    <x:row r="241">
      <x:c r="A241" s="38"/>
      <x:c r="B241" s="38"/>
      <x:c r="C241" s="38"/>
      <x:c r="D241" s="38"/>
      <x:c r="E241" s="38"/>
      <x:c r="F241" s="38"/>
      <x:c r="G241" s="38"/>
      <x:c r="H241" s="38"/>
      <x:c r="I241" s="38"/>
      <x:c r="J241" s="38"/>
      <x:c r="K241" s="38"/>
      <x:c r="L241" s="38"/>
      <x:c r="M241" s="38"/>
      <x:c r="N241" s="38"/>
      <x:c r="O241" s="38"/>
      <x:c r="P241" s="38"/>
      <x:c r="Q241" s="38"/>
      <x:c r="R241" s="38"/>
      <x:c r="S241" s="38"/>
      <x:c r="T241" s="38"/>
      <x:c r="U241" s="38"/>
      <x:c r="V241" s="38"/>
      <x:c r="W241" s="38"/>
      <x:c r="X241" s="38"/>
      <x:c r="Y241" s="38"/>
      <x:c r="Z241" s="38"/>
    </x:row>
    <x:row r="242">
      <x:c r="A242" s="38"/>
      <x:c r="B242" s="38"/>
      <x:c r="C242" s="38"/>
      <x:c r="D242" s="38"/>
      <x:c r="E242" s="38"/>
      <x:c r="F242" s="38"/>
      <x:c r="G242" s="38"/>
      <x:c r="H242" s="38"/>
      <x:c r="I242" s="38"/>
      <x:c r="J242" s="38"/>
      <x:c r="K242" s="38"/>
      <x:c r="L242" s="38"/>
      <x:c r="M242" s="38"/>
      <x:c r="N242" s="38"/>
      <x:c r="O242" s="38"/>
      <x:c r="P242" s="38"/>
      <x:c r="Q242" s="38"/>
      <x:c r="R242" s="38"/>
      <x:c r="S242" s="38"/>
      <x:c r="T242" s="38"/>
      <x:c r="U242" s="38"/>
      <x:c r="V242" s="38"/>
      <x:c r="W242" s="38"/>
      <x:c r="X242" s="38"/>
      <x:c r="Y242" s="38"/>
      <x:c r="Z242" s="38"/>
    </x:row>
    <x:row r="243">
      <x:c r="A243" s="38"/>
      <x:c r="B243" s="38"/>
      <x:c r="C243" s="38"/>
      <x:c r="D243" s="38"/>
      <x:c r="E243" s="38"/>
      <x:c r="F243" s="38"/>
      <x:c r="G243" s="38"/>
      <x:c r="H243" s="38"/>
      <x:c r="I243" s="38"/>
      <x:c r="J243" s="38"/>
      <x:c r="K243" s="38"/>
      <x:c r="L243" s="38"/>
      <x:c r="M243" s="38"/>
      <x:c r="N243" s="38"/>
      <x:c r="O243" s="38"/>
      <x:c r="P243" s="38"/>
      <x:c r="Q243" s="38"/>
      <x:c r="R243" s="38"/>
      <x:c r="S243" s="38"/>
      <x:c r="T243" s="38"/>
      <x:c r="U243" s="38"/>
      <x:c r="V243" s="38"/>
      <x:c r="W243" s="38"/>
      <x:c r="X243" s="38"/>
      <x:c r="Y243" s="38"/>
      <x:c r="Z243" s="38"/>
    </x:row>
    <x:row r="244">
      <x:c r="A244" s="38"/>
      <x:c r="B244" s="38"/>
      <x:c r="C244" s="38"/>
      <x:c r="D244" s="38"/>
      <x:c r="E244" s="38"/>
      <x:c r="F244" s="38"/>
      <x:c r="G244" s="38"/>
      <x:c r="H244" s="38"/>
      <x:c r="I244" s="38"/>
      <x:c r="J244" s="38"/>
      <x:c r="K244" s="38"/>
      <x:c r="L244" s="38"/>
      <x:c r="M244" s="38"/>
      <x:c r="N244" s="38"/>
      <x:c r="O244" s="38"/>
      <x:c r="P244" s="38"/>
      <x:c r="Q244" s="38"/>
      <x:c r="R244" s="38"/>
      <x:c r="S244" s="38"/>
      <x:c r="T244" s="38"/>
      <x:c r="U244" s="38"/>
      <x:c r="V244" s="38"/>
      <x:c r="W244" s="38"/>
      <x:c r="X244" s="38"/>
      <x:c r="Y244" s="38"/>
      <x:c r="Z244" s="38"/>
    </x:row>
    <x:row r="245">
      <x:c r="A245" s="38"/>
      <x:c r="B245" s="38"/>
      <x:c r="C245" s="38"/>
      <x:c r="D245" s="38"/>
      <x:c r="E245" s="38"/>
      <x:c r="F245" s="38"/>
      <x:c r="G245" s="38"/>
      <x:c r="H245" s="38"/>
      <x:c r="I245" s="38"/>
      <x:c r="J245" s="38"/>
      <x:c r="K245" s="38"/>
      <x:c r="L245" s="38"/>
      <x:c r="M245" s="38"/>
      <x:c r="N245" s="38"/>
      <x:c r="O245" s="38"/>
      <x:c r="P245" s="38"/>
      <x:c r="Q245" s="38"/>
      <x:c r="R245" s="38"/>
      <x:c r="S245" s="38"/>
      <x:c r="T245" s="38"/>
      <x:c r="U245" s="38"/>
      <x:c r="V245" s="38"/>
      <x:c r="W245" s="38"/>
      <x:c r="X245" s="38"/>
      <x:c r="Y245" s="38"/>
      <x:c r="Z245" s="38"/>
    </x:row>
    <x:row r="246">
      <x:c r="A246" s="38"/>
      <x:c r="B246" s="38"/>
      <x:c r="C246" s="38"/>
      <x:c r="D246" s="38"/>
      <x:c r="E246" s="38"/>
      <x:c r="F246" s="38"/>
      <x:c r="G246" s="38"/>
      <x:c r="H246" s="38"/>
      <x:c r="I246" s="38"/>
      <x:c r="J246" s="38"/>
      <x:c r="K246" s="38"/>
      <x:c r="L246" s="38"/>
      <x:c r="M246" s="38"/>
      <x:c r="N246" s="38"/>
      <x:c r="O246" s="38"/>
      <x:c r="P246" s="38"/>
      <x:c r="Q246" s="38"/>
      <x:c r="R246" s="38"/>
      <x:c r="S246" s="38"/>
      <x:c r="T246" s="38"/>
      <x:c r="U246" s="38"/>
      <x:c r="V246" s="38"/>
      <x:c r="W246" s="38"/>
      <x:c r="X246" s="38"/>
      <x:c r="Y246" s="38"/>
      <x:c r="Z246" s="38"/>
    </x:row>
    <x:row r="247">
      <x:c r="A247" s="38"/>
      <x:c r="B247" s="38"/>
      <x:c r="C247" s="38"/>
      <x:c r="D247" s="38"/>
      <x:c r="E247" s="38"/>
      <x:c r="F247" s="38"/>
      <x:c r="G247" s="38"/>
      <x:c r="H247" s="38"/>
      <x:c r="I247" s="38"/>
      <x:c r="J247" s="38"/>
      <x:c r="K247" s="38"/>
      <x:c r="L247" s="38"/>
      <x:c r="M247" s="38"/>
      <x:c r="N247" s="38"/>
      <x:c r="O247" s="38"/>
      <x:c r="P247" s="38"/>
      <x:c r="Q247" s="38"/>
      <x:c r="R247" s="38"/>
      <x:c r="S247" s="38"/>
      <x:c r="T247" s="38"/>
      <x:c r="U247" s="38"/>
      <x:c r="V247" s="38"/>
      <x:c r="W247" s="38"/>
      <x:c r="X247" s="38"/>
      <x:c r="Y247" s="38"/>
      <x:c r="Z247" s="38"/>
    </x:row>
    <x:row r="248">
      <x:c r="A248" s="38"/>
      <x:c r="B248" s="38"/>
      <x:c r="C248" s="38"/>
      <x:c r="D248" s="38"/>
      <x:c r="E248" s="38"/>
      <x:c r="F248" s="38"/>
      <x:c r="G248" s="38"/>
      <x:c r="H248" s="38"/>
      <x:c r="I248" s="38"/>
      <x:c r="J248" s="38"/>
      <x:c r="K248" s="38"/>
      <x:c r="L248" s="38"/>
      <x:c r="M248" s="38"/>
      <x:c r="N248" s="38"/>
      <x:c r="O248" s="38"/>
      <x:c r="P248" s="38"/>
      <x:c r="Q248" s="38"/>
      <x:c r="R248" s="38"/>
      <x:c r="S248" s="38"/>
      <x:c r="T248" s="38"/>
      <x:c r="U248" s="38"/>
      <x:c r="V248" s="38"/>
      <x:c r="W248" s="38"/>
      <x:c r="X248" s="38"/>
      <x:c r="Y248" s="38"/>
      <x:c r="Z248" s="38"/>
    </x:row>
    <x:row r="249">
      <x:c r="A249" s="38"/>
      <x:c r="B249" s="38"/>
      <x:c r="C249" s="38"/>
      <x:c r="D249" s="38"/>
      <x:c r="E249" s="38"/>
      <x:c r="F249" s="38"/>
      <x:c r="G249" s="38"/>
      <x:c r="H249" s="38"/>
      <x:c r="I249" s="38"/>
      <x:c r="J249" s="38"/>
      <x:c r="K249" s="38"/>
      <x:c r="L249" s="38"/>
      <x:c r="M249" s="38"/>
      <x:c r="N249" s="38"/>
      <x:c r="O249" s="38"/>
      <x:c r="P249" s="38"/>
      <x:c r="Q249" s="38"/>
      <x:c r="R249" s="38"/>
      <x:c r="S249" s="38"/>
      <x:c r="T249" s="38"/>
      <x:c r="U249" s="38"/>
      <x:c r="V249" s="38"/>
      <x:c r="W249" s="38"/>
      <x:c r="X249" s="38"/>
      <x:c r="Y249" s="38"/>
      <x:c r="Z249" s="38"/>
    </x:row>
    <x:row r="250">
      <x:c r="A250" s="38"/>
      <x:c r="B250" s="38"/>
      <x:c r="C250" s="38"/>
      <x:c r="D250" s="38"/>
      <x:c r="E250" s="38"/>
      <x:c r="F250" s="38"/>
      <x:c r="G250" s="38"/>
      <x:c r="H250" s="38"/>
      <x:c r="I250" s="38"/>
      <x:c r="J250" s="38"/>
      <x:c r="K250" s="38"/>
      <x:c r="L250" s="38"/>
      <x:c r="M250" s="38"/>
      <x:c r="N250" s="38"/>
      <x:c r="O250" s="38"/>
      <x:c r="P250" s="38"/>
      <x:c r="Q250" s="38"/>
      <x:c r="R250" s="38"/>
      <x:c r="S250" s="38"/>
      <x:c r="T250" s="38"/>
      <x:c r="U250" s="38"/>
      <x:c r="V250" s="38"/>
      <x:c r="W250" s="38"/>
      <x:c r="X250" s="38"/>
      <x:c r="Y250" s="38"/>
      <x:c r="Z250" s="38"/>
    </x:row>
    <x:row r="251">
      <x:c r="A251" s="38"/>
      <x:c r="B251" s="38"/>
      <x:c r="C251" s="38"/>
      <x:c r="D251" s="38"/>
      <x:c r="E251" s="38"/>
      <x:c r="F251" s="38"/>
      <x:c r="G251" s="38"/>
      <x:c r="H251" s="38"/>
      <x:c r="I251" s="38"/>
      <x:c r="J251" s="38"/>
      <x:c r="K251" s="38"/>
      <x:c r="L251" s="38"/>
      <x:c r="M251" s="38"/>
      <x:c r="N251" s="38"/>
      <x:c r="O251" s="38"/>
      <x:c r="P251" s="38"/>
      <x:c r="Q251" s="38"/>
      <x:c r="R251" s="38"/>
      <x:c r="S251" s="38"/>
      <x:c r="T251" s="38"/>
      <x:c r="U251" s="38"/>
      <x:c r="V251" s="38"/>
      <x:c r="W251" s="38"/>
      <x:c r="X251" s="38"/>
      <x:c r="Y251" s="38"/>
      <x:c r="Z251" s="38"/>
    </x:row>
    <x:row r="252">
      <x:c r="A252" s="38"/>
      <x:c r="B252" s="38"/>
      <x:c r="C252" s="38"/>
      <x:c r="D252" s="38"/>
      <x:c r="E252" s="38"/>
      <x:c r="F252" s="38"/>
      <x:c r="G252" s="38"/>
      <x:c r="H252" s="38"/>
      <x:c r="I252" s="38"/>
      <x:c r="J252" s="38"/>
      <x:c r="K252" s="38"/>
      <x:c r="L252" s="38"/>
      <x:c r="M252" s="38"/>
      <x:c r="N252" s="38"/>
      <x:c r="O252" s="38"/>
      <x:c r="P252" s="38"/>
      <x:c r="Q252" s="38"/>
      <x:c r="R252" s="38"/>
      <x:c r="S252" s="38"/>
      <x:c r="T252" s="38"/>
      <x:c r="U252" s="38"/>
      <x:c r="V252" s="38"/>
      <x:c r="W252" s="38"/>
      <x:c r="X252" s="38"/>
      <x:c r="Y252" s="38"/>
      <x:c r="Z252" s="38"/>
    </x:row>
    <x:row r="253">
      <x:c r="A253" s="38"/>
      <x:c r="B253" s="38"/>
      <x:c r="C253" s="38"/>
      <x:c r="D253" s="38"/>
      <x:c r="E253" s="38"/>
      <x:c r="F253" s="38"/>
      <x:c r="G253" s="38"/>
      <x:c r="H253" s="38"/>
      <x:c r="I253" s="38"/>
      <x:c r="J253" s="38"/>
      <x:c r="K253" s="38"/>
      <x:c r="L253" s="38"/>
      <x:c r="M253" s="38"/>
      <x:c r="N253" s="38"/>
      <x:c r="O253" s="38"/>
      <x:c r="P253" s="38"/>
      <x:c r="Q253" s="38"/>
      <x:c r="R253" s="38"/>
      <x:c r="S253" s="38"/>
      <x:c r="T253" s="38"/>
      <x:c r="U253" s="38"/>
      <x:c r="V253" s="38"/>
      <x:c r="W253" s="38"/>
      <x:c r="X253" s="38"/>
      <x:c r="Y253" s="38"/>
      <x:c r="Z253" s="38"/>
    </x:row>
    <x:row r="254">
      <x:c r="A254" s="38"/>
      <x:c r="B254" s="38"/>
      <x:c r="C254" s="38"/>
      <x:c r="D254" s="38"/>
      <x:c r="E254" s="38"/>
      <x:c r="F254" s="38"/>
      <x:c r="G254" s="38"/>
      <x:c r="H254" s="38"/>
      <x:c r="I254" s="38"/>
      <x:c r="J254" s="38"/>
      <x:c r="K254" s="38"/>
      <x:c r="L254" s="38"/>
      <x:c r="M254" s="38"/>
      <x:c r="N254" s="38"/>
      <x:c r="O254" s="38"/>
      <x:c r="P254" s="38"/>
      <x:c r="Q254" s="38"/>
      <x:c r="R254" s="38"/>
      <x:c r="S254" s="38"/>
      <x:c r="T254" s="38"/>
      <x:c r="U254" s="38"/>
      <x:c r="V254" s="38"/>
      <x:c r="W254" s="38"/>
      <x:c r="X254" s="38"/>
      <x:c r="Y254" s="38"/>
      <x:c r="Z254" s="38"/>
    </x:row>
    <x:row r="255">
      <x:c r="A255" s="38"/>
      <x:c r="B255" s="38"/>
      <x:c r="C255" s="38"/>
      <x:c r="D255" s="38"/>
      <x:c r="E255" s="38"/>
      <x:c r="F255" s="38"/>
      <x:c r="G255" s="38"/>
      <x:c r="H255" s="38"/>
      <x:c r="I255" s="38"/>
      <x:c r="J255" s="38"/>
      <x:c r="K255" s="38"/>
      <x:c r="L255" s="38"/>
      <x:c r="M255" s="38"/>
      <x:c r="N255" s="38"/>
      <x:c r="O255" s="38"/>
      <x:c r="P255" s="38"/>
      <x:c r="Q255" s="38"/>
      <x:c r="R255" s="38"/>
      <x:c r="S255" s="38"/>
      <x:c r="T255" s="38"/>
      <x:c r="U255" s="38"/>
      <x:c r="V255" s="38"/>
      <x:c r="W255" s="38"/>
      <x:c r="X255" s="38"/>
      <x:c r="Y255" s="38"/>
      <x:c r="Z255" s="38"/>
    </x:row>
    <x:row r="256">
      <x:c r="A256" s="38"/>
      <x:c r="B256" s="38"/>
      <x:c r="C256" s="38"/>
      <x:c r="D256" s="38"/>
      <x:c r="E256" s="38"/>
      <x:c r="F256" s="38"/>
      <x:c r="G256" s="38"/>
      <x:c r="H256" s="38"/>
      <x:c r="I256" s="38"/>
      <x:c r="J256" s="38"/>
      <x:c r="K256" s="38"/>
      <x:c r="L256" s="38"/>
      <x:c r="M256" s="38"/>
      <x:c r="N256" s="38"/>
      <x:c r="O256" s="38"/>
      <x:c r="P256" s="38"/>
      <x:c r="Q256" s="38"/>
      <x:c r="R256" s="38"/>
      <x:c r="S256" s="38"/>
      <x:c r="T256" s="38"/>
      <x:c r="U256" s="38"/>
      <x:c r="V256" s="38"/>
      <x:c r="W256" s="38"/>
      <x:c r="X256" s="38"/>
      <x:c r="Y256" s="38"/>
      <x:c r="Z256" s="38"/>
    </x:row>
    <x:row r="257">
      <x:c r="A257" s="38"/>
      <x:c r="B257" s="38"/>
      <x:c r="C257" s="38"/>
      <x:c r="D257" s="38"/>
      <x:c r="E257" s="38"/>
      <x:c r="F257" s="38"/>
      <x:c r="G257" s="38"/>
      <x:c r="H257" s="38"/>
      <x:c r="I257" s="38"/>
      <x:c r="J257" s="38"/>
      <x:c r="K257" s="38"/>
      <x:c r="L257" s="38"/>
      <x:c r="M257" s="38"/>
      <x:c r="N257" s="38"/>
      <x:c r="O257" s="38"/>
      <x:c r="P257" s="38"/>
      <x:c r="Q257" s="38"/>
      <x:c r="R257" s="38"/>
      <x:c r="S257" s="38"/>
      <x:c r="T257" s="38"/>
      <x:c r="U257" s="38"/>
      <x:c r="V257" s="38"/>
      <x:c r="W257" s="38"/>
      <x:c r="X257" s="38"/>
      <x:c r="Y257" s="38"/>
      <x:c r="Z257" s="38"/>
    </x:row>
    <x:row r="258">
      <x:c r="A258" s="38"/>
      <x:c r="B258" s="38"/>
      <x:c r="C258" s="38"/>
      <x:c r="D258" s="38"/>
      <x:c r="E258" s="38"/>
      <x:c r="F258" s="38"/>
      <x:c r="G258" s="38"/>
      <x:c r="H258" s="38"/>
      <x:c r="I258" s="38"/>
      <x:c r="J258" s="38"/>
      <x:c r="K258" s="38"/>
      <x:c r="L258" s="38"/>
      <x:c r="M258" s="38"/>
      <x:c r="N258" s="38"/>
      <x:c r="O258" s="38"/>
      <x:c r="P258" s="38"/>
      <x:c r="Q258" s="38"/>
      <x:c r="R258" s="38"/>
      <x:c r="S258" s="38"/>
      <x:c r="T258" s="38"/>
      <x:c r="U258" s="38"/>
      <x:c r="V258" s="38"/>
      <x:c r="W258" s="38"/>
      <x:c r="X258" s="38"/>
      <x:c r="Y258" s="38"/>
      <x:c r="Z258" s="38"/>
    </x:row>
    <x:row r="259">
      <x:c r="A259" s="38"/>
      <x:c r="B259" s="38"/>
      <x:c r="C259" s="38"/>
      <x:c r="D259" s="38"/>
      <x:c r="E259" s="38"/>
      <x:c r="F259" s="38"/>
      <x:c r="G259" s="38"/>
      <x:c r="H259" s="38"/>
      <x:c r="I259" s="38"/>
      <x:c r="J259" s="38"/>
      <x:c r="K259" s="38"/>
      <x:c r="L259" s="38"/>
      <x:c r="M259" s="38"/>
      <x:c r="N259" s="38"/>
      <x:c r="O259" s="38"/>
      <x:c r="P259" s="38"/>
      <x:c r="Q259" s="38"/>
      <x:c r="R259" s="38"/>
      <x:c r="S259" s="38"/>
      <x:c r="T259" s="38"/>
      <x:c r="U259" s="38"/>
      <x:c r="V259" s="38"/>
      <x:c r="W259" s="38"/>
      <x:c r="X259" s="38"/>
      <x:c r="Y259" s="38"/>
      <x:c r="Z259" s="38"/>
    </x:row>
    <x:row r="260">
      <x:c r="A260" s="38"/>
      <x:c r="B260" s="38"/>
      <x:c r="C260" s="38"/>
      <x:c r="D260" s="38"/>
      <x:c r="E260" s="38"/>
      <x:c r="F260" s="38"/>
      <x:c r="G260" s="38"/>
      <x:c r="H260" s="38"/>
      <x:c r="I260" s="38"/>
      <x:c r="J260" s="38"/>
      <x:c r="K260" s="38"/>
      <x:c r="L260" s="38"/>
      <x:c r="M260" s="38"/>
      <x:c r="N260" s="38"/>
      <x:c r="O260" s="38"/>
      <x:c r="P260" s="38"/>
      <x:c r="Q260" s="38"/>
      <x:c r="R260" s="38"/>
      <x:c r="S260" s="38"/>
      <x:c r="T260" s="38"/>
      <x:c r="U260" s="38"/>
      <x:c r="V260" s="38"/>
      <x:c r="W260" s="38"/>
      <x:c r="X260" s="38"/>
      <x:c r="Y260" s="38"/>
      <x:c r="Z260" s="38"/>
    </x:row>
    <x:row r="261">
      <x:c r="A261" s="38"/>
      <x:c r="B261" s="38"/>
      <x:c r="C261" s="38"/>
      <x:c r="D261" s="38"/>
      <x:c r="E261" s="38"/>
      <x:c r="F261" s="38"/>
      <x:c r="G261" s="38"/>
      <x:c r="H261" s="38"/>
      <x:c r="I261" s="38"/>
      <x:c r="J261" s="38"/>
      <x:c r="K261" s="38"/>
      <x:c r="L261" s="38"/>
      <x:c r="M261" s="38"/>
      <x:c r="N261" s="38"/>
      <x:c r="O261" s="38"/>
      <x:c r="P261" s="38"/>
      <x:c r="Q261" s="38"/>
      <x:c r="R261" s="38"/>
      <x:c r="S261" s="38"/>
      <x:c r="T261" s="38"/>
      <x:c r="U261" s="38"/>
      <x:c r="V261" s="38"/>
      <x:c r="W261" s="38"/>
      <x:c r="X261" s="38"/>
      <x:c r="Y261" s="38"/>
      <x:c r="Z261" s="38"/>
    </x:row>
    <x:row r="262">
      <x:c r="A262" s="38"/>
      <x:c r="B262" s="38"/>
      <x:c r="C262" s="38"/>
      <x:c r="D262" s="38"/>
      <x:c r="E262" s="38"/>
      <x:c r="F262" s="38"/>
      <x:c r="G262" s="38"/>
      <x:c r="H262" s="38"/>
      <x:c r="I262" s="38"/>
      <x:c r="J262" s="38"/>
      <x:c r="K262" s="38"/>
      <x:c r="L262" s="38"/>
      <x:c r="M262" s="38"/>
      <x:c r="N262" s="38"/>
      <x:c r="O262" s="38"/>
      <x:c r="P262" s="38"/>
      <x:c r="Q262" s="38"/>
      <x:c r="R262" s="38"/>
      <x:c r="S262" s="38"/>
      <x:c r="T262" s="38"/>
      <x:c r="U262" s="38"/>
      <x:c r="V262" s="38"/>
      <x:c r="W262" s="38"/>
      <x:c r="X262" s="38"/>
      <x:c r="Y262" s="38"/>
      <x:c r="Z262" s="38"/>
    </x:row>
    <x:row r="263">
      <x:c r="A263" s="38"/>
      <x:c r="B263" s="38"/>
      <x:c r="C263" s="38"/>
      <x:c r="D263" s="38"/>
      <x:c r="E263" s="38"/>
      <x:c r="F263" s="38"/>
      <x:c r="G263" s="38"/>
      <x:c r="H263" s="38"/>
      <x:c r="I263" s="38"/>
      <x:c r="J263" s="38"/>
      <x:c r="K263" s="38"/>
      <x:c r="L263" s="38"/>
      <x:c r="M263" s="38"/>
      <x:c r="N263" s="38"/>
      <x:c r="O263" s="38"/>
      <x:c r="P263" s="38"/>
      <x:c r="Q263" s="38"/>
      <x:c r="R263" s="38"/>
      <x:c r="S263" s="38"/>
      <x:c r="T263" s="38"/>
      <x:c r="U263" s="38"/>
      <x:c r="V263" s="38"/>
      <x:c r="W263" s="38"/>
      <x:c r="X263" s="38"/>
      <x:c r="Y263" s="38"/>
      <x:c r="Z263" s="38"/>
    </x:row>
    <x:row r="264">
      <x:c r="A264" s="38"/>
      <x:c r="B264" s="38"/>
      <x:c r="C264" s="38"/>
      <x:c r="D264" s="38"/>
      <x:c r="E264" s="38"/>
      <x:c r="F264" s="38"/>
      <x:c r="G264" s="38"/>
      <x:c r="H264" s="38"/>
      <x:c r="I264" s="38"/>
      <x:c r="J264" s="38"/>
      <x:c r="K264" s="38"/>
      <x:c r="L264" s="38"/>
      <x:c r="M264" s="38"/>
      <x:c r="N264" s="38"/>
      <x:c r="O264" s="38"/>
      <x:c r="P264" s="38"/>
      <x:c r="Q264" s="38"/>
      <x:c r="R264" s="38"/>
      <x:c r="S264" s="38"/>
      <x:c r="T264" s="38"/>
      <x:c r="U264" s="38"/>
      <x:c r="V264" s="38"/>
      <x:c r="W264" s="38"/>
      <x:c r="X264" s="38"/>
      <x:c r="Y264" s="38"/>
      <x:c r="Z264" s="38"/>
    </x:row>
    <x:row r="265">
      <x:c r="A265" s="38"/>
      <x:c r="B265" s="38"/>
      <x:c r="C265" s="38"/>
      <x:c r="D265" s="38"/>
      <x:c r="E265" s="38"/>
      <x:c r="F265" s="38"/>
      <x:c r="G265" s="38"/>
      <x:c r="H265" s="38"/>
      <x:c r="I265" s="38"/>
      <x:c r="J265" s="38"/>
      <x:c r="K265" s="38"/>
      <x:c r="L265" s="38"/>
      <x:c r="M265" s="38"/>
      <x:c r="N265" s="38"/>
      <x:c r="O265" s="38"/>
      <x:c r="P265" s="38"/>
      <x:c r="Q265" s="38"/>
      <x:c r="R265" s="38"/>
      <x:c r="S265" s="38"/>
      <x:c r="T265" s="38"/>
      <x:c r="U265" s="38"/>
      <x:c r="V265" s="38"/>
      <x:c r="W265" s="38"/>
      <x:c r="X265" s="38"/>
      <x:c r="Y265" s="38"/>
      <x:c r="Z265" s="38"/>
    </x:row>
    <x:row r="266">
      <x:c r="A266" s="38"/>
      <x:c r="B266" s="38"/>
      <x:c r="C266" s="38"/>
      <x:c r="D266" s="38"/>
      <x:c r="E266" s="38"/>
      <x:c r="F266" s="38"/>
      <x:c r="G266" s="38"/>
      <x:c r="H266" s="38"/>
      <x:c r="I266" s="38"/>
      <x:c r="J266" s="38"/>
      <x:c r="K266" s="38"/>
      <x:c r="L266" s="38"/>
      <x:c r="M266" s="38"/>
      <x:c r="N266" s="38"/>
      <x:c r="O266" s="38"/>
      <x:c r="P266" s="38"/>
      <x:c r="Q266" s="38"/>
      <x:c r="R266" s="38"/>
      <x:c r="S266" s="38"/>
      <x:c r="T266" s="38"/>
      <x:c r="U266" s="38"/>
      <x:c r="V266" s="38"/>
      <x:c r="W266" s="38"/>
      <x:c r="X266" s="38"/>
      <x:c r="Y266" s="38"/>
      <x:c r="Z266" s="38"/>
    </x:row>
    <x:row r="267">
      <x:c r="A267" s="38"/>
      <x:c r="B267" s="38"/>
      <x:c r="C267" s="38"/>
      <x:c r="D267" s="38"/>
      <x:c r="E267" s="38"/>
      <x:c r="F267" s="38"/>
      <x:c r="G267" s="38"/>
      <x:c r="H267" s="38"/>
      <x:c r="I267" s="38"/>
      <x:c r="J267" s="38"/>
      <x:c r="K267" s="38"/>
      <x:c r="L267" s="38"/>
      <x:c r="M267" s="38"/>
      <x:c r="N267" s="38"/>
      <x:c r="O267" s="38"/>
      <x:c r="P267" s="38"/>
      <x:c r="Q267" s="38"/>
      <x:c r="R267" s="38"/>
      <x:c r="S267" s="38"/>
      <x:c r="T267" s="38"/>
      <x:c r="U267" s="38"/>
      <x:c r="V267" s="38"/>
      <x:c r="W267" s="38"/>
      <x:c r="X267" s="38"/>
      <x:c r="Y267" s="38"/>
      <x:c r="Z267" s="38"/>
    </x:row>
    <x:row r="268">
      <x:c r="A268" s="38"/>
      <x:c r="B268" s="38"/>
      <x:c r="C268" s="38"/>
      <x:c r="D268" s="38"/>
      <x:c r="E268" s="38"/>
      <x:c r="F268" s="38"/>
      <x:c r="G268" s="38"/>
      <x:c r="H268" s="38"/>
      <x:c r="I268" s="38"/>
      <x:c r="J268" s="38"/>
      <x:c r="K268" s="38"/>
      <x:c r="L268" s="38"/>
      <x:c r="M268" s="38"/>
      <x:c r="N268" s="38"/>
      <x:c r="O268" s="38"/>
      <x:c r="P268" s="38"/>
      <x:c r="Q268" s="38"/>
      <x:c r="R268" s="38"/>
      <x:c r="S268" s="38"/>
      <x:c r="T268" s="38"/>
      <x:c r="U268" s="38"/>
      <x:c r="V268" s="38"/>
      <x:c r="W268" s="38"/>
      <x:c r="X268" s="38"/>
      <x:c r="Y268" s="38"/>
      <x:c r="Z268" s="38"/>
    </x:row>
    <x:row r="269">
      <x:c r="A269" s="38"/>
      <x:c r="B269" s="38"/>
      <x:c r="C269" s="38"/>
      <x:c r="D269" s="38"/>
      <x:c r="E269" s="38"/>
      <x:c r="F269" s="38"/>
      <x:c r="G269" s="38"/>
      <x:c r="H269" s="38"/>
      <x:c r="I269" s="38"/>
      <x:c r="J269" s="38"/>
      <x:c r="K269" s="38"/>
      <x:c r="L269" s="38"/>
      <x:c r="M269" s="38"/>
      <x:c r="N269" s="38"/>
      <x:c r="O269" s="38"/>
      <x:c r="P269" s="38"/>
      <x:c r="Q269" s="38"/>
      <x:c r="R269" s="38"/>
      <x:c r="S269" s="38"/>
      <x:c r="T269" s="38"/>
      <x:c r="U269" s="38"/>
      <x:c r="V269" s="38"/>
      <x:c r="W269" s="38"/>
      <x:c r="X269" s="38"/>
      <x:c r="Y269" s="38"/>
      <x:c r="Z269" s="38"/>
    </x:row>
    <x:row r="270">
      <x:c r="A270" s="38"/>
      <x:c r="B270" s="38"/>
      <x:c r="C270" s="38"/>
      <x:c r="D270" s="38"/>
      <x:c r="E270" s="38"/>
      <x:c r="F270" s="38"/>
      <x:c r="G270" s="38"/>
      <x:c r="H270" s="38"/>
      <x:c r="I270" s="38"/>
      <x:c r="J270" s="38"/>
      <x:c r="K270" s="38"/>
      <x:c r="L270" s="38"/>
      <x:c r="M270" s="38"/>
      <x:c r="N270" s="38"/>
      <x:c r="O270" s="38"/>
      <x:c r="P270" s="38"/>
      <x:c r="Q270" s="38"/>
      <x:c r="R270" s="38"/>
      <x:c r="S270" s="38"/>
      <x:c r="T270" s="38"/>
      <x:c r="U270" s="38"/>
      <x:c r="V270" s="38"/>
      <x:c r="W270" s="38"/>
      <x:c r="X270" s="38"/>
      <x:c r="Y270" s="38"/>
      <x:c r="Z270" s="38"/>
    </x:row>
    <x:row r="271">
      <x:c r="A271" s="38"/>
      <x:c r="B271" s="38"/>
      <x:c r="C271" s="38"/>
      <x:c r="D271" s="38"/>
      <x:c r="E271" s="38"/>
      <x:c r="F271" s="38"/>
      <x:c r="G271" s="38"/>
      <x:c r="H271" s="38"/>
      <x:c r="I271" s="38"/>
      <x:c r="J271" s="38"/>
      <x:c r="K271" s="38"/>
      <x:c r="L271" s="38"/>
      <x:c r="M271" s="38"/>
      <x:c r="N271" s="38"/>
      <x:c r="O271" s="38"/>
      <x:c r="P271" s="38"/>
      <x:c r="Q271" s="38"/>
      <x:c r="R271" s="38"/>
      <x:c r="S271" s="38"/>
      <x:c r="T271" s="38"/>
      <x:c r="U271" s="38"/>
      <x:c r="V271" s="38"/>
      <x:c r="W271" s="38"/>
      <x:c r="X271" s="38"/>
      <x:c r="Y271" s="38"/>
      <x:c r="Z271" s="38"/>
    </x:row>
    <x:row r="272">
      <x:c r="A272" s="38"/>
      <x:c r="B272" s="38"/>
      <x:c r="C272" s="38"/>
      <x:c r="D272" s="38"/>
      <x:c r="E272" s="38"/>
      <x:c r="F272" s="38"/>
      <x:c r="G272" s="38"/>
      <x:c r="H272" s="38"/>
      <x:c r="I272" s="38"/>
      <x:c r="J272" s="38"/>
      <x:c r="K272" s="38"/>
      <x:c r="L272" s="38"/>
      <x:c r="M272" s="38"/>
      <x:c r="N272" s="38"/>
      <x:c r="O272" s="38"/>
      <x:c r="P272" s="38"/>
      <x:c r="Q272" s="38"/>
      <x:c r="R272" s="38"/>
      <x:c r="S272" s="38"/>
      <x:c r="T272" s="38"/>
      <x:c r="U272" s="38"/>
      <x:c r="V272" s="38"/>
      <x:c r="W272" s="38"/>
      <x:c r="X272" s="38"/>
      <x:c r="Y272" s="38"/>
      <x:c r="Z272" s="38"/>
    </x:row>
    <x:row r="273">
      <x:c r="A273" s="38"/>
      <x:c r="B273" s="38"/>
      <x:c r="C273" s="38"/>
      <x:c r="D273" s="38"/>
      <x:c r="E273" s="38"/>
      <x:c r="F273" s="38"/>
      <x:c r="G273" s="38"/>
      <x:c r="H273" s="38"/>
      <x:c r="I273" s="38"/>
      <x:c r="J273" s="38"/>
      <x:c r="K273" s="38"/>
      <x:c r="L273" s="38"/>
      <x:c r="M273" s="38"/>
      <x:c r="N273" s="38"/>
      <x:c r="O273" s="38"/>
      <x:c r="P273" s="38"/>
      <x:c r="Q273" s="38"/>
      <x:c r="R273" s="38"/>
      <x:c r="S273" s="38"/>
      <x:c r="T273" s="38"/>
      <x:c r="U273" s="38"/>
      <x:c r="V273" s="38"/>
      <x:c r="W273" s="38"/>
      <x:c r="X273" s="38"/>
      <x:c r="Y273" s="38"/>
      <x:c r="Z273" s="38"/>
    </x:row>
    <x:row r="274">
      <x:c r="A274" s="38"/>
      <x:c r="B274" s="38"/>
      <x:c r="C274" s="38"/>
      <x:c r="D274" s="38"/>
      <x:c r="E274" s="38"/>
      <x:c r="F274" s="38"/>
      <x:c r="G274" s="38"/>
      <x:c r="H274" s="38"/>
      <x:c r="I274" s="38"/>
      <x:c r="J274" s="38"/>
      <x:c r="K274" s="38"/>
      <x:c r="L274" s="38"/>
      <x:c r="M274" s="38"/>
      <x:c r="N274" s="38"/>
      <x:c r="O274" s="38"/>
      <x:c r="P274" s="38"/>
      <x:c r="Q274" s="38"/>
      <x:c r="R274" s="38"/>
      <x:c r="S274" s="38"/>
      <x:c r="T274" s="38"/>
      <x:c r="U274" s="38"/>
      <x:c r="V274" s="38"/>
      <x:c r="W274" s="38"/>
      <x:c r="X274" s="38"/>
      <x:c r="Y274" s="38"/>
      <x:c r="Z274" s="38"/>
    </x:row>
    <x:row r="275">
      <x:c r="A275" s="38"/>
      <x:c r="B275" s="38"/>
      <x:c r="C275" s="38"/>
      <x:c r="D275" s="38"/>
      <x:c r="E275" s="38"/>
      <x:c r="F275" s="38"/>
      <x:c r="G275" s="38"/>
      <x:c r="H275" s="38"/>
      <x:c r="I275" s="38"/>
      <x:c r="J275" s="38"/>
      <x:c r="K275" s="38"/>
      <x:c r="L275" s="38"/>
      <x:c r="M275" s="38"/>
      <x:c r="N275" s="38"/>
      <x:c r="O275" s="38"/>
      <x:c r="P275" s="38"/>
      <x:c r="Q275" s="38"/>
      <x:c r="R275" s="38"/>
      <x:c r="S275" s="38"/>
      <x:c r="T275" s="38"/>
      <x:c r="U275" s="38"/>
      <x:c r="V275" s="38"/>
      <x:c r="W275" s="38"/>
      <x:c r="X275" s="38"/>
      <x:c r="Y275" s="38"/>
      <x:c r="Z275" s="38"/>
    </x:row>
    <x:row r="276">
      <x:c r="A276" s="38"/>
      <x:c r="B276" s="38"/>
      <x:c r="C276" s="38"/>
      <x:c r="D276" s="38"/>
      <x:c r="E276" s="38"/>
      <x:c r="F276" s="38"/>
      <x:c r="G276" s="38"/>
      <x:c r="H276" s="38"/>
      <x:c r="I276" s="38"/>
      <x:c r="J276" s="38"/>
      <x:c r="K276" s="38"/>
      <x:c r="L276" s="38"/>
      <x:c r="M276" s="38"/>
      <x:c r="N276" s="38"/>
      <x:c r="O276" s="38"/>
      <x:c r="P276" s="38"/>
      <x:c r="Q276" s="38"/>
      <x:c r="R276" s="38"/>
      <x:c r="S276" s="38"/>
      <x:c r="T276" s="38"/>
      <x:c r="U276" s="38"/>
      <x:c r="V276" s="38"/>
      <x:c r="W276" s="38"/>
      <x:c r="X276" s="38"/>
      <x:c r="Y276" s="38"/>
      <x:c r="Z276" s="38"/>
    </x:row>
    <x:row r="277">
      <x:c r="A277" s="38"/>
      <x:c r="B277" s="38"/>
      <x:c r="C277" s="38"/>
      <x:c r="D277" s="38"/>
      <x:c r="E277" s="38"/>
      <x:c r="F277" s="38"/>
      <x:c r="G277" s="38"/>
      <x:c r="H277" s="38"/>
      <x:c r="I277" s="38"/>
      <x:c r="J277" s="38"/>
      <x:c r="K277" s="38"/>
      <x:c r="L277" s="38"/>
      <x:c r="M277" s="38"/>
      <x:c r="N277" s="38"/>
      <x:c r="O277" s="38"/>
      <x:c r="P277" s="38"/>
      <x:c r="Q277" s="38"/>
      <x:c r="R277" s="38"/>
      <x:c r="S277" s="38"/>
      <x:c r="T277" s="38"/>
      <x:c r="U277" s="38"/>
      <x:c r="V277" s="38"/>
      <x:c r="W277" s="38"/>
      <x:c r="X277" s="38"/>
      <x:c r="Y277" s="38"/>
      <x:c r="Z277" s="38"/>
    </x:row>
    <x:row r="278">
      <x:c r="A278" s="38"/>
      <x:c r="B278" s="38"/>
      <x:c r="C278" s="38"/>
      <x:c r="D278" s="38"/>
      <x:c r="E278" s="38"/>
      <x:c r="F278" s="38"/>
      <x:c r="G278" s="38"/>
      <x:c r="H278" s="38"/>
      <x:c r="I278" s="38"/>
      <x:c r="J278" s="38"/>
      <x:c r="K278" s="38"/>
      <x:c r="L278" s="38"/>
      <x:c r="M278" s="38"/>
      <x:c r="N278" s="38"/>
      <x:c r="O278" s="38"/>
      <x:c r="P278" s="38"/>
      <x:c r="Q278" s="38"/>
      <x:c r="R278" s="38"/>
      <x:c r="S278" s="38"/>
      <x:c r="T278" s="38"/>
      <x:c r="U278" s="38"/>
      <x:c r="V278" s="38"/>
      <x:c r="W278" s="38"/>
      <x:c r="X278" s="38"/>
      <x:c r="Y278" s="38"/>
      <x:c r="Z278" s="38"/>
    </x:row>
    <x:row r="279">
      <x:c r="A279" s="38"/>
      <x:c r="B279" s="38"/>
      <x:c r="C279" s="38"/>
      <x:c r="D279" s="38"/>
      <x:c r="E279" s="38"/>
      <x:c r="F279" s="38"/>
      <x:c r="G279" s="38"/>
      <x:c r="H279" s="38"/>
      <x:c r="I279" s="38"/>
      <x:c r="J279" s="38"/>
      <x:c r="K279" s="38"/>
      <x:c r="L279" s="38"/>
      <x:c r="M279" s="38"/>
      <x:c r="N279" s="38"/>
      <x:c r="O279" s="38"/>
      <x:c r="P279" s="38"/>
      <x:c r="Q279" s="38"/>
      <x:c r="R279" s="38"/>
      <x:c r="S279" s="38"/>
      <x:c r="T279" s="38"/>
      <x:c r="U279" s="38"/>
      <x:c r="V279" s="38"/>
      <x:c r="W279" s="38"/>
      <x:c r="X279" s="38"/>
      <x:c r="Y279" s="38"/>
      <x:c r="Z279" s="38"/>
    </x:row>
    <x:row r="280">
      <x:c r="A280" s="38"/>
      <x:c r="B280" s="38"/>
      <x:c r="C280" s="38"/>
      <x:c r="D280" s="38"/>
      <x:c r="E280" s="38"/>
      <x:c r="F280" s="38"/>
      <x:c r="G280" s="38"/>
      <x:c r="H280" s="38"/>
      <x:c r="I280" s="38"/>
      <x:c r="J280" s="38"/>
      <x:c r="K280" s="38"/>
      <x:c r="L280" s="38"/>
      <x:c r="M280" s="38"/>
      <x:c r="N280" s="38"/>
      <x:c r="O280" s="38"/>
      <x:c r="P280" s="38"/>
      <x:c r="Q280" s="38"/>
      <x:c r="R280" s="38"/>
      <x:c r="S280" s="38"/>
      <x:c r="T280" s="38"/>
      <x:c r="U280" s="38"/>
      <x:c r="V280" s="38"/>
      <x:c r="W280" s="38"/>
      <x:c r="X280" s="38"/>
      <x:c r="Y280" s="38"/>
      <x:c r="Z280" s="38"/>
    </x:row>
    <x:row r="281">
      <x:c r="A281" s="38"/>
      <x:c r="B281" s="38"/>
      <x:c r="C281" s="38"/>
      <x:c r="D281" s="38"/>
      <x:c r="E281" s="38"/>
      <x:c r="F281" s="38"/>
      <x:c r="G281" s="38"/>
      <x:c r="H281" s="38"/>
      <x:c r="I281" s="38"/>
      <x:c r="J281" s="38"/>
      <x:c r="K281" s="38"/>
      <x:c r="L281" s="38"/>
      <x:c r="M281" s="38"/>
      <x:c r="N281" s="38"/>
      <x:c r="O281" s="38"/>
      <x:c r="P281" s="38"/>
      <x:c r="Q281" s="38"/>
      <x:c r="R281" s="38"/>
      <x:c r="S281" s="38"/>
      <x:c r="T281" s="38"/>
      <x:c r="U281" s="38"/>
      <x:c r="V281" s="38"/>
      <x:c r="W281" s="38"/>
      <x:c r="X281" s="38"/>
      <x:c r="Y281" s="38"/>
      <x:c r="Z281" s="38"/>
    </x:row>
    <x:row r="282">
      <x:c r="A282" s="38"/>
      <x:c r="B282" s="38"/>
      <x:c r="C282" s="38"/>
      <x:c r="D282" s="38"/>
      <x:c r="E282" s="38"/>
      <x:c r="F282" s="38"/>
      <x:c r="G282" s="38"/>
      <x:c r="H282" s="38"/>
      <x:c r="I282" s="38"/>
      <x:c r="J282" s="38"/>
      <x:c r="K282" s="38"/>
      <x:c r="L282" s="38"/>
      <x:c r="M282" s="38"/>
      <x:c r="N282" s="38"/>
      <x:c r="O282" s="38"/>
      <x:c r="P282" s="38"/>
      <x:c r="Q282" s="38"/>
      <x:c r="R282" s="38"/>
      <x:c r="S282" s="38"/>
      <x:c r="T282" s="38"/>
      <x:c r="U282" s="38"/>
      <x:c r="V282" s="38"/>
      <x:c r="W282" s="38"/>
      <x:c r="X282" s="38"/>
      <x:c r="Y282" s="38"/>
      <x:c r="Z282" s="38"/>
    </x:row>
    <x:row r="283">
      <x:c r="A283" s="38"/>
      <x:c r="B283" s="38"/>
      <x:c r="C283" s="38"/>
      <x:c r="D283" s="38"/>
      <x:c r="E283" s="38"/>
      <x:c r="F283" s="38"/>
      <x:c r="G283" s="38"/>
      <x:c r="H283" s="38"/>
      <x:c r="I283" s="38"/>
      <x:c r="J283" s="38"/>
      <x:c r="K283" s="38"/>
      <x:c r="L283" s="38"/>
      <x:c r="M283" s="38"/>
      <x:c r="N283" s="38"/>
      <x:c r="O283" s="38"/>
      <x:c r="P283" s="38"/>
      <x:c r="Q283" s="38"/>
      <x:c r="R283" s="38"/>
      <x:c r="S283" s="38"/>
      <x:c r="T283" s="38"/>
      <x:c r="U283" s="38"/>
      <x:c r="V283" s="38"/>
      <x:c r="W283" s="38"/>
      <x:c r="X283" s="38"/>
      <x:c r="Y283" s="38"/>
      <x:c r="Z283" s="38"/>
    </x:row>
    <x:row r="284">
      <x:c r="A284" s="38"/>
      <x:c r="B284" s="38"/>
      <x:c r="C284" s="38"/>
      <x:c r="D284" s="38"/>
      <x:c r="E284" s="38"/>
      <x:c r="F284" s="38"/>
      <x:c r="G284" s="38"/>
      <x:c r="H284" s="38"/>
      <x:c r="I284" s="38"/>
      <x:c r="J284" s="38"/>
      <x:c r="K284" s="38"/>
      <x:c r="L284" s="38"/>
      <x:c r="M284" s="38"/>
      <x:c r="N284" s="38"/>
      <x:c r="O284" s="38"/>
      <x:c r="P284" s="38"/>
      <x:c r="Q284" s="38"/>
      <x:c r="R284" s="38"/>
      <x:c r="S284" s="38"/>
      <x:c r="T284" s="38"/>
      <x:c r="U284" s="38"/>
      <x:c r="V284" s="38"/>
      <x:c r="W284" s="38"/>
      <x:c r="X284" s="38"/>
      <x:c r="Y284" s="38"/>
      <x:c r="Z284" s="38"/>
    </x:row>
    <x:row r="285">
      <x:c r="A285" s="38"/>
      <x:c r="B285" s="38"/>
      <x:c r="C285" s="38"/>
      <x:c r="D285" s="38"/>
      <x:c r="E285" s="38"/>
      <x:c r="F285" s="38"/>
      <x:c r="G285" s="38"/>
      <x:c r="H285" s="38"/>
      <x:c r="I285" s="38"/>
      <x:c r="J285" s="38"/>
      <x:c r="K285" s="38"/>
      <x:c r="L285" s="38"/>
      <x:c r="M285" s="38"/>
      <x:c r="N285" s="38"/>
      <x:c r="O285" s="38"/>
      <x:c r="P285" s="38"/>
      <x:c r="Q285" s="38"/>
      <x:c r="R285" s="38"/>
      <x:c r="S285" s="38"/>
      <x:c r="T285" s="38"/>
      <x:c r="U285" s="38"/>
      <x:c r="V285" s="38"/>
      <x:c r="W285" s="38"/>
      <x:c r="X285" s="38"/>
      <x:c r="Y285" s="38"/>
      <x:c r="Z285" s="38"/>
    </x:row>
    <x:row r="286">
      <x:c r="A286" s="38"/>
      <x:c r="B286" s="38"/>
      <x:c r="C286" s="38"/>
      <x:c r="D286" s="38"/>
      <x:c r="E286" s="38"/>
      <x:c r="F286" s="38"/>
      <x:c r="G286" s="38"/>
      <x:c r="H286" s="38"/>
      <x:c r="I286" s="38"/>
      <x:c r="J286" s="38"/>
      <x:c r="K286" s="38"/>
      <x:c r="L286" s="38"/>
      <x:c r="M286" s="38"/>
      <x:c r="N286" s="38"/>
      <x:c r="O286" s="38"/>
      <x:c r="P286" s="38"/>
      <x:c r="Q286" s="38"/>
      <x:c r="R286" s="38"/>
      <x:c r="S286" s="38"/>
      <x:c r="T286" s="38"/>
      <x:c r="U286" s="38"/>
      <x:c r="V286" s="38"/>
      <x:c r="W286" s="38"/>
      <x:c r="X286" s="38"/>
      <x:c r="Y286" s="38"/>
      <x:c r="Z286" s="38"/>
    </x:row>
    <x:row r="287">
      <x:c r="A287" s="38"/>
      <x:c r="B287" s="38"/>
      <x:c r="C287" s="38"/>
      <x:c r="D287" s="38"/>
      <x:c r="E287" s="38"/>
      <x:c r="F287" s="38"/>
      <x:c r="G287" s="38"/>
      <x:c r="H287" s="38"/>
      <x:c r="I287" s="38"/>
      <x:c r="J287" s="38"/>
      <x:c r="K287" s="38"/>
      <x:c r="L287" s="38"/>
      <x:c r="M287" s="38"/>
      <x:c r="N287" s="38"/>
      <x:c r="O287" s="38"/>
      <x:c r="P287" s="38"/>
      <x:c r="Q287" s="38"/>
      <x:c r="R287" s="38"/>
      <x:c r="S287" s="38"/>
      <x:c r="T287" s="38"/>
      <x:c r="U287" s="38"/>
      <x:c r="V287" s="38"/>
      <x:c r="W287" s="38"/>
      <x:c r="X287" s="38"/>
      <x:c r="Y287" s="38"/>
      <x:c r="Z287" s="38"/>
    </x:row>
    <x:row r="288">
      <x:c r="A288" s="38"/>
      <x:c r="B288" s="38"/>
      <x:c r="C288" s="38"/>
      <x:c r="D288" s="38"/>
      <x:c r="E288" s="38"/>
      <x:c r="F288" s="38"/>
      <x:c r="G288" s="38"/>
      <x:c r="H288" s="38"/>
      <x:c r="I288" s="38"/>
      <x:c r="J288" s="38"/>
      <x:c r="K288" s="38"/>
      <x:c r="L288" s="38"/>
      <x:c r="M288" s="38"/>
      <x:c r="N288" s="38"/>
      <x:c r="O288" s="38"/>
      <x:c r="P288" s="38"/>
      <x:c r="Q288" s="38"/>
      <x:c r="R288" s="38"/>
      <x:c r="S288" s="38"/>
      <x:c r="T288" s="38"/>
      <x:c r="U288" s="38"/>
      <x:c r="V288" s="38"/>
      <x:c r="W288" s="38"/>
      <x:c r="X288" s="38"/>
      <x:c r="Y288" s="38"/>
      <x:c r="Z288" s="38"/>
    </x:row>
    <x:row r="289">
      <x:c r="A289" s="38"/>
      <x:c r="B289" s="38"/>
      <x:c r="C289" s="38"/>
      <x:c r="D289" s="38"/>
      <x:c r="E289" s="38"/>
      <x:c r="F289" s="38"/>
      <x:c r="G289" s="38"/>
      <x:c r="H289" s="38"/>
      <x:c r="I289" s="38"/>
      <x:c r="J289" s="38"/>
      <x:c r="K289" s="38"/>
      <x:c r="L289" s="38"/>
      <x:c r="M289" s="38"/>
      <x:c r="N289" s="38"/>
      <x:c r="O289" s="38"/>
      <x:c r="P289" s="38"/>
      <x:c r="Q289" s="38"/>
      <x:c r="R289" s="38"/>
      <x:c r="S289" s="38"/>
      <x:c r="T289" s="38"/>
      <x:c r="U289" s="38"/>
      <x:c r="V289" s="38"/>
      <x:c r="W289" s="38"/>
      <x:c r="X289" s="38"/>
      <x:c r="Y289" s="38"/>
      <x:c r="Z289" s="38"/>
    </x:row>
    <x:row r="290">
      <x:c r="A290" s="38"/>
      <x:c r="B290" s="38"/>
      <x:c r="C290" s="38"/>
      <x:c r="D290" s="38"/>
      <x:c r="E290" s="38"/>
      <x:c r="F290" s="38"/>
      <x:c r="G290" s="38"/>
      <x:c r="H290" s="38"/>
      <x:c r="I290" s="38"/>
      <x:c r="J290" s="38"/>
      <x:c r="K290" s="38"/>
      <x:c r="L290" s="38"/>
      <x:c r="M290" s="38"/>
      <x:c r="N290" s="38"/>
      <x:c r="O290" s="38"/>
      <x:c r="P290" s="38"/>
      <x:c r="Q290" s="38"/>
      <x:c r="R290" s="38"/>
      <x:c r="S290" s="38"/>
      <x:c r="T290" s="38"/>
      <x:c r="U290" s="38"/>
      <x:c r="V290" s="38"/>
      <x:c r="W290" s="38"/>
      <x:c r="X290" s="38"/>
      <x:c r="Y290" s="38"/>
      <x:c r="Z290" s="38"/>
    </x:row>
    <x:row r="291">
      <x:c r="A291" s="38"/>
      <x:c r="B291" s="38"/>
      <x:c r="C291" s="38"/>
      <x:c r="D291" s="38"/>
      <x:c r="E291" s="38"/>
      <x:c r="F291" s="38"/>
      <x:c r="G291" s="38"/>
      <x:c r="H291" s="38"/>
      <x:c r="I291" s="38"/>
      <x:c r="J291" s="38"/>
      <x:c r="K291" s="38"/>
      <x:c r="L291" s="38"/>
      <x:c r="M291" s="38"/>
      <x:c r="N291" s="38"/>
      <x:c r="O291" s="38"/>
      <x:c r="P291" s="38"/>
      <x:c r="Q291" s="38"/>
      <x:c r="R291" s="38"/>
      <x:c r="S291" s="38"/>
      <x:c r="T291" s="38"/>
      <x:c r="U291" s="38"/>
      <x:c r="V291" s="38"/>
      <x:c r="W291" s="38"/>
      <x:c r="X291" s="38"/>
      <x:c r="Y291" s="38"/>
      <x:c r="Z291" s="38"/>
    </x:row>
    <x:row r="292">
      <x:c r="A292" s="38"/>
      <x:c r="B292" s="38"/>
      <x:c r="C292" s="38"/>
      <x:c r="D292" s="38"/>
      <x:c r="E292" s="38"/>
      <x:c r="F292" s="38"/>
      <x:c r="G292" s="38"/>
      <x:c r="H292" s="38"/>
      <x:c r="I292" s="38"/>
      <x:c r="J292" s="38"/>
      <x:c r="K292" s="38"/>
      <x:c r="L292" s="38"/>
      <x:c r="M292" s="38"/>
      <x:c r="N292" s="38"/>
      <x:c r="O292" s="38"/>
      <x:c r="P292" s="38"/>
      <x:c r="Q292" s="38"/>
      <x:c r="R292" s="38"/>
      <x:c r="S292" s="38"/>
      <x:c r="T292" s="38"/>
      <x:c r="U292" s="38"/>
      <x:c r="V292" s="38"/>
      <x:c r="W292" s="38"/>
      <x:c r="X292" s="38"/>
      <x:c r="Y292" s="38"/>
      <x:c r="Z292" s="38"/>
    </x:row>
    <x:row r="293">
      <x:c r="A293" s="38"/>
      <x:c r="B293" s="38"/>
      <x:c r="C293" s="38"/>
      <x:c r="D293" s="38"/>
      <x:c r="E293" s="38"/>
      <x:c r="F293" s="38"/>
      <x:c r="G293" s="38"/>
      <x:c r="H293" s="38"/>
      <x:c r="I293" s="38"/>
      <x:c r="J293" s="38"/>
      <x:c r="K293" s="38"/>
      <x:c r="L293" s="38"/>
      <x:c r="M293" s="38"/>
      <x:c r="N293" s="38"/>
      <x:c r="O293" s="38"/>
      <x:c r="P293" s="38"/>
      <x:c r="Q293" s="38"/>
      <x:c r="R293" s="38"/>
      <x:c r="S293" s="38"/>
      <x:c r="T293" s="38"/>
      <x:c r="U293" s="38"/>
      <x:c r="V293" s="38"/>
      <x:c r="W293" s="38"/>
      <x:c r="X293" s="38"/>
      <x:c r="Y293" s="38"/>
      <x:c r="Z293" s="38"/>
    </x:row>
    <x:row r="294">
      <x:c r="A294" s="38"/>
      <x:c r="B294" s="38"/>
      <x:c r="C294" s="38"/>
      <x:c r="D294" s="38"/>
      <x:c r="E294" s="38"/>
      <x:c r="F294" s="38"/>
      <x:c r="G294" s="38"/>
      <x:c r="H294" s="38"/>
      <x:c r="I294" s="38"/>
      <x:c r="J294" s="38"/>
      <x:c r="K294" s="38"/>
      <x:c r="L294" s="38"/>
      <x:c r="M294" s="38"/>
      <x:c r="N294" s="38"/>
      <x:c r="O294" s="38"/>
      <x:c r="P294" s="38"/>
      <x:c r="Q294" s="38"/>
      <x:c r="R294" s="38"/>
      <x:c r="S294" s="38"/>
      <x:c r="T294" s="38"/>
      <x:c r="U294" s="38"/>
      <x:c r="V294" s="38"/>
      <x:c r="W294" s="38"/>
      <x:c r="X294" s="38"/>
      <x:c r="Y294" s="38"/>
      <x:c r="Z294" s="38"/>
    </x:row>
    <x:row r="295">
      <x:c r="A295" s="38"/>
      <x:c r="B295" s="38"/>
      <x:c r="C295" s="38"/>
      <x:c r="D295" s="38"/>
      <x:c r="E295" s="38"/>
      <x:c r="F295" s="38"/>
      <x:c r="G295" s="38"/>
      <x:c r="H295" s="38"/>
      <x:c r="I295" s="38"/>
      <x:c r="J295" s="38"/>
      <x:c r="K295" s="38"/>
      <x:c r="L295" s="38"/>
      <x:c r="M295" s="38"/>
      <x:c r="N295" s="38"/>
      <x:c r="O295" s="38"/>
      <x:c r="P295" s="38"/>
      <x:c r="Q295" s="38"/>
      <x:c r="R295" s="38"/>
      <x:c r="S295" s="38"/>
      <x:c r="T295" s="38"/>
      <x:c r="U295" s="38"/>
      <x:c r="V295" s="38"/>
      <x:c r="W295" s="38"/>
      <x:c r="X295" s="38"/>
      <x:c r="Y295" s="38"/>
      <x:c r="Z295" s="38"/>
    </x:row>
    <x:row r="296">
      <x:c r="A296" s="38"/>
      <x:c r="B296" s="38"/>
      <x:c r="C296" s="38"/>
      <x:c r="D296" s="38"/>
      <x:c r="E296" s="38"/>
      <x:c r="F296" s="38"/>
      <x:c r="G296" s="38"/>
      <x:c r="H296" s="38"/>
      <x:c r="I296" s="38"/>
      <x:c r="J296" s="38"/>
      <x:c r="K296" s="38"/>
      <x:c r="L296" s="38"/>
      <x:c r="M296" s="38"/>
      <x:c r="N296" s="38"/>
      <x:c r="O296" s="38"/>
      <x:c r="P296" s="38"/>
      <x:c r="Q296" s="38"/>
      <x:c r="R296" s="38"/>
      <x:c r="S296" s="38"/>
      <x:c r="T296" s="38"/>
      <x:c r="U296" s="38"/>
      <x:c r="V296" s="38"/>
      <x:c r="W296" s="38"/>
      <x:c r="X296" s="38"/>
      <x:c r="Y296" s="38"/>
      <x:c r="Z296" s="38"/>
    </x:row>
    <x:row r="297">
      <x:c r="A297" s="38"/>
      <x:c r="B297" s="38"/>
      <x:c r="C297" s="38"/>
      <x:c r="D297" s="38"/>
      <x:c r="E297" s="38"/>
      <x:c r="F297" s="38"/>
      <x:c r="G297" s="38"/>
      <x:c r="H297" s="38"/>
      <x:c r="I297" s="38"/>
      <x:c r="J297" s="38"/>
      <x:c r="K297" s="38"/>
      <x:c r="L297" s="38"/>
      <x:c r="M297" s="38"/>
      <x:c r="N297" s="38"/>
      <x:c r="O297" s="38"/>
      <x:c r="P297" s="38"/>
      <x:c r="Q297" s="38"/>
      <x:c r="R297" s="38"/>
      <x:c r="S297" s="38"/>
      <x:c r="T297" s="38"/>
      <x:c r="U297" s="38"/>
      <x:c r="V297" s="38"/>
      <x:c r="W297" s="38"/>
      <x:c r="X297" s="38"/>
      <x:c r="Y297" s="38"/>
      <x:c r="Z297" s="38"/>
    </x:row>
    <x:row r="298">
      <x:c r="A298" s="38"/>
      <x:c r="B298" s="38"/>
      <x:c r="C298" s="38"/>
      <x:c r="D298" s="38"/>
      <x:c r="E298" s="38"/>
      <x:c r="F298" s="38"/>
      <x:c r="G298" s="38"/>
      <x:c r="H298" s="38"/>
      <x:c r="I298" s="38"/>
      <x:c r="J298" s="38"/>
      <x:c r="K298" s="38"/>
      <x:c r="L298" s="38"/>
      <x:c r="M298" s="38"/>
      <x:c r="N298" s="38"/>
      <x:c r="O298" s="38"/>
      <x:c r="P298" s="38"/>
      <x:c r="Q298" s="38"/>
      <x:c r="R298" s="38"/>
      <x:c r="S298" s="38"/>
      <x:c r="T298" s="38"/>
      <x:c r="U298" s="38"/>
      <x:c r="V298" s="38"/>
      <x:c r="W298" s="38"/>
      <x:c r="X298" s="38"/>
      <x:c r="Y298" s="38"/>
      <x:c r="Z298" s="38"/>
    </x:row>
    <x:row r="299">
      <x:c r="A299" s="38"/>
      <x:c r="B299" s="38"/>
      <x:c r="C299" s="38"/>
      <x:c r="D299" s="38"/>
      <x:c r="E299" s="38"/>
      <x:c r="F299" s="38"/>
      <x:c r="G299" s="38"/>
      <x:c r="H299" s="38"/>
      <x:c r="I299" s="38"/>
      <x:c r="J299" s="38"/>
      <x:c r="K299" s="38"/>
      <x:c r="L299" s="38"/>
      <x:c r="M299" s="38"/>
      <x:c r="N299" s="38"/>
      <x:c r="O299" s="38"/>
      <x:c r="P299" s="38"/>
      <x:c r="Q299" s="38"/>
      <x:c r="R299" s="38"/>
      <x:c r="S299" s="38"/>
      <x:c r="T299" s="38"/>
      <x:c r="U299" s="38"/>
      <x:c r="V299" s="38"/>
      <x:c r="W299" s="38"/>
      <x:c r="X299" s="38"/>
      <x:c r="Y299" s="38"/>
      <x:c r="Z299" s="38"/>
    </x:row>
    <x:row r="300">
      <x:c r="A300" s="38"/>
      <x:c r="B300" s="38"/>
      <x:c r="C300" s="38"/>
      <x:c r="D300" s="38"/>
      <x:c r="E300" s="38"/>
      <x:c r="F300" s="38"/>
      <x:c r="G300" s="38"/>
      <x:c r="H300" s="38"/>
      <x:c r="I300" s="38"/>
      <x:c r="J300" s="38"/>
      <x:c r="K300" s="38"/>
      <x:c r="L300" s="38"/>
      <x:c r="M300" s="38"/>
      <x:c r="N300" s="38"/>
      <x:c r="O300" s="38"/>
      <x:c r="P300" s="38"/>
      <x:c r="Q300" s="38"/>
      <x:c r="R300" s="38"/>
      <x:c r="S300" s="38"/>
      <x:c r="T300" s="38"/>
      <x:c r="U300" s="38"/>
      <x:c r="V300" s="38"/>
      <x:c r="W300" s="38"/>
      <x:c r="X300" s="38"/>
      <x:c r="Y300" s="38"/>
      <x:c r="Z300" s="38"/>
    </x:row>
    <x:row r="301">
      <x:c r="A301" s="38"/>
      <x:c r="B301" s="38"/>
      <x:c r="C301" s="38"/>
      <x:c r="D301" s="38"/>
      <x:c r="E301" s="38"/>
      <x:c r="F301" s="38"/>
      <x:c r="G301" s="38"/>
      <x:c r="H301" s="38"/>
      <x:c r="I301" s="38"/>
      <x:c r="J301" s="38"/>
      <x:c r="K301" s="38"/>
      <x:c r="L301" s="38"/>
      <x:c r="M301" s="38"/>
      <x:c r="N301" s="38"/>
      <x:c r="O301" s="38"/>
      <x:c r="P301" s="38"/>
      <x:c r="Q301" s="38"/>
      <x:c r="R301" s="38"/>
      <x:c r="S301" s="38"/>
      <x:c r="T301" s="38"/>
      <x:c r="U301" s="38"/>
      <x:c r="V301" s="38"/>
      <x:c r="W301" s="38"/>
      <x:c r="X301" s="38"/>
      <x:c r="Y301" s="38"/>
      <x:c r="Z301" s="38"/>
    </x:row>
    <x:row r="302">
      <x:c r="A302" s="38"/>
      <x:c r="B302" s="38"/>
      <x:c r="C302" s="38"/>
      <x:c r="D302" s="38"/>
      <x:c r="E302" s="38"/>
      <x:c r="F302" s="38"/>
      <x:c r="G302" s="38"/>
      <x:c r="H302" s="38"/>
      <x:c r="I302" s="38"/>
      <x:c r="J302" s="38"/>
      <x:c r="K302" s="38"/>
      <x:c r="L302" s="38"/>
      <x:c r="M302" s="38"/>
      <x:c r="N302" s="38"/>
      <x:c r="O302" s="38"/>
      <x:c r="P302" s="38"/>
      <x:c r="Q302" s="38"/>
      <x:c r="R302" s="38"/>
      <x:c r="S302" s="38"/>
      <x:c r="T302" s="38"/>
      <x:c r="U302" s="38"/>
      <x:c r="V302" s="38"/>
      <x:c r="W302" s="38"/>
      <x:c r="X302" s="38"/>
      <x:c r="Y302" s="38"/>
      <x:c r="Z302" s="38"/>
    </x:row>
    <x:row r="303">
      <x:c r="A303" s="38"/>
      <x:c r="B303" s="38"/>
      <x:c r="C303" s="38"/>
      <x:c r="D303" s="38"/>
      <x:c r="E303" s="38"/>
      <x:c r="F303" s="38"/>
      <x:c r="G303" s="38"/>
      <x:c r="H303" s="38"/>
      <x:c r="I303" s="38"/>
      <x:c r="J303" s="38"/>
      <x:c r="K303" s="38"/>
      <x:c r="L303" s="38"/>
      <x:c r="M303" s="38"/>
      <x:c r="N303" s="38"/>
      <x:c r="O303" s="38"/>
      <x:c r="P303" s="38"/>
      <x:c r="Q303" s="38"/>
      <x:c r="R303" s="38"/>
      <x:c r="S303" s="38"/>
      <x:c r="T303" s="38"/>
      <x:c r="U303" s="38"/>
      <x:c r="V303" s="38"/>
      <x:c r="W303" s="38"/>
      <x:c r="X303" s="38"/>
      <x:c r="Y303" s="38"/>
      <x:c r="Z303" s="38"/>
    </x:row>
    <x:row r="304">
      <x:c r="A304" s="38"/>
      <x:c r="B304" s="38"/>
      <x:c r="C304" s="38"/>
      <x:c r="D304" s="38"/>
      <x:c r="E304" s="38"/>
      <x:c r="F304" s="38"/>
      <x:c r="G304" s="38"/>
      <x:c r="H304" s="38"/>
      <x:c r="I304" s="38"/>
      <x:c r="J304" s="38"/>
      <x:c r="K304" s="38"/>
      <x:c r="L304" s="38"/>
      <x:c r="M304" s="38"/>
      <x:c r="N304" s="38"/>
      <x:c r="O304" s="38"/>
      <x:c r="P304" s="38"/>
      <x:c r="Q304" s="38"/>
      <x:c r="R304" s="38"/>
      <x:c r="S304" s="38"/>
      <x:c r="T304" s="38"/>
      <x:c r="U304" s="38"/>
      <x:c r="V304" s="38"/>
      <x:c r="W304" s="38"/>
      <x:c r="X304" s="38"/>
      <x:c r="Y304" s="38"/>
      <x:c r="Z304" s="38"/>
    </x:row>
    <x:row r="305">
      <x:c r="A305" s="38"/>
      <x:c r="B305" s="38"/>
      <x:c r="C305" s="38"/>
      <x:c r="D305" s="38"/>
      <x:c r="E305" s="38"/>
      <x:c r="F305" s="38"/>
      <x:c r="G305" s="38"/>
      <x:c r="H305" s="38"/>
      <x:c r="I305" s="38"/>
      <x:c r="J305" s="38"/>
      <x:c r="K305" s="38"/>
      <x:c r="L305" s="38"/>
      <x:c r="M305" s="38"/>
      <x:c r="N305" s="38"/>
      <x:c r="O305" s="38"/>
      <x:c r="P305" s="38"/>
      <x:c r="Q305" s="38"/>
      <x:c r="R305" s="38"/>
      <x:c r="S305" s="38"/>
      <x:c r="T305" s="38"/>
      <x:c r="U305" s="38"/>
      <x:c r="V305" s="38"/>
      <x:c r="W305" s="38"/>
      <x:c r="X305" s="38"/>
      <x:c r="Y305" s="38"/>
      <x:c r="Z305" s="38"/>
    </x:row>
    <x:row r="306">
      <x:c r="A306" s="38"/>
      <x:c r="B306" s="38"/>
      <x:c r="C306" s="38"/>
      <x:c r="D306" s="38"/>
      <x:c r="E306" s="38"/>
      <x:c r="F306" s="38"/>
      <x:c r="G306" s="38"/>
      <x:c r="H306" s="38"/>
      <x:c r="I306" s="38"/>
      <x:c r="J306" s="38"/>
      <x:c r="K306" s="38"/>
      <x:c r="L306" s="38"/>
      <x:c r="M306" s="38"/>
      <x:c r="N306" s="38"/>
      <x:c r="O306" s="38"/>
      <x:c r="P306" s="38"/>
      <x:c r="Q306" s="38"/>
      <x:c r="R306" s="38"/>
      <x:c r="S306" s="38"/>
      <x:c r="T306" s="38"/>
      <x:c r="U306" s="38"/>
      <x:c r="V306" s="38"/>
      <x:c r="W306" s="38"/>
      <x:c r="X306" s="38"/>
      <x:c r="Y306" s="38"/>
      <x:c r="Z306" s="38"/>
    </x:row>
    <x:row r="307">
      <x:c r="A307" s="38"/>
      <x:c r="B307" s="38"/>
      <x:c r="C307" s="38"/>
      <x:c r="D307" s="38"/>
      <x:c r="E307" s="38"/>
      <x:c r="F307" s="38"/>
      <x:c r="G307" s="38"/>
      <x:c r="H307" s="38"/>
      <x:c r="I307" s="38"/>
      <x:c r="J307" s="38"/>
      <x:c r="K307" s="38"/>
      <x:c r="L307" s="38"/>
      <x:c r="M307" s="38"/>
      <x:c r="N307" s="38"/>
      <x:c r="O307" s="38"/>
      <x:c r="P307" s="38"/>
      <x:c r="Q307" s="38"/>
      <x:c r="R307" s="38"/>
      <x:c r="S307" s="38"/>
      <x:c r="T307" s="38"/>
      <x:c r="U307" s="38"/>
      <x:c r="V307" s="38"/>
      <x:c r="W307" s="38"/>
      <x:c r="X307" s="38"/>
      <x:c r="Y307" s="38"/>
      <x:c r="Z307" s="38"/>
    </x:row>
    <x:row r="308">
      <x:c r="A308" s="38"/>
      <x:c r="B308" s="38"/>
      <x:c r="C308" s="38"/>
      <x:c r="D308" s="38"/>
      <x:c r="E308" s="38"/>
      <x:c r="F308" s="38"/>
      <x:c r="G308" s="38"/>
      <x:c r="H308" s="38"/>
      <x:c r="I308" s="38"/>
      <x:c r="J308" s="38"/>
      <x:c r="K308" s="38"/>
      <x:c r="L308" s="38"/>
      <x:c r="M308" s="38"/>
      <x:c r="N308" s="38"/>
      <x:c r="O308" s="38"/>
      <x:c r="P308" s="38"/>
      <x:c r="Q308" s="38"/>
      <x:c r="R308" s="38"/>
      <x:c r="S308" s="38"/>
      <x:c r="T308" s="38"/>
      <x:c r="U308" s="38"/>
      <x:c r="V308" s="38"/>
      <x:c r="W308" s="38"/>
      <x:c r="X308" s="38"/>
      <x:c r="Y308" s="38"/>
      <x:c r="Z308" s="38"/>
    </x:row>
    <x:row r="309">
      <x:c r="A309" s="38"/>
      <x:c r="B309" s="38"/>
      <x:c r="C309" s="38"/>
      <x:c r="D309" s="38"/>
      <x:c r="E309" s="38"/>
      <x:c r="F309" s="38"/>
      <x:c r="G309" s="38"/>
      <x:c r="H309" s="38"/>
      <x:c r="I309" s="38"/>
      <x:c r="J309" s="38"/>
      <x:c r="K309" s="38"/>
      <x:c r="L309" s="38"/>
      <x:c r="M309" s="38"/>
      <x:c r="N309" s="38"/>
      <x:c r="O309" s="38"/>
      <x:c r="P309" s="38"/>
      <x:c r="Q309" s="38"/>
      <x:c r="R309" s="38"/>
      <x:c r="S309" s="38"/>
      <x:c r="T309" s="38"/>
      <x:c r="U309" s="38"/>
      <x:c r="V309" s="38"/>
      <x:c r="W309" s="38"/>
      <x:c r="X309" s="38"/>
      <x:c r="Y309" s="38"/>
      <x:c r="Z309" s="38"/>
    </x:row>
    <x:row r="310">
      <x:c r="A310" s="38"/>
      <x:c r="B310" s="38"/>
      <x:c r="C310" s="38"/>
      <x:c r="D310" s="38"/>
      <x:c r="E310" s="38"/>
      <x:c r="F310" s="38"/>
      <x:c r="G310" s="38"/>
      <x:c r="H310" s="38"/>
      <x:c r="I310" s="38"/>
      <x:c r="J310" s="38"/>
      <x:c r="K310" s="38"/>
      <x:c r="L310" s="38"/>
      <x:c r="M310" s="38"/>
      <x:c r="N310" s="38"/>
      <x:c r="O310" s="38"/>
      <x:c r="P310" s="38"/>
      <x:c r="Q310" s="38"/>
      <x:c r="R310" s="38"/>
      <x:c r="S310" s="38"/>
      <x:c r="T310" s="38"/>
      <x:c r="U310" s="38"/>
      <x:c r="V310" s="38"/>
      <x:c r="W310" s="38"/>
      <x:c r="X310" s="38"/>
      <x:c r="Y310" s="38"/>
      <x:c r="Z310" s="38"/>
    </x:row>
    <x:row r="311">
      <x:c r="A311" s="38"/>
      <x:c r="B311" s="38"/>
      <x:c r="C311" s="38"/>
      <x:c r="D311" s="38"/>
      <x:c r="E311" s="38"/>
      <x:c r="F311" s="38"/>
      <x:c r="G311" s="38"/>
      <x:c r="H311" s="38"/>
      <x:c r="I311" s="38"/>
      <x:c r="J311" s="38"/>
      <x:c r="K311" s="38"/>
      <x:c r="L311" s="38"/>
      <x:c r="M311" s="38"/>
      <x:c r="N311" s="38"/>
      <x:c r="O311" s="38"/>
      <x:c r="P311" s="38"/>
      <x:c r="Q311" s="38"/>
      <x:c r="R311" s="38"/>
      <x:c r="S311" s="38"/>
      <x:c r="T311" s="38"/>
      <x:c r="U311" s="38"/>
      <x:c r="V311" s="38"/>
      <x:c r="W311" s="38"/>
      <x:c r="X311" s="38"/>
      <x:c r="Y311" s="38"/>
      <x:c r="Z311" s="38"/>
    </x:row>
    <x:row r="312">
      <x:c r="A312" s="38"/>
      <x:c r="B312" s="38"/>
      <x:c r="C312" s="38"/>
      <x:c r="D312" s="38"/>
      <x:c r="E312" s="38"/>
      <x:c r="F312" s="38"/>
      <x:c r="G312" s="38"/>
      <x:c r="H312" s="38"/>
      <x:c r="I312" s="38"/>
      <x:c r="J312" s="38"/>
      <x:c r="K312" s="38"/>
      <x:c r="L312" s="38"/>
      <x:c r="M312" s="38"/>
      <x:c r="N312" s="38"/>
      <x:c r="O312" s="38"/>
      <x:c r="P312" s="38"/>
      <x:c r="Q312" s="38"/>
      <x:c r="R312" s="38"/>
      <x:c r="S312" s="38"/>
      <x:c r="T312" s="38"/>
      <x:c r="U312" s="38"/>
      <x:c r="V312" s="38"/>
      <x:c r="W312" s="38"/>
      <x:c r="X312" s="38"/>
      <x:c r="Y312" s="38"/>
      <x:c r="Z312" s="38"/>
    </x:row>
    <x:row r="313">
      <x:c r="A313" s="38"/>
      <x:c r="B313" s="38"/>
      <x:c r="C313" s="38"/>
      <x:c r="D313" s="38"/>
      <x:c r="E313" s="38"/>
      <x:c r="F313" s="38"/>
      <x:c r="G313" s="38"/>
      <x:c r="H313" s="38"/>
      <x:c r="I313" s="38"/>
      <x:c r="J313" s="38"/>
      <x:c r="K313" s="38"/>
      <x:c r="L313" s="38"/>
      <x:c r="M313" s="38"/>
      <x:c r="N313" s="38"/>
      <x:c r="O313" s="38"/>
      <x:c r="P313" s="38"/>
      <x:c r="Q313" s="38"/>
      <x:c r="R313" s="38"/>
      <x:c r="S313" s="38"/>
      <x:c r="T313" s="38"/>
      <x:c r="U313" s="38"/>
      <x:c r="V313" s="38"/>
      <x:c r="W313" s="38"/>
      <x:c r="X313" s="38"/>
      <x:c r="Y313" s="38"/>
      <x:c r="Z313" s="38"/>
    </x:row>
    <x:row r="314">
      <x:c r="A314" s="38"/>
      <x:c r="B314" s="38"/>
      <x:c r="C314" s="38"/>
      <x:c r="D314" s="38"/>
      <x:c r="E314" s="38"/>
      <x:c r="F314" s="38"/>
      <x:c r="G314" s="38"/>
      <x:c r="H314" s="38"/>
      <x:c r="I314" s="38"/>
      <x:c r="J314" s="38"/>
      <x:c r="K314" s="38"/>
      <x:c r="L314" s="38"/>
      <x:c r="M314" s="38"/>
      <x:c r="N314" s="38"/>
      <x:c r="O314" s="38"/>
      <x:c r="P314" s="38"/>
      <x:c r="Q314" s="38"/>
      <x:c r="R314" s="38"/>
      <x:c r="S314" s="38"/>
      <x:c r="T314" s="38"/>
      <x:c r="U314" s="38"/>
      <x:c r="V314" s="38"/>
      <x:c r="W314" s="38"/>
      <x:c r="X314" s="38"/>
      <x:c r="Y314" s="38"/>
      <x:c r="Z314" s="38"/>
    </x:row>
    <x:row r="315">
      <x:c r="A315" s="38"/>
      <x:c r="B315" s="38"/>
      <x:c r="C315" s="38"/>
      <x:c r="D315" s="38"/>
      <x:c r="E315" s="38"/>
      <x:c r="F315" s="38"/>
      <x:c r="G315" s="38"/>
      <x:c r="H315" s="38"/>
      <x:c r="I315" s="38"/>
      <x:c r="J315" s="38"/>
      <x:c r="K315" s="38"/>
      <x:c r="L315" s="38"/>
      <x:c r="M315" s="38"/>
      <x:c r="N315" s="38"/>
      <x:c r="O315" s="38"/>
      <x:c r="P315" s="38"/>
      <x:c r="Q315" s="38"/>
      <x:c r="R315" s="38"/>
      <x:c r="S315" s="38"/>
      <x:c r="T315" s="38"/>
      <x:c r="U315" s="38"/>
      <x:c r="V315" s="38"/>
      <x:c r="W315" s="38"/>
      <x:c r="X315" s="38"/>
      <x:c r="Y315" s="38"/>
      <x:c r="Z315" s="38"/>
    </x:row>
    <x:row r="316">
      <x:c r="A316" s="38"/>
      <x:c r="B316" s="38"/>
      <x:c r="C316" s="38"/>
      <x:c r="D316" s="38"/>
      <x:c r="E316" s="38"/>
      <x:c r="F316" s="38"/>
      <x:c r="G316" s="38"/>
      <x:c r="H316" s="38"/>
      <x:c r="I316" s="38"/>
      <x:c r="J316" s="38"/>
      <x:c r="K316" s="38"/>
      <x:c r="L316" s="38"/>
      <x:c r="M316" s="38"/>
      <x:c r="N316" s="38"/>
      <x:c r="O316" s="38"/>
      <x:c r="P316" s="38"/>
      <x:c r="Q316" s="38"/>
      <x:c r="R316" s="38"/>
      <x:c r="S316" s="38"/>
      <x:c r="T316" s="38"/>
      <x:c r="U316" s="38"/>
      <x:c r="V316" s="38"/>
      <x:c r="W316" s="38"/>
      <x:c r="X316" s="38"/>
      <x:c r="Y316" s="38"/>
      <x:c r="Z316" s="38"/>
    </x:row>
    <x:row r="317">
      <x:c r="A317" s="38"/>
      <x:c r="B317" s="38"/>
      <x:c r="C317" s="38"/>
      <x:c r="D317" s="38"/>
      <x:c r="E317" s="38"/>
      <x:c r="F317" s="38"/>
      <x:c r="G317" s="38"/>
      <x:c r="H317" s="38"/>
      <x:c r="I317" s="38"/>
      <x:c r="J317" s="38"/>
      <x:c r="K317" s="38"/>
      <x:c r="L317" s="38"/>
      <x:c r="M317" s="38"/>
      <x:c r="N317" s="38"/>
      <x:c r="O317" s="38"/>
      <x:c r="P317" s="38"/>
      <x:c r="Q317" s="38"/>
      <x:c r="R317" s="38"/>
      <x:c r="S317" s="38"/>
      <x:c r="T317" s="38"/>
      <x:c r="U317" s="38"/>
      <x:c r="V317" s="38"/>
      <x:c r="W317" s="38"/>
      <x:c r="X317" s="38"/>
      <x:c r="Y317" s="38"/>
      <x:c r="Z317" s="38"/>
    </x:row>
    <x:row r="318">
      <x:c r="A318" s="38"/>
      <x:c r="B318" s="38"/>
      <x:c r="C318" s="38"/>
      <x:c r="D318" s="38"/>
      <x:c r="E318" s="38"/>
      <x:c r="F318" s="38"/>
      <x:c r="G318" s="38"/>
      <x:c r="H318" s="38"/>
      <x:c r="I318" s="38"/>
      <x:c r="J318" s="38"/>
      <x:c r="K318" s="38"/>
      <x:c r="L318" s="38"/>
      <x:c r="M318" s="38"/>
      <x:c r="N318" s="38"/>
      <x:c r="O318" s="38"/>
      <x:c r="P318" s="38"/>
      <x:c r="Q318" s="38"/>
      <x:c r="R318" s="38"/>
      <x:c r="S318" s="38"/>
      <x:c r="T318" s="38"/>
      <x:c r="U318" s="38"/>
      <x:c r="V318" s="38"/>
      <x:c r="W318" s="38"/>
      <x:c r="X318" s="38"/>
      <x:c r="Y318" s="38"/>
      <x:c r="Z318" s="38"/>
    </x:row>
    <x:row r="319">
      <x:c r="A319" s="38"/>
      <x:c r="B319" s="38"/>
      <x:c r="C319" s="38"/>
      <x:c r="D319" s="38"/>
      <x:c r="E319" s="38"/>
      <x:c r="F319" s="38"/>
      <x:c r="G319" s="38"/>
      <x:c r="H319" s="38"/>
      <x:c r="I319" s="38"/>
      <x:c r="J319" s="38"/>
      <x:c r="K319" s="38"/>
      <x:c r="L319" s="38"/>
      <x:c r="M319" s="38"/>
      <x:c r="N319" s="38"/>
      <x:c r="O319" s="38"/>
      <x:c r="P319" s="38"/>
      <x:c r="Q319" s="38"/>
      <x:c r="R319" s="38"/>
      <x:c r="S319" s="38"/>
      <x:c r="T319" s="38"/>
      <x:c r="U319" s="38"/>
      <x:c r="V319" s="38"/>
      <x:c r="W319" s="38"/>
      <x:c r="X319" s="38"/>
      <x:c r="Y319" s="38"/>
      <x:c r="Z319" s="38"/>
    </x:row>
    <x:row r="320">
      <x:c r="A320" s="38"/>
      <x:c r="B320" s="38"/>
      <x:c r="C320" s="38"/>
      <x:c r="D320" s="38"/>
      <x:c r="E320" s="38"/>
      <x:c r="F320" s="38"/>
      <x:c r="G320" s="38"/>
      <x:c r="H320" s="38"/>
      <x:c r="I320" s="38"/>
      <x:c r="J320" s="38"/>
      <x:c r="K320" s="38"/>
      <x:c r="L320" s="38"/>
      <x:c r="M320" s="38"/>
      <x:c r="N320" s="38"/>
      <x:c r="O320" s="38"/>
      <x:c r="P320" s="38"/>
      <x:c r="Q320" s="38"/>
      <x:c r="R320" s="38"/>
      <x:c r="S320" s="38"/>
      <x:c r="T320" s="38"/>
      <x:c r="U320" s="38"/>
      <x:c r="V320" s="38"/>
      <x:c r="W320" s="38"/>
      <x:c r="X320" s="38"/>
      <x:c r="Y320" s="38"/>
      <x:c r="Z320" s="38"/>
    </x:row>
    <x:row r="321">
      <x:c r="A321" s="38"/>
      <x:c r="B321" s="38"/>
      <x:c r="C321" s="38"/>
      <x:c r="D321" s="38"/>
      <x:c r="E321" s="38"/>
      <x:c r="F321" s="38"/>
      <x:c r="G321" s="38"/>
      <x:c r="H321" s="38"/>
      <x:c r="I321" s="38"/>
      <x:c r="J321" s="38"/>
      <x:c r="K321" s="38"/>
      <x:c r="L321" s="38"/>
      <x:c r="M321" s="38"/>
      <x:c r="N321" s="38"/>
      <x:c r="O321" s="38"/>
      <x:c r="P321" s="38"/>
      <x:c r="Q321" s="38"/>
      <x:c r="R321" s="38"/>
      <x:c r="S321" s="38"/>
      <x:c r="T321" s="38"/>
      <x:c r="U321" s="38"/>
      <x:c r="V321" s="38"/>
      <x:c r="W321" s="38"/>
      <x:c r="X321" s="38"/>
      <x:c r="Y321" s="38"/>
      <x:c r="Z321" s="38"/>
    </x:row>
    <x:row r="322">
      <x:c r="A322" s="38"/>
      <x:c r="B322" s="38"/>
      <x:c r="C322" s="38"/>
      <x:c r="D322" s="38"/>
      <x:c r="E322" s="38"/>
      <x:c r="F322" s="38"/>
      <x:c r="G322" s="38"/>
      <x:c r="H322" s="38"/>
      <x:c r="I322" s="38"/>
      <x:c r="J322" s="38"/>
      <x:c r="K322" s="38"/>
      <x:c r="L322" s="38"/>
      <x:c r="M322" s="38"/>
      <x:c r="N322" s="38"/>
      <x:c r="O322" s="38"/>
      <x:c r="P322" s="38"/>
      <x:c r="Q322" s="38"/>
      <x:c r="R322" s="38"/>
      <x:c r="S322" s="38"/>
      <x:c r="T322" s="38"/>
      <x:c r="U322" s="38"/>
      <x:c r="V322" s="38"/>
      <x:c r="W322" s="38"/>
      <x:c r="X322" s="38"/>
      <x:c r="Y322" s="38"/>
      <x:c r="Z322" s="38"/>
    </x:row>
    <x:row r="323">
      <x:c r="A323" s="38"/>
      <x:c r="B323" s="38"/>
      <x:c r="C323" s="38"/>
      <x:c r="D323" s="38"/>
      <x:c r="E323" s="38"/>
      <x:c r="F323" s="38"/>
      <x:c r="G323" s="38"/>
      <x:c r="H323" s="38"/>
      <x:c r="I323" s="38"/>
      <x:c r="J323" s="38"/>
      <x:c r="K323" s="38"/>
      <x:c r="L323" s="38"/>
      <x:c r="M323" s="38"/>
      <x:c r="N323" s="38"/>
      <x:c r="O323" s="38"/>
      <x:c r="P323" s="38"/>
      <x:c r="Q323" s="38"/>
      <x:c r="R323" s="38"/>
      <x:c r="S323" s="38"/>
      <x:c r="T323" s="38"/>
      <x:c r="U323" s="38"/>
      <x:c r="V323" s="38"/>
      <x:c r="W323" s="38"/>
      <x:c r="X323" s="38"/>
      <x:c r="Y323" s="38"/>
      <x:c r="Z323" s="38"/>
    </x:row>
    <x:row r="324">
      <x:c r="A324" s="38"/>
      <x:c r="B324" s="38"/>
      <x:c r="C324" s="38"/>
      <x:c r="D324" s="38"/>
      <x:c r="E324" s="38"/>
      <x:c r="F324" s="38"/>
      <x:c r="G324" s="38"/>
      <x:c r="H324" s="38"/>
      <x:c r="I324" s="38"/>
      <x:c r="J324" s="38"/>
      <x:c r="K324" s="38"/>
      <x:c r="L324" s="38"/>
      <x:c r="M324" s="38"/>
      <x:c r="N324" s="38"/>
      <x:c r="O324" s="38"/>
      <x:c r="P324" s="38"/>
      <x:c r="Q324" s="38"/>
      <x:c r="R324" s="38"/>
      <x:c r="S324" s="38"/>
      <x:c r="T324" s="38"/>
      <x:c r="U324" s="38"/>
      <x:c r="V324" s="38"/>
      <x:c r="W324" s="38"/>
      <x:c r="X324" s="38"/>
      <x:c r="Y324" s="38"/>
      <x:c r="Z324" s="38"/>
    </x:row>
    <x:row r="325">
      <x:c r="A325" s="38"/>
      <x:c r="B325" s="38"/>
      <x:c r="C325" s="38"/>
      <x:c r="D325" s="38"/>
      <x:c r="E325" s="38"/>
      <x:c r="F325" s="38"/>
      <x:c r="G325" s="38"/>
      <x:c r="H325" s="38"/>
      <x:c r="I325" s="38"/>
      <x:c r="J325" s="38"/>
      <x:c r="K325" s="38"/>
      <x:c r="L325" s="38"/>
      <x:c r="M325" s="38"/>
      <x:c r="N325" s="38"/>
      <x:c r="O325" s="38"/>
      <x:c r="P325" s="38"/>
      <x:c r="Q325" s="38"/>
      <x:c r="R325" s="38"/>
      <x:c r="S325" s="38"/>
      <x:c r="T325" s="38"/>
      <x:c r="U325" s="38"/>
      <x:c r="V325" s="38"/>
      <x:c r="W325" s="38"/>
      <x:c r="X325" s="38"/>
      <x:c r="Y325" s="38"/>
      <x:c r="Z325" s="38"/>
    </x:row>
    <x:row r="326">
      <x:c r="A326" s="38"/>
      <x:c r="B326" s="38"/>
      <x:c r="C326" s="38"/>
      <x:c r="D326" s="38"/>
      <x:c r="E326" s="38"/>
      <x:c r="F326" s="38"/>
      <x:c r="G326" s="38"/>
      <x:c r="H326" s="38"/>
      <x:c r="I326" s="38"/>
      <x:c r="J326" s="38"/>
      <x:c r="K326" s="38"/>
      <x:c r="L326" s="38"/>
      <x:c r="M326" s="38"/>
      <x:c r="N326" s="38"/>
      <x:c r="O326" s="38"/>
      <x:c r="P326" s="38"/>
      <x:c r="Q326" s="38"/>
      <x:c r="R326" s="38"/>
      <x:c r="S326" s="38"/>
      <x:c r="T326" s="38"/>
      <x:c r="U326" s="38"/>
      <x:c r="V326" s="38"/>
      <x:c r="W326" s="38"/>
      <x:c r="X326" s="38"/>
      <x:c r="Y326" s="38"/>
      <x:c r="Z326" s="38"/>
    </x:row>
    <x:row r="327">
      <x:c r="A327" s="38"/>
      <x:c r="B327" s="38"/>
      <x:c r="C327" s="38"/>
      <x:c r="D327" s="38"/>
      <x:c r="E327" s="38"/>
      <x:c r="F327" s="38"/>
      <x:c r="G327" s="38"/>
      <x:c r="H327" s="38"/>
      <x:c r="I327" s="38"/>
      <x:c r="J327" s="38"/>
      <x:c r="K327" s="38"/>
      <x:c r="L327" s="38"/>
      <x:c r="M327" s="38"/>
      <x:c r="N327" s="38"/>
      <x:c r="O327" s="38"/>
      <x:c r="P327" s="38"/>
      <x:c r="Q327" s="38"/>
      <x:c r="R327" s="38"/>
      <x:c r="S327" s="38"/>
      <x:c r="T327" s="38"/>
      <x:c r="U327" s="38"/>
      <x:c r="V327" s="38"/>
      <x:c r="W327" s="38"/>
      <x:c r="X327" s="38"/>
      <x:c r="Y327" s="38"/>
      <x:c r="Z327" s="38"/>
    </x:row>
    <x:row r="328">
      <x:c r="A328" s="38"/>
      <x:c r="B328" s="38"/>
      <x:c r="C328" s="38"/>
      <x:c r="D328" s="38"/>
      <x:c r="E328" s="38"/>
      <x:c r="F328" s="38"/>
      <x:c r="G328" s="38"/>
      <x:c r="H328" s="38"/>
      <x:c r="I328" s="38"/>
      <x:c r="J328" s="38"/>
      <x:c r="K328" s="38"/>
      <x:c r="L328" s="38"/>
      <x:c r="M328" s="38"/>
      <x:c r="N328" s="38"/>
      <x:c r="O328" s="38"/>
      <x:c r="P328" s="38"/>
      <x:c r="Q328" s="38"/>
      <x:c r="R328" s="38"/>
      <x:c r="S328" s="38"/>
      <x:c r="T328" s="38"/>
      <x:c r="U328" s="38"/>
      <x:c r="V328" s="38"/>
      <x:c r="W328" s="38"/>
      <x:c r="X328" s="38"/>
      <x:c r="Y328" s="38"/>
      <x:c r="Z328" s="38"/>
    </x:row>
    <x:row r="329">
      <x:c r="A329" s="38"/>
      <x:c r="B329" s="38"/>
      <x:c r="C329" s="38"/>
      <x:c r="D329" s="38"/>
      <x:c r="E329" s="38"/>
      <x:c r="F329" s="38"/>
      <x:c r="G329" s="38"/>
      <x:c r="H329" s="38"/>
      <x:c r="I329" s="38"/>
      <x:c r="J329" s="38"/>
      <x:c r="K329" s="38"/>
      <x:c r="L329" s="38"/>
      <x:c r="M329" s="38"/>
      <x:c r="N329" s="38"/>
      <x:c r="O329" s="38"/>
      <x:c r="P329" s="38"/>
      <x:c r="Q329" s="38"/>
      <x:c r="R329" s="38"/>
      <x:c r="S329" s="38"/>
      <x:c r="T329" s="38"/>
      <x:c r="U329" s="38"/>
      <x:c r="V329" s="38"/>
      <x:c r="W329" s="38"/>
      <x:c r="X329" s="38"/>
      <x:c r="Y329" s="38"/>
      <x:c r="Z329" s="38"/>
    </x:row>
    <x:row r="330">
      <x:c r="A330" s="38"/>
      <x:c r="B330" s="38"/>
      <x:c r="C330" s="38"/>
      <x:c r="D330" s="38"/>
      <x:c r="E330" s="38"/>
      <x:c r="F330" s="38"/>
      <x:c r="G330" s="38"/>
      <x:c r="H330" s="38"/>
      <x:c r="I330" s="38"/>
      <x:c r="J330" s="38"/>
      <x:c r="K330" s="38"/>
      <x:c r="L330" s="38"/>
      <x:c r="M330" s="38"/>
      <x:c r="N330" s="38"/>
      <x:c r="O330" s="38"/>
      <x:c r="P330" s="38"/>
      <x:c r="Q330" s="38"/>
      <x:c r="R330" s="38"/>
      <x:c r="S330" s="38"/>
      <x:c r="T330" s="38"/>
      <x:c r="U330" s="38"/>
      <x:c r="V330" s="38"/>
      <x:c r="W330" s="38"/>
      <x:c r="X330" s="38"/>
      <x:c r="Y330" s="38"/>
      <x:c r="Z330" s="38"/>
    </x:row>
    <x:row r="331">
      <x:c r="A331" s="38"/>
      <x:c r="B331" s="38"/>
      <x:c r="C331" s="38"/>
      <x:c r="D331" s="38"/>
      <x:c r="E331" s="38"/>
      <x:c r="F331" s="38"/>
      <x:c r="G331" s="38"/>
      <x:c r="H331" s="38"/>
      <x:c r="I331" s="38"/>
      <x:c r="J331" s="38"/>
      <x:c r="K331" s="38"/>
      <x:c r="L331" s="38"/>
      <x:c r="M331" s="38"/>
      <x:c r="N331" s="38"/>
      <x:c r="O331" s="38"/>
      <x:c r="P331" s="38"/>
      <x:c r="Q331" s="38"/>
      <x:c r="R331" s="38"/>
      <x:c r="S331" s="38"/>
      <x:c r="T331" s="38"/>
      <x:c r="U331" s="38"/>
      <x:c r="V331" s="38"/>
      <x:c r="W331" s="38"/>
      <x:c r="X331" s="38"/>
      <x:c r="Y331" s="38"/>
      <x:c r="Z331" s="38"/>
    </x:row>
    <x:row r="332">
      <x:c r="A332" s="38"/>
      <x:c r="B332" s="38"/>
      <x:c r="C332" s="38"/>
      <x:c r="D332" s="38"/>
      <x:c r="E332" s="38"/>
      <x:c r="F332" s="38"/>
      <x:c r="G332" s="38"/>
      <x:c r="H332" s="38"/>
      <x:c r="I332" s="38"/>
      <x:c r="J332" s="38"/>
      <x:c r="K332" s="38"/>
      <x:c r="L332" s="38"/>
      <x:c r="M332" s="38"/>
      <x:c r="N332" s="38"/>
      <x:c r="O332" s="38"/>
      <x:c r="P332" s="38"/>
      <x:c r="Q332" s="38"/>
      <x:c r="R332" s="38"/>
      <x:c r="S332" s="38"/>
      <x:c r="T332" s="38"/>
      <x:c r="U332" s="38"/>
      <x:c r="V332" s="38"/>
      <x:c r="W332" s="38"/>
      <x:c r="X332" s="38"/>
      <x:c r="Y332" s="38"/>
      <x:c r="Z332" s="38"/>
    </x:row>
    <x:row r="333">
      <x:c r="A333" s="38"/>
      <x:c r="B333" s="38"/>
      <x:c r="C333" s="38"/>
      <x:c r="D333" s="38"/>
      <x:c r="E333" s="38"/>
      <x:c r="F333" s="38"/>
      <x:c r="G333" s="38"/>
      <x:c r="H333" s="38"/>
      <x:c r="I333" s="38"/>
      <x:c r="J333" s="38"/>
      <x:c r="K333" s="38"/>
      <x:c r="L333" s="38"/>
      <x:c r="M333" s="38"/>
      <x:c r="N333" s="38"/>
      <x:c r="O333" s="38"/>
      <x:c r="P333" s="38"/>
      <x:c r="Q333" s="38"/>
      <x:c r="R333" s="38"/>
      <x:c r="S333" s="38"/>
      <x:c r="T333" s="38"/>
      <x:c r="U333" s="38"/>
      <x:c r="V333" s="38"/>
      <x:c r="W333" s="38"/>
      <x:c r="X333" s="38"/>
      <x:c r="Y333" s="38"/>
      <x:c r="Z333" s="38"/>
    </x:row>
    <x:row r="334">
      <x:c r="A334" s="38"/>
      <x:c r="B334" s="38"/>
      <x:c r="C334" s="38"/>
      <x:c r="D334" s="38"/>
      <x:c r="E334" s="38"/>
      <x:c r="F334" s="38"/>
      <x:c r="G334" s="38"/>
      <x:c r="H334" s="38"/>
      <x:c r="I334" s="38"/>
      <x:c r="J334" s="38"/>
      <x:c r="K334" s="38"/>
      <x:c r="L334" s="38"/>
      <x:c r="M334" s="38"/>
      <x:c r="N334" s="38"/>
      <x:c r="O334" s="38"/>
      <x:c r="P334" s="38"/>
      <x:c r="Q334" s="38"/>
      <x:c r="R334" s="38"/>
      <x:c r="S334" s="38"/>
      <x:c r="T334" s="38"/>
      <x:c r="U334" s="38"/>
      <x:c r="V334" s="38"/>
      <x:c r="W334" s="38"/>
      <x:c r="X334" s="38"/>
      <x:c r="Y334" s="38"/>
      <x:c r="Z334" s="38"/>
    </x:row>
    <x:row r="335">
      <x:c r="A335" s="38"/>
      <x:c r="B335" s="38"/>
      <x:c r="C335" s="38"/>
      <x:c r="D335" s="38"/>
      <x:c r="E335" s="38"/>
      <x:c r="F335" s="38"/>
      <x:c r="G335" s="38"/>
      <x:c r="H335" s="38"/>
      <x:c r="I335" s="38"/>
      <x:c r="J335" s="38"/>
      <x:c r="K335" s="38"/>
      <x:c r="L335" s="38"/>
      <x:c r="M335" s="38"/>
      <x:c r="N335" s="38"/>
      <x:c r="O335" s="38"/>
      <x:c r="P335" s="38"/>
      <x:c r="Q335" s="38"/>
      <x:c r="R335" s="38"/>
      <x:c r="S335" s="38"/>
      <x:c r="T335" s="38"/>
      <x:c r="U335" s="38"/>
      <x:c r="V335" s="38"/>
      <x:c r="W335" s="38"/>
      <x:c r="X335" s="38"/>
      <x:c r="Y335" s="38"/>
      <x:c r="Z335" s="38"/>
    </x:row>
    <x:row r="336">
      <x:c r="A336" s="38"/>
      <x:c r="B336" s="38"/>
      <x:c r="C336" s="38"/>
      <x:c r="D336" s="38"/>
      <x:c r="E336" s="38"/>
      <x:c r="F336" s="38"/>
      <x:c r="G336" s="38"/>
      <x:c r="H336" s="38"/>
      <x:c r="I336" s="38"/>
      <x:c r="J336" s="38"/>
      <x:c r="K336" s="38"/>
      <x:c r="L336" s="38"/>
      <x:c r="M336" s="38"/>
      <x:c r="N336" s="38"/>
      <x:c r="O336" s="38"/>
      <x:c r="P336" s="38"/>
      <x:c r="Q336" s="38"/>
      <x:c r="R336" s="38"/>
      <x:c r="S336" s="38"/>
      <x:c r="T336" s="38"/>
      <x:c r="U336" s="38"/>
      <x:c r="V336" s="38"/>
      <x:c r="W336" s="38"/>
      <x:c r="X336" s="38"/>
      <x:c r="Y336" s="38"/>
      <x:c r="Z336" s="38"/>
    </x:row>
    <x:row r="337">
      <x:c r="A337" s="38"/>
      <x:c r="B337" s="38"/>
      <x:c r="C337" s="38"/>
      <x:c r="D337" s="38"/>
      <x:c r="E337" s="38"/>
      <x:c r="F337" s="38"/>
      <x:c r="G337" s="38"/>
      <x:c r="H337" s="38"/>
      <x:c r="I337" s="38"/>
      <x:c r="J337" s="38"/>
      <x:c r="K337" s="38"/>
      <x:c r="L337" s="38"/>
      <x:c r="M337" s="38"/>
      <x:c r="N337" s="38"/>
      <x:c r="O337" s="38"/>
      <x:c r="P337" s="38"/>
      <x:c r="Q337" s="38"/>
      <x:c r="R337" s="38"/>
      <x:c r="S337" s="38"/>
      <x:c r="T337" s="38"/>
      <x:c r="U337" s="38"/>
      <x:c r="V337" s="38"/>
      <x:c r="W337" s="38"/>
      <x:c r="X337" s="38"/>
      <x:c r="Y337" s="38"/>
      <x:c r="Z337" s="38"/>
    </x:row>
    <x:row r="338">
      <x:c r="A338" s="38"/>
      <x:c r="B338" s="38"/>
      <x:c r="C338" s="38"/>
      <x:c r="D338" s="38"/>
      <x:c r="E338" s="38"/>
      <x:c r="F338" s="38"/>
      <x:c r="G338" s="38"/>
      <x:c r="H338" s="38"/>
      <x:c r="I338" s="38"/>
      <x:c r="J338" s="38"/>
      <x:c r="K338" s="38"/>
      <x:c r="L338" s="38"/>
      <x:c r="M338" s="38"/>
      <x:c r="N338" s="38"/>
      <x:c r="O338" s="38"/>
      <x:c r="P338" s="38"/>
      <x:c r="Q338" s="38"/>
      <x:c r="R338" s="38"/>
      <x:c r="S338" s="38"/>
      <x:c r="T338" s="38"/>
      <x:c r="U338" s="38"/>
      <x:c r="V338" s="38"/>
      <x:c r="W338" s="38"/>
      <x:c r="X338" s="38"/>
      <x:c r="Y338" s="38"/>
      <x:c r="Z338" s="38"/>
    </x:row>
    <x:row r="339">
      <x:c r="A339" s="38"/>
      <x:c r="B339" s="38"/>
      <x:c r="C339" s="38"/>
      <x:c r="D339" s="38"/>
      <x:c r="E339" s="38"/>
      <x:c r="F339" s="38"/>
      <x:c r="G339" s="38"/>
      <x:c r="H339" s="38"/>
      <x:c r="I339" s="38"/>
      <x:c r="J339" s="38"/>
      <x:c r="K339" s="38"/>
      <x:c r="L339" s="38"/>
      <x:c r="M339" s="38"/>
      <x:c r="N339" s="38"/>
      <x:c r="O339" s="38"/>
      <x:c r="P339" s="38"/>
      <x:c r="Q339" s="38"/>
      <x:c r="R339" s="38"/>
      <x:c r="S339" s="38"/>
      <x:c r="T339" s="38"/>
      <x:c r="U339" s="38"/>
      <x:c r="V339" s="38"/>
      <x:c r="W339" s="38"/>
      <x:c r="X339" s="38"/>
      <x:c r="Y339" s="38"/>
      <x:c r="Z339" s="38"/>
    </x:row>
    <x:row r="340">
      <x:c r="A340" s="38"/>
      <x:c r="B340" s="38"/>
      <x:c r="C340" s="38"/>
      <x:c r="D340" s="38"/>
      <x:c r="E340" s="38"/>
      <x:c r="F340" s="38"/>
      <x:c r="G340" s="38"/>
      <x:c r="H340" s="38"/>
      <x:c r="I340" s="38"/>
      <x:c r="J340" s="38"/>
      <x:c r="K340" s="38"/>
      <x:c r="L340" s="38"/>
      <x:c r="M340" s="38"/>
      <x:c r="N340" s="38"/>
      <x:c r="O340" s="38"/>
      <x:c r="P340" s="38"/>
      <x:c r="Q340" s="38"/>
      <x:c r="R340" s="38"/>
      <x:c r="S340" s="38"/>
      <x:c r="T340" s="38"/>
      <x:c r="U340" s="38"/>
      <x:c r="V340" s="38"/>
      <x:c r="W340" s="38"/>
      <x:c r="X340" s="38"/>
      <x:c r="Y340" s="38"/>
      <x:c r="Z340" s="38"/>
    </x:row>
    <x:row r="341">
      <x:c r="A341" s="38"/>
      <x:c r="B341" s="38"/>
      <x:c r="C341" s="38"/>
      <x:c r="D341" s="38"/>
      <x:c r="E341" s="38"/>
      <x:c r="F341" s="38"/>
      <x:c r="G341" s="38"/>
      <x:c r="H341" s="38"/>
      <x:c r="I341" s="38"/>
      <x:c r="J341" s="38"/>
      <x:c r="K341" s="38"/>
      <x:c r="L341" s="38"/>
      <x:c r="M341" s="38"/>
      <x:c r="N341" s="38"/>
      <x:c r="O341" s="38"/>
      <x:c r="P341" s="38"/>
      <x:c r="Q341" s="38"/>
      <x:c r="R341" s="38"/>
      <x:c r="S341" s="38"/>
      <x:c r="T341" s="38"/>
      <x:c r="U341" s="38"/>
      <x:c r="V341" s="38"/>
      <x:c r="W341" s="38"/>
      <x:c r="X341" s="38"/>
      <x:c r="Y341" s="38"/>
      <x:c r="Z341" s="38"/>
    </x:row>
    <x:row r="342">
      <x:c r="A342" s="38"/>
      <x:c r="B342" s="38"/>
      <x:c r="C342" s="38"/>
      <x:c r="D342" s="38"/>
      <x:c r="E342" s="38"/>
      <x:c r="F342" s="38"/>
      <x:c r="G342" s="38"/>
      <x:c r="H342" s="38"/>
      <x:c r="I342" s="38"/>
      <x:c r="J342" s="38"/>
      <x:c r="K342" s="38"/>
      <x:c r="L342" s="38"/>
      <x:c r="M342" s="38"/>
      <x:c r="N342" s="38"/>
      <x:c r="O342" s="38"/>
      <x:c r="P342" s="38"/>
      <x:c r="Q342" s="38"/>
      <x:c r="R342" s="38"/>
      <x:c r="S342" s="38"/>
      <x:c r="T342" s="38"/>
      <x:c r="U342" s="38"/>
      <x:c r="V342" s="38"/>
      <x:c r="W342" s="38"/>
      <x:c r="X342" s="38"/>
      <x:c r="Y342" s="38"/>
      <x:c r="Z342" s="38"/>
    </x:row>
    <x:row r="343">
      <x:c r="A343" s="38"/>
      <x:c r="B343" s="38"/>
      <x:c r="C343" s="38"/>
      <x:c r="D343" s="38"/>
      <x:c r="E343" s="38"/>
      <x:c r="F343" s="38"/>
      <x:c r="G343" s="38"/>
      <x:c r="H343" s="38"/>
      <x:c r="I343" s="38"/>
      <x:c r="J343" s="38"/>
      <x:c r="K343" s="38"/>
      <x:c r="L343" s="38"/>
      <x:c r="M343" s="38"/>
      <x:c r="N343" s="38"/>
      <x:c r="O343" s="38"/>
      <x:c r="P343" s="38"/>
      <x:c r="Q343" s="38"/>
      <x:c r="R343" s="38"/>
      <x:c r="S343" s="38"/>
      <x:c r="T343" s="38"/>
      <x:c r="U343" s="38"/>
      <x:c r="V343" s="38"/>
      <x:c r="W343" s="38"/>
      <x:c r="X343" s="38"/>
      <x:c r="Y343" s="38"/>
      <x:c r="Z343" s="38"/>
    </x:row>
    <x:row r="344">
      <x:c r="A344" s="38"/>
      <x:c r="B344" s="38"/>
      <x:c r="C344" s="38"/>
      <x:c r="D344" s="38"/>
      <x:c r="E344" s="38"/>
      <x:c r="F344" s="38"/>
      <x:c r="G344" s="38"/>
      <x:c r="H344" s="38"/>
      <x:c r="I344" s="38"/>
      <x:c r="J344" s="38"/>
      <x:c r="K344" s="38"/>
      <x:c r="L344" s="38"/>
      <x:c r="M344" s="38"/>
      <x:c r="N344" s="38"/>
      <x:c r="O344" s="38"/>
      <x:c r="P344" s="38"/>
      <x:c r="Q344" s="38"/>
      <x:c r="R344" s="38"/>
      <x:c r="S344" s="38"/>
      <x:c r="T344" s="38"/>
      <x:c r="U344" s="38"/>
      <x:c r="V344" s="38"/>
      <x:c r="W344" s="38"/>
      <x:c r="X344" s="38"/>
      <x:c r="Y344" s="38"/>
      <x:c r="Z344" s="38"/>
    </x:row>
    <x:row r="345">
      <x:c r="A345" s="38"/>
      <x:c r="B345" s="38"/>
      <x:c r="C345" s="38"/>
      <x:c r="D345" s="38"/>
      <x:c r="E345" s="38"/>
      <x:c r="F345" s="38"/>
      <x:c r="G345" s="38"/>
      <x:c r="H345" s="38"/>
      <x:c r="I345" s="38"/>
      <x:c r="J345" s="38"/>
      <x:c r="K345" s="38"/>
      <x:c r="L345" s="38"/>
      <x:c r="M345" s="38"/>
      <x:c r="N345" s="38"/>
      <x:c r="O345" s="38"/>
      <x:c r="P345" s="38"/>
      <x:c r="Q345" s="38"/>
      <x:c r="R345" s="38"/>
      <x:c r="S345" s="38"/>
      <x:c r="T345" s="38"/>
      <x:c r="U345" s="38"/>
      <x:c r="V345" s="38"/>
      <x:c r="W345" s="38"/>
      <x:c r="X345" s="38"/>
      <x:c r="Y345" s="38"/>
      <x:c r="Z345" s="38"/>
    </x:row>
    <x:row r="346">
      <x:c r="A346" s="38"/>
      <x:c r="B346" s="38"/>
      <x:c r="C346" s="38"/>
      <x:c r="D346" s="38"/>
      <x:c r="E346" s="38"/>
      <x:c r="F346" s="38"/>
      <x:c r="G346" s="38"/>
      <x:c r="H346" s="38"/>
      <x:c r="I346" s="38"/>
      <x:c r="J346" s="38"/>
      <x:c r="K346" s="38"/>
      <x:c r="L346" s="38"/>
      <x:c r="M346" s="38"/>
      <x:c r="N346" s="38"/>
      <x:c r="O346" s="38"/>
      <x:c r="P346" s="38"/>
      <x:c r="Q346" s="38"/>
      <x:c r="R346" s="38"/>
      <x:c r="S346" s="38"/>
      <x:c r="T346" s="38"/>
      <x:c r="U346" s="38"/>
      <x:c r="V346" s="38"/>
      <x:c r="W346" s="38"/>
      <x:c r="X346" s="38"/>
      <x:c r="Y346" s="38"/>
      <x:c r="Z346" s="38"/>
    </x:row>
    <x:row r="347">
      <x:c r="A347" s="38"/>
      <x:c r="B347" s="38"/>
      <x:c r="C347" s="38"/>
      <x:c r="D347" s="38"/>
      <x:c r="E347" s="38"/>
      <x:c r="F347" s="38"/>
      <x:c r="G347" s="38"/>
      <x:c r="H347" s="38"/>
      <x:c r="I347" s="38"/>
      <x:c r="J347" s="38"/>
      <x:c r="K347" s="38"/>
      <x:c r="L347" s="38"/>
      <x:c r="M347" s="38"/>
      <x:c r="N347" s="38"/>
      <x:c r="O347" s="38"/>
      <x:c r="P347" s="38"/>
      <x:c r="Q347" s="38"/>
      <x:c r="R347" s="38"/>
      <x:c r="S347" s="38"/>
      <x:c r="T347" s="38"/>
      <x:c r="U347" s="38"/>
      <x:c r="V347" s="38"/>
      <x:c r="W347" s="38"/>
      <x:c r="X347" s="38"/>
      <x:c r="Y347" s="38"/>
      <x:c r="Z347" s="38"/>
    </x:row>
    <x:row r="348">
      <x:c r="A348" s="38"/>
      <x:c r="B348" s="38"/>
      <x:c r="C348" s="38"/>
      <x:c r="D348" s="38"/>
      <x:c r="E348" s="38"/>
      <x:c r="F348" s="38"/>
      <x:c r="G348" s="38"/>
      <x:c r="H348" s="38"/>
      <x:c r="I348" s="38"/>
      <x:c r="J348" s="38"/>
      <x:c r="K348" s="38"/>
      <x:c r="L348" s="38"/>
      <x:c r="M348" s="38"/>
      <x:c r="N348" s="38"/>
      <x:c r="O348" s="38"/>
      <x:c r="P348" s="38"/>
      <x:c r="Q348" s="38"/>
      <x:c r="R348" s="38"/>
      <x:c r="S348" s="38"/>
      <x:c r="T348" s="38"/>
      <x:c r="U348" s="38"/>
      <x:c r="V348" s="38"/>
      <x:c r="W348" s="38"/>
      <x:c r="X348" s="38"/>
      <x:c r="Y348" s="38"/>
      <x:c r="Z348" s="38"/>
    </x:row>
    <x:row r="349">
      <x:c r="A349" s="38"/>
      <x:c r="B349" s="38"/>
      <x:c r="C349" s="38"/>
      <x:c r="D349" s="38"/>
      <x:c r="E349" s="38"/>
      <x:c r="F349" s="38"/>
      <x:c r="G349" s="38"/>
      <x:c r="H349" s="38"/>
      <x:c r="I349" s="38"/>
      <x:c r="J349" s="38"/>
      <x:c r="K349" s="38"/>
      <x:c r="L349" s="38"/>
      <x:c r="M349" s="38"/>
      <x:c r="N349" s="38"/>
      <x:c r="O349" s="38"/>
      <x:c r="P349" s="38"/>
      <x:c r="Q349" s="38"/>
      <x:c r="R349" s="38"/>
      <x:c r="S349" s="38"/>
      <x:c r="T349" s="38"/>
      <x:c r="U349" s="38"/>
      <x:c r="V349" s="38"/>
      <x:c r="W349" s="38"/>
      <x:c r="X349" s="38"/>
      <x:c r="Y349" s="38"/>
      <x:c r="Z349" s="38"/>
    </x:row>
    <x:row r="350">
      <x:c r="A350" s="38"/>
      <x:c r="B350" s="38"/>
      <x:c r="C350" s="38"/>
      <x:c r="D350" s="38"/>
      <x:c r="E350" s="38"/>
      <x:c r="F350" s="38"/>
      <x:c r="G350" s="38"/>
      <x:c r="H350" s="38"/>
      <x:c r="I350" s="38"/>
      <x:c r="J350" s="38"/>
      <x:c r="K350" s="38"/>
      <x:c r="L350" s="38"/>
      <x:c r="M350" s="38"/>
      <x:c r="N350" s="38"/>
      <x:c r="O350" s="38"/>
      <x:c r="P350" s="38"/>
      <x:c r="Q350" s="38"/>
      <x:c r="R350" s="38"/>
      <x:c r="S350" s="38"/>
      <x:c r="T350" s="38"/>
      <x:c r="U350" s="38"/>
      <x:c r="V350" s="38"/>
      <x:c r="W350" s="38"/>
      <x:c r="X350" s="38"/>
      <x:c r="Y350" s="38"/>
      <x:c r="Z350" s="38"/>
    </x:row>
  </x:sheetData>
  <x:mergeCells>
    <x:mergeCell ref="A1:J1"/>
    <x:mergeCell ref="A2:J2"/>
  </x:mergeCells>
  <x:dataValidations count="2">
    <x:dataValidation type="list" sqref="E5:E500">
      <x:formula1>"Add,Create,Modify,Deprecate,Rename,Restructure"</x:formula1>
    </x:dataValidation>
    <x:dataValidation type="list" sqref="J5:J500">
      <x:formula1>"Draft,Approved,Rejected"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2fcb81f0230412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18" hidden="0" customWidth="1"/>
    <x:col min="4" max="4" width="18" hidden="0" customWidth="1"/>
    <x:col min="5" max="5" width="28" hidden="0" customWidth="1"/>
    <x:col min="6" max="6" width="44" hidden="0" customWidth="1"/>
    <x:col min="7" max="7" width="44" hidden="0" customWidth="1"/>
    <x:col min="8" max="8" width="22" hidden="0" customWidth="1"/>
    <x:col min="9" max="9" width="32" hidden="0" customWidth="1"/>
    <x:col min="10" max="10" width="48" hidden="0" customWidth="1"/>
    <x:col min="11" max="11" width="42" hidden="0" customWidth="1"/>
    <x:col min="12" max="12" width="42" hidden="0" customWidth="1"/>
    <x:col min="13" max="13" width="52" hidden="0" customWidth="1"/>
    <x:col min="14" max="14" width="24" hidden="0" customWidth="1"/>
    <x:col min="15" max="15" width="24" hidden="0" customWidth="1"/>
    <x:col min="16" max="16" width="18" hidden="0" customWidth="1"/>
    <x:col min="17" max="17" width="22" hidden="0" customWidth="1"/>
    <x:col min="18" max="18" width="38" hidden="0" customWidth="1"/>
    <x:col min="19" max="19" width="46" hidden="0" customWidth="1"/>
    <x:col min="20" max="20" width="18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</x:cols>
  <x:sheetData>
    <x:row r="1" ht="28" customHeight="1">
      <x:c r="A1" s="5" t="str">
        <x:v>99 — App Load View</x:v>
      </x:c>
    </x:row>
    <x:row r="2" ht="32" customHeight="1">
      <x:c r="A2" s="14" t="str">
        <x:v>Denormalized one-row-per-functionality view for application loading. Formula-driven from Products, Features, and Functionalities tabs.</x:v>
      </x:c>
    </x:row>
    <x:row r="4" ht="36" customHeight="1">
      <x:c r="A4" s="24" t="str">
        <x:v>Product_ID</x:v>
      </x:c>
      <x:c r="B4" s="24" t="str">
        <x:v>Product_Name</x:v>
      </x:c>
      <x:c r="C4" s="24" t="str">
        <x:v>Product_Type</x:v>
      </x:c>
      <x:c r="D4" s="24" t="str">
        <x:v>Feature_ID</x:v>
      </x:c>
      <x:c r="E4" s="24" t="str">
        <x:v>Feature_Name</x:v>
      </x:c>
      <x:c r="F4" s="24" t="str">
        <x:v>Feature_Description</x:v>
      </x:c>
      <x:c r="G4" s="24" t="str">
        <x:v>Customer_Assessment_Prompt</x:v>
      </x:c>
      <x:c r="H4" s="24" t="str">
        <x:v>Functionality_ID</x:v>
      </x:c>
      <x:c r="I4" s="24" t="str">
        <x:v>Functionality_Name</x:v>
      </x:c>
      <x:c r="J4" s="24" t="str">
        <x:v>Functionality_Description</x:v>
      </x:c>
      <x:c r="K4" s="24" t="str">
        <x:v>Includes</x:v>
      </x:c>
      <x:c r="L4" s="24" t="str">
        <x:v>Excludes</x:v>
      </x:c>
      <x:c r="M4" s="24" t="str">
        <x:v>Comparator_Evaluation_Question</x:v>
      </x:c>
      <x:c r="N4" s="24" t="str">
        <x:v>Primary_Analysis_Domain</x:v>
      </x:c>
      <x:c r="O4" s="24" t="str">
        <x:v>Capability_Group</x:v>
      </x:c>
      <x:c r="P4" s="24" t="str">
        <x:v>Default_Criticality</x:v>
      </x:c>
      <x:c r="Q4" s="24" t="str">
        <x:v>Sovereignty_Relevance</x:v>
      </x:c>
      <x:c r="R4" s="24" t="str">
        <x:v>Evidence_Expectation</x:v>
      </x:c>
      <x:c r="S4" s="24" t="str">
        <x:v>AI_Seed_Search_Terms</x:v>
      </x:c>
      <x:c r="T4" s="24" t="str">
        <x:v>Assessment_Enabled</x:v>
      </x:c>
      <x:c r="U4" s="24" t="str">
        <x:v>Product_Sort_Order</x:v>
      </x:c>
      <x:c r="V4" s="24" t="str">
        <x:v>Feature_Sort_Order</x:v>
      </x:c>
      <x:c r="W4" s="24" t="str">
        <x:v>Functionality_Sort_Order</x:v>
      </x:c>
      <x:c r="X4" s="24" t="str">
        <x:v>Status</x:v>
      </x:c>
      <x:c r="Y4" s="38"/>
      <x:c r="Z4" s="38"/>
    </x:row>
    <x:row r="5" ht="18" customHeight="1">
      <x:c r="A5" s="32" t="str">
        <x:f>IF('03_Functionalities'!$A5="","",'03_Functionalities'!$C5)</x:f>
      </x:c>
      <x:c r="B5" s="32" t="str">
        <x:f>IF($A5="","",IFERROR(XLOOKUP($A5,'01_Products'!$A$5:$A$500,'01_Products'!$B$5:$B$500),""))</x:f>
      </x:c>
      <x:c r="C5" s="32" t="str">
        <x:f>IF($A5="","",IFERROR(XLOOKUP($A5,'01_Products'!$A$5:$A$500,'01_Products'!$C$5:$C$500),""))</x:f>
      </x:c>
      <x:c r="D5" s="32" t="str">
        <x:f>IF('03_Functionalities'!$A5="","",'03_Functionalities'!$B5)</x:f>
      </x:c>
      <x:c r="E5" s="32" t="str">
        <x:f>IF($D5="","",IFERROR(XLOOKUP($D5,'02_Features'!$A$5:$A$1000,'02_Features'!$C$5:$C$1000),""))</x:f>
      </x:c>
      <x:c r="F5" s="32" t="str">
        <x:f>IF($D5="","",IFERROR(XLOOKUP($D5,'02_Features'!$A$5:$A$1000,'02_Features'!$D$5:$D$1000),""))</x:f>
      </x:c>
      <x:c r="G5" s="32" t="str">
        <x:f>IF($D5="","",IFERROR(XLOOKUP($D5,'02_Features'!$A$5:$A$1000,'02_Features'!$E$5:$E$1000),""))</x:f>
      </x:c>
      <x:c r="H5" s="32" t="str">
        <x:f>IF('03_Functionalities'!$A5="","",'03_Functionalities'!$A5)</x:f>
      </x:c>
      <x:c r="I5" s="32" t="str">
        <x:f>IF($H5="","",'03_Functionalities'!$D5)</x:f>
      </x:c>
      <x:c r="J5" s="32" t="str">
        <x:f>IF($H5="","",'03_Functionalities'!$E5)</x:f>
      </x:c>
      <x:c r="K5" s="32" t="str">
        <x:f>IF($H5="","",'03_Functionalities'!$F5)</x:f>
      </x:c>
      <x:c r="L5" s="32" t="str">
        <x:f>IF($H5="","",'03_Functionalities'!$G5)</x:f>
      </x:c>
      <x:c r="M5" s="32" t="str">
        <x:f>IF($H5="","",'03_Functionalities'!$H5)</x:f>
      </x:c>
      <x:c r="N5" s="32" t="str">
        <x:f>IF($H5="","",'03_Functionalities'!$I5)</x:f>
      </x:c>
      <x:c r="O5" s="32" t="str">
        <x:f>IF($H5="","",'03_Functionalities'!$J5)</x:f>
      </x:c>
      <x:c r="P5" s="32" t="str">
        <x:f>IF($H5="","",'03_Functionalities'!$K5)</x:f>
      </x:c>
      <x:c r="Q5" s="32" t="str">
        <x:f>IF($H5="","",'03_Functionalities'!$L5)</x:f>
      </x:c>
      <x:c r="R5" s="32" t="str">
        <x:f>IF($H5="","",'03_Functionalities'!$M5)</x:f>
      </x:c>
      <x:c r="S5" s="32" t="str">
        <x:f>IF($H5="","",'03_Functionalities'!$N5)</x:f>
      </x:c>
      <x:c r="T5" s="32" t="str">
        <x:f>IF($H5="","",'03_Functionalities'!$O5)</x:f>
      </x:c>
      <x:c r="U5" s="32" t="str">
        <x:f>IF($A5="","",IFERROR(XLOOKUP($A5,'01_Products'!$A$5:$A$500,'01_Products'!$G$5:$G$500),""))</x:f>
      </x:c>
      <x:c r="V5" s="32" t="str">
        <x:f>IF($D5="","",IFERROR(XLOOKUP($D5,'02_Features'!$A$5:$A$1000,'02_Features'!$J$5:$J$1000),""))</x:f>
      </x:c>
      <x:c r="W5" s="32" t="str">
        <x:f>IF($H5="","",'03_Functionalities'!$P5)</x:f>
      </x:c>
      <x:c r="X5" s="32" t="str">
        <x:f>IF($H5="","",'03_Functionalities'!$Q5)</x:f>
      </x:c>
      <x:c r="Y5" s="38"/>
      <x:c r="Z5" s="38"/>
    </x:row>
    <x:row r="6" ht="18" customHeight="1">
      <x:c r="A6" s="32" t="str">
        <x:f>IF('03_Functionalities'!$A6="","",'03_Functionalities'!$C6)</x:f>
      </x:c>
      <x:c r="B6" s="32" t="str">
        <x:f>IF($A6="","",IFERROR(XLOOKUP($A6,'01_Products'!$A$5:$A$500,'01_Products'!$B$5:$B$500),""))</x:f>
      </x:c>
      <x:c r="C6" s="32" t="str">
        <x:f>IF($A6="","",IFERROR(XLOOKUP($A6,'01_Products'!$A$5:$A$500,'01_Products'!$C$5:$C$500),""))</x:f>
      </x:c>
      <x:c r="D6" s="32" t="str">
        <x:f>IF('03_Functionalities'!$A6="","",'03_Functionalities'!$B6)</x:f>
      </x:c>
      <x:c r="E6" s="32" t="str">
        <x:f>IF($D6="","",IFERROR(XLOOKUP($D6,'02_Features'!$A$5:$A$1000,'02_Features'!$C$5:$C$1000),""))</x:f>
      </x:c>
      <x:c r="F6" s="32" t="str">
        <x:f>IF($D6="","",IFERROR(XLOOKUP($D6,'02_Features'!$A$5:$A$1000,'02_Features'!$D$5:$D$1000),""))</x:f>
      </x:c>
      <x:c r="G6" s="32" t="str">
        <x:f>IF($D6="","",IFERROR(XLOOKUP($D6,'02_Features'!$A$5:$A$1000,'02_Features'!$E$5:$E$1000),""))</x:f>
      </x:c>
      <x:c r="H6" s="32" t="str">
        <x:f>IF('03_Functionalities'!$A6="","",'03_Functionalities'!$A6)</x:f>
      </x:c>
      <x:c r="I6" s="32" t="str">
        <x:f>IF($H6="","",'03_Functionalities'!$D6)</x:f>
      </x:c>
      <x:c r="J6" s="32" t="str">
        <x:f>IF($H6="","",'03_Functionalities'!$E6)</x:f>
      </x:c>
      <x:c r="K6" s="32" t="str">
        <x:f>IF($H6="","",'03_Functionalities'!$F6)</x:f>
      </x:c>
      <x:c r="L6" s="32" t="str">
        <x:f>IF($H6="","",'03_Functionalities'!$G6)</x:f>
      </x:c>
      <x:c r="M6" s="32" t="str">
        <x:f>IF($H6="","",'03_Functionalities'!$H6)</x:f>
      </x:c>
      <x:c r="N6" s="32" t="str">
        <x:f>IF($H6="","",'03_Functionalities'!$I6)</x:f>
      </x:c>
      <x:c r="O6" s="32" t="str">
        <x:f>IF($H6="","",'03_Functionalities'!$J6)</x:f>
      </x:c>
      <x:c r="P6" s="32" t="str">
        <x:f>IF($H6="","",'03_Functionalities'!$K6)</x:f>
      </x:c>
      <x:c r="Q6" s="32" t="str">
        <x:f>IF($H6="","",'03_Functionalities'!$L6)</x:f>
      </x:c>
      <x:c r="R6" s="32" t="str">
        <x:f>IF($H6="","",'03_Functionalities'!$M6)</x:f>
      </x:c>
      <x:c r="S6" s="32" t="str">
        <x:f>IF($H6="","",'03_Functionalities'!$N6)</x:f>
      </x:c>
      <x:c r="T6" s="32" t="str">
        <x:f>IF($H6="","",'03_Functionalities'!$O6)</x:f>
      </x:c>
      <x:c r="U6" s="32" t="str">
        <x:f>IF($A6="","",IFERROR(XLOOKUP($A6,'01_Products'!$A$5:$A$500,'01_Products'!$G$5:$G$500),""))</x:f>
      </x:c>
      <x:c r="V6" s="32" t="str">
        <x:f>IF($D6="","",IFERROR(XLOOKUP($D6,'02_Features'!$A$5:$A$1000,'02_Features'!$J$5:$J$1000),""))</x:f>
      </x:c>
      <x:c r="W6" s="32" t="str">
        <x:f>IF($H6="","",'03_Functionalities'!$P6)</x:f>
      </x:c>
      <x:c r="X6" s="32" t="str">
        <x:f>IF($H6="","",'03_Functionalities'!$Q6)</x:f>
      </x:c>
      <x:c r="Y6" s="38"/>
      <x:c r="Z6" s="38"/>
    </x:row>
    <x:row r="7" ht="18" customHeight="1">
      <x:c r="A7" s="32" t="str">
        <x:f>IF('03_Functionalities'!$A7="","",'03_Functionalities'!$C7)</x:f>
      </x:c>
      <x:c r="B7" s="32" t="str">
        <x:f>IF($A7="","",IFERROR(XLOOKUP($A7,'01_Products'!$A$5:$A$500,'01_Products'!$B$5:$B$500),""))</x:f>
      </x:c>
      <x:c r="C7" s="32" t="str">
        <x:f>IF($A7="","",IFERROR(XLOOKUP($A7,'01_Products'!$A$5:$A$500,'01_Products'!$C$5:$C$500),""))</x:f>
      </x:c>
      <x:c r="D7" s="32" t="str">
        <x:f>IF('03_Functionalities'!$A7="","",'03_Functionalities'!$B7)</x:f>
      </x:c>
      <x:c r="E7" s="32" t="str">
        <x:f>IF($D7="","",IFERROR(XLOOKUP($D7,'02_Features'!$A$5:$A$1000,'02_Features'!$C$5:$C$1000),""))</x:f>
      </x:c>
      <x:c r="F7" s="32" t="str">
        <x:f>IF($D7="","",IFERROR(XLOOKUP($D7,'02_Features'!$A$5:$A$1000,'02_Features'!$D$5:$D$1000),""))</x:f>
      </x:c>
      <x:c r="G7" s="32" t="str">
        <x:f>IF($D7="","",IFERROR(XLOOKUP($D7,'02_Features'!$A$5:$A$1000,'02_Features'!$E$5:$E$1000),""))</x:f>
      </x:c>
      <x:c r="H7" s="32" t="str">
        <x:f>IF('03_Functionalities'!$A7="","",'03_Functionalities'!$A7)</x:f>
      </x:c>
      <x:c r="I7" s="32" t="str">
        <x:f>IF($H7="","",'03_Functionalities'!$D7)</x:f>
      </x:c>
      <x:c r="J7" s="32" t="str">
        <x:f>IF($H7="","",'03_Functionalities'!$E7)</x:f>
      </x:c>
      <x:c r="K7" s="32" t="str">
        <x:f>IF($H7="","",'03_Functionalities'!$F7)</x:f>
      </x:c>
      <x:c r="L7" s="32" t="str">
        <x:f>IF($H7="","",'03_Functionalities'!$G7)</x:f>
      </x:c>
      <x:c r="M7" s="32" t="str">
        <x:f>IF($H7="","",'03_Functionalities'!$H7)</x:f>
      </x:c>
      <x:c r="N7" s="32" t="str">
        <x:f>IF($H7="","",'03_Functionalities'!$I7)</x:f>
      </x:c>
      <x:c r="O7" s="32" t="str">
        <x:f>IF($H7="","",'03_Functionalities'!$J7)</x:f>
      </x:c>
      <x:c r="P7" s="32" t="str">
        <x:f>IF($H7="","",'03_Functionalities'!$K7)</x:f>
      </x:c>
      <x:c r="Q7" s="32" t="str">
        <x:f>IF($H7="","",'03_Functionalities'!$L7)</x:f>
      </x:c>
      <x:c r="R7" s="32" t="str">
        <x:f>IF($H7="","",'03_Functionalities'!$M7)</x:f>
      </x:c>
      <x:c r="S7" s="32" t="str">
        <x:f>IF($H7="","",'03_Functionalities'!$N7)</x:f>
      </x:c>
      <x:c r="T7" s="32" t="str">
        <x:f>IF($H7="","",'03_Functionalities'!$O7)</x:f>
      </x:c>
      <x:c r="U7" s="32" t="str">
        <x:f>IF($A7="","",IFERROR(XLOOKUP($A7,'01_Products'!$A$5:$A$500,'01_Products'!$G$5:$G$500),""))</x:f>
      </x:c>
      <x:c r="V7" s="32" t="str">
        <x:f>IF($D7="","",IFERROR(XLOOKUP($D7,'02_Features'!$A$5:$A$1000,'02_Features'!$J$5:$J$1000),""))</x:f>
      </x:c>
      <x:c r="W7" s="32" t="str">
        <x:f>IF($H7="","",'03_Functionalities'!$P7)</x:f>
      </x:c>
      <x:c r="X7" s="32" t="str">
        <x:f>IF($H7="","",'03_Functionalities'!$Q7)</x:f>
      </x:c>
      <x:c r="Y7" s="38"/>
      <x:c r="Z7" s="38"/>
    </x:row>
    <x:row r="8" ht="18" customHeight="1">
      <x:c r="A8" s="32" t="str">
        <x:f>IF('03_Functionalities'!$A8="","",'03_Functionalities'!$C8)</x:f>
      </x:c>
      <x:c r="B8" s="32" t="str">
        <x:f>IF($A8="","",IFERROR(XLOOKUP($A8,'01_Products'!$A$5:$A$500,'01_Products'!$B$5:$B$500),""))</x:f>
      </x:c>
      <x:c r="C8" s="32" t="str">
        <x:f>IF($A8="","",IFERROR(XLOOKUP($A8,'01_Products'!$A$5:$A$500,'01_Products'!$C$5:$C$500),""))</x:f>
      </x:c>
      <x:c r="D8" s="32" t="str">
        <x:f>IF('03_Functionalities'!$A8="","",'03_Functionalities'!$B8)</x:f>
      </x:c>
      <x:c r="E8" s="32" t="str">
        <x:f>IF($D8="","",IFERROR(XLOOKUP($D8,'02_Features'!$A$5:$A$1000,'02_Features'!$C$5:$C$1000),""))</x:f>
      </x:c>
      <x:c r="F8" s="32" t="str">
        <x:f>IF($D8="","",IFERROR(XLOOKUP($D8,'02_Features'!$A$5:$A$1000,'02_Features'!$D$5:$D$1000),""))</x:f>
      </x:c>
      <x:c r="G8" s="32" t="str">
        <x:f>IF($D8="","",IFERROR(XLOOKUP($D8,'02_Features'!$A$5:$A$1000,'02_Features'!$E$5:$E$1000),""))</x:f>
      </x:c>
      <x:c r="H8" s="32" t="str">
        <x:f>IF('03_Functionalities'!$A8="","",'03_Functionalities'!$A8)</x:f>
      </x:c>
      <x:c r="I8" s="32" t="str">
        <x:f>IF($H8="","",'03_Functionalities'!$D8)</x:f>
      </x:c>
      <x:c r="J8" s="32" t="str">
        <x:f>IF($H8="","",'03_Functionalities'!$E8)</x:f>
      </x:c>
      <x:c r="K8" s="32" t="str">
        <x:f>IF($H8="","",'03_Functionalities'!$F8)</x:f>
      </x:c>
      <x:c r="L8" s="32" t="str">
        <x:f>IF($H8="","",'03_Functionalities'!$G8)</x:f>
      </x:c>
      <x:c r="M8" s="32" t="str">
        <x:f>IF($H8="","",'03_Functionalities'!$H8)</x:f>
      </x:c>
      <x:c r="N8" s="32" t="str">
        <x:f>IF($H8="","",'03_Functionalities'!$I8)</x:f>
      </x:c>
      <x:c r="O8" s="32" t="str">
        <x:f>IF($H8="","",'03_Functionalities'!$J8)</x:f>
      </x:c>
      <x:c r="P8" s="32" t="str">
        <x:f>IF($H8="","",'03_Functionalities'!$K8)</x:f>
      </x:c>
      <x:c r="Q8" s="32" t="str">
        <x:f>IF($H8="","",'03_Functionalities'!$L8)</x:f>
      </x:c>
      <x:c r="R8" s="32" t="str">
        <x:f>IF($H8="","",'03_Functionalities'!$M8)</x:f>
      </x:c>
      <x:c r="S8" s="32" t="str">
        <x:f>IF($H8="","",'03_Functionalities'!$N8)</x:f>
      </x:c>
      <x:c r="T8" s="32" t="str">
        <x:f>IF($H8="","",'03_Functionalities'!$O8)</x:f>
      </x:c>
      <x:c r="U8" s="32" t="str">
        <x:f>IF($A8="","",IFERROR(XLOOKUP($A8,'01_Products'!$A$5:$A$500,'01_Products'!$G$5:$G$500),""))</x:f>
      </x:c>
      <x:c r="V8" s="32" t="str">
        <x:f>IF($D8="","",IFERROR(XLOOKUP($D8,'02_Features'!$A$5:$A$1000,'02_Features'!$J$5:$J$1000),""))</x:f>
      </x:c>
      <x:c r="W8" s="32" t="str">
        <x:f>IF($H8="","",'03_Functionalities'!$P8)</x:f>
      </x:c>
      <x:c r="X8" s="32" t="str">
        <x:f>IF($H8="","",'03_Functionalities'!$Q8)</x:f>
      </x:c>
      <x:c r="Y8" s="38"/>
      <x:c r="Z8" s="38"/>
    </x:row>
    <x:row r="9" ht="18" customHeight="1">
      <x:c r="A9" s="32" t="str">
        <x:f>IF('03_Functionalities'!$A9="","",'03_Functionalities'!$C9)</x:f>
      </x:c>
      <x:c r="B9" s="32" t="str">
        <x:f>IF($A9="","",IFERROR(XLOOKUP($A9,'01_Products'!$A$5:$A$500,'01_Products'!$B$5:$B$500),""))</x:f>
      </x:c>
      <x:c r="C9" s="32" t="str">
        <x:f>IF($A9="","",IFERROR(XLOOKUP($A9,'01_Products'!$A$5:$A$500,'01_Products'!$C$5:$C$500),""))</x:f>
      </x:c>
      <x:c r="D9" s="32" t="str">
        <x:f>IF('03_Functionalities'!$A9="","",'03_Functionalities'!$B9)</x:f>
      </x:c>
      <x:c r="E9" s="32" t="str">
        <x:f>IF($D9="","",IFERROR(XLOOKUP($D9,'02_Features'!$A$5:$A$1000,'02_Features'!$C$5:$C$1000),""))</x:f>
      </x:c>
      <x:c r="F9" s="32" t="str">
        <x:f>IF($D9="","",IFERROR(XLOOKUP($D9,'02_Features'!$A$5:$A$1000,'02_Features'!$D$5:$D$1000),""))</x:f>
      </x:c>
      <x:c r="G9" s="32" t="str">
        <x:f>IF($D9="","",IFERROR(XLOOKUP($D9,'02_Features'!$A$5:$A$1000,'02_Features'!$E$5:$E$1000),""))</x:f>
      </x:c>
      <x:c r="H9" s="32" t="str">
        <x:f>IF('03_Functionalities'!$A9="","",'03_Functionalities'!$A9)</x:f>
      </x:c>
      <x:c r="I9" s="32" t="str">
        <x:f>IF($H9="","",'03_Functionalities'!$D9)</x:f>
      </x:c>
      <x:c r="J9" s="32" t="str">
        <x:f>IF($H9="","",'03_Functionalities'!$E9)</x:f>
      </x:c>
      <x:c r="K9" s="32" t="str">
        <x:f>IF($H9="","",'03_Functionalities'!$F9)</x:f>
      </x:c>
      <x:c r="L9" s="32" t="str">
        <x:f>IF($H9="","",'03_Functionalities'!$G9)</x:f>
      </x:c>
      <x:c r="M9" s="32" t="str">
        <x:f>IF($H9="","",'03_Functionalities'!$H9)</x:f>
      </x:c>
      <x:c r="N9" s="32" t="str">
        <x:f>IF($H9="","",'03_Functionalities'!$I9)</x:f>
      </x:c>
      <x:c r="O9" s="32" t="str">
        <x:f>IF($H9="","",'03_Functionalities'!$J9)</x:f>
      </x:c>
      <x:c r="P9" s="32" t="str">
        <x:f>IF($H9="","",'03_Functionalities'!$K9)</x:f>
      </x:c>
      <x:c r="Q9" s="32" t="str">
        <x:f>IF($H9="","",'03_Functionalities'!$L9)</x:f>
      </x:c>
      <x:c r="R9" s="32" t="str">
        <x:f>IF($H9="","",'03_Functionalities'!$M9)</x:f>
      </x:c>
      <x:c r="S9" s="32" t="str">
        <x:f>IF($H9="","",'03_Functionalities'!$N9)</x:f>
      </x:c>
      <x:c r="T9" s="32" t="str">
        <x:f>IF($H9="","",'03_Functionalities'!$O9)</x:f>
      </x:c>
      <x:c r="U9" s="32" t="str">
        <x:f>IF($A9="","",IFERROR(XLOOKUP($A9,'01_Products'!$A$5:$A$500,'01_Products'!$G$5:$G$500),""))</x:f>
      </x:c>
      <x:c r="V9" s="32" t="str">
        <x:f>IF($D9="","",IFERROR(XLOOKUP($D9,'02_Features'!$A$5:$A$1000,'02_Features'!$J$5:$J$1000),""))</x:f>
      </x:c>
      <x:c r="W9" s="32" t="str">
        <x:f>IF($H9="","",'03_Functionalities'!$P9)</x:f>
      </x:c>
      <x:c r="X9" s="32" t="str">
        <x:f>IF($H9="","",'03_Functionalities'!$Q9)</x:f>
      </x:c>
      <x:c r="Y9" s="38"/>
      <x:c r="Z9" s="38"/>
    </x:row>
    <x:row r="10" ht="18" customHeight="1">
      <x:c r="A10" s="32" t="str">
        <x:f>IF('03_Functionalities'!$A10="","",'03_Functionalities'!$C10)</x:f>
      </x:c>
      <x:c r="B10" s="32" t="str">
        <x:f>IF($A10="","",IFERROR(XLOOKUP($A10,'01_Products'!$A$5:$A$500,'01_Products'!$B$5:$B$500),""))</x:f>
      </x:c>
      <x:c r="C10" s="32" t="str">
        <x:f>IF($A10="","",IFERROR(XLOOKUP($A10,'01_Products'!$A$5:$A$500,'01_Products'!$C$5:$C$500),""))</x:f>
      </x:c>
      <x:c r="D10" s="32" t="str">
        <x:f>IF('03_Functionalities'!$A10="","",'03_Functionalities'!$B10)</x:f>
      </x:c>
      <x:c r="E10" s="32" t="str">
        <x:f>IF($D10="","",IFERROR(XLOOKUP($D10,'02_Features'!$A$5:$A$1000,'02_Features'!$C$5:$C$1000),""))</x:f>
      </x:c>
      <x:c r="F10" s="32" t="str">
        <x:f>IF($D10="","",IFERROR(XLOOKUP($D10,'02_Features'!$A$5:$A$1000,'02_Features'!$D$5:$D$1000),""))</x:f>
      </x:c>
      <x:c r="G10" s="32" t="str">
        <x:f>IF($D10="","",IFERROR(XLOOKUP($D10,'02_Features'!$A$5:$A$1000,'02_Features'!$E$5:$E$1000),""))</x:f>
      </x:c>
      <x:c r="H10" s="32" t="str">
        <x:f>IF('03_Functionalities'!$A10="","",'03_Functionalities'!$A10)</x:f>
      </x:c>
      <x:c r="I10" s="32" t="str">
        <x:f>IF($H10="","",'03_Functionalities'!$D10)</x:f>
      </x:c>
      <x:c r="J10" s="32" t="str">
        <x:f>IF($H10="","",'03_Functionalities'!$E10)</x:f>
      </x:c>
      <x:c r="K10" s="32" t="str">
        <x:f>IF($H10="","",'03_Functionalities'!$F10)</x:f>
      </x:c>
      <x:c r="L10" s="32" t="str">
        <x:f>IF($H10="","",'03_Functionalities'!$G10)</x:f>
      </x:c>
      <x:c r="M10" s="32" t="str">
        <x:f>IF($H10="","",'03_Functionalities'!$H10)</x:f>
      </x:c>
      <x:c r="N10" s="32" t="str">
        <x:f>IF($H10="","",'03_Functionalities'!$I10)</x:f>
      </x:c>
      <x:c r="O10" s="32" t="str">
        <x:f>IF($H10="","",'03_Functionalities'!$J10)</x:f>
      </x:c>
      <x:c r="P10" s="32" t="str">
        <x:f>IF($H10="","",'03_Functionalities'!$K10)</x:f>
      </x:c>
      <x:c r="Q10" s="32" t="str">
        <x:f>IF($H10="","",'03_Functionalities'!$L10)</x:f>
      </x:c>
      <x:c r="R10" s="32" t="str">
        <x:f>IF($H10="","",'03_Functionalities'!$M10)</x:f>
      </x:c>
      <x:c r="S10" s="32" t="str">
        <x:f>IF($H10="","",'03_Functionalities'!$N10)</x:f>
      </x:c>
      <x:c r="T10" s="32" t="str">
        <x:f>IF($H10="","",'03_Functionalities'!$O10)</x:f>
      </x:c>
      <x:c r="U10" s="32" t="str">
        <x:f>IF($A10="","",IFERROR(XLOOKUP($A10,'01_Products'!$A$5:$A$500,'01_Products'!$G$5:$G$500),""))</x:f>
      </x:c>
      <x:c r="V10" s="32" t="str">
        <x:f>IF($D10="","",IFERROR(XLOOKUP($D10,'02_Features'!$A$5:$A$1000,'02_Features'!$J$5:$J$1000),""))</x:f>
      </x:c>
      <x:c r="W10" s="32" t="str">
        <x:f>IF($H10="","",'03_Functionalities'!$P10)</x:f>
      </x:c>
      <x:c r="X10" s="32" t="str">
        <x:f>IF($H10="","",'03_Functionalities'!$Q10)</x:f>
      </x:c>
      <x:c r="Y10" s="38"/>
      <x:c r="Z10" s="38"/>
    </x:row>
    <x:row r="11" ht="18" customHeight="1">
      <x:c r="A11" s="32" t="str">
        <x:f>IF('03_Functionalities'!$A11="","",'03_Functionalities'!$C11)</x:f>
      </x:c>
      <x:c r="B11" s="32" t="str">
        <x:f>IF($A11="","",IFERROR(XLOOKUP($A11,'01_Products'!$A$5:$A$500,'01_Products'!$B$5:$B$500),""))</x:f>
      </x:c>
      <x:c r="C11" s="32" t="str">
        <x:f>IF($A11="","",IFERROR(XLOOKUP($A11,'01_Products'!$A$5:$A$500,'01_Products'!$C$5:$C$500),""))</x:f>
      </x:c>
      <x:c r="D11" s="32" t="str">
        <x:f>IF('03_Functionalities'!$A11="","",'03_Functionalities'!$B11)</x:f>
      </x:c>
      <x:c r="E11" s="32" t="str">
        <x:f>IF($D11="","",IFERROR(XLOOKUP($D11,'02_Features'!$A$5:$A$1000,'02_Features'!$C$5:$C$1000),""))</x:f>
      </x:c>
      <x:c r="F11" s="32" t="str">
        <x:f>IF($D11="","",IFERROR(XLOOKUP($D11,'02_Features'!$A$5:$A$1000,'02_Features'!$D$5:$D$1000),""))</x:f>
      </x:c>
      <x:c r="G11" s="32" t="str">
        <x:f>IF($D11="","",IFERROR(XLOOKUP($D11,'02_Features'!$A$5:$A$1000,'02_Features'!$E$5:$E$1000),""))</x:f>
      </x:c>
      <x:c r="H11" s="32" t="str">
        <x:f>IF('03_Functionalities'!$A11="","",'03_Functionalities'!$A11)</x:f>
      </x:c>
      <x:c r="I11" s="32" t="str">
        <x:f>IF($H11="","",'03_Functionalities'!$D11)</x:f>
      </x:c>
      <x:c r="J11" s="32" t="str">
        <x:f>IF($H11="","",'03_Functionalities'!$E11)</x:f>
      </x:c>
      <x:c r="K11" s="32" t="str">
        <x:f>IF($H11="","",'03_Functionalities'!$F11)</x:f>
      </x:c>
      <x:c r="L11" s="32" t="str">
        <x:f>IF($H11="","",'03_Functionalities'!$G11)</x:f>
      </x:c>
      <x:c r="M11" s="32" t="str">
        <x:f>IF($H11="","",'03_Functionalities'!$H11)</x:f>
      </x:c>
      <x:c r="N11" s="32" t="str">
        <x:f>IF($H11="","",'03_Functionalities'!$I11)</x:f>
      </x:c>
      <x:c r="O11" s="32" t="str">
        <x:f>IF($H11="","",'03_Functionalities'!$J11)</x:f>
      </x:c>
      <x:c r="P11" s="32" t="str">
        <x:f>IF($H11="","",'03_Functionalities'!$K11)</x:f>
      </x:c>
      <x:c r="Q11" s="32" t="str">
        <x:f>IF($H11="","",'03_Functionalities'!$L11)</x:f>
      </x:c>
      <x:c r="R11" s="32" t="str">
        <x:f>IF($H11="","",'03_Functionalities'!$M11)</x:f>
      </x:c>
      <x:c r="S11" s="32" t="str">
        <x:f>IF($H11="","",'03_Functionalities'!$N11)</x:f>
      </x:c>
      <x:c r="T11" s="32" t="str">
        <x:f>IF($H11="","",'03_Functionalities'!$O11)</x:f>
      </x:c>
      <x:c r="U11" s="32" t="str">
        <x:f>IF($A11="","",IFERROR(XLOOKUP($A11,'01_Products'!$A$5:$A$500,'01_Products'!$G$5:$G$500),""))</x:f>
      </x:c>
      <x:c r="V11" s="32" t="str">
        <x:f>IF($D11="","",IFERROR(XLOOKUP($D11,'02_Features'!$A$5:$A$1000,'02_Features'!$J$5:$J$1000),""))</x:f>
      </x:c>
      <x:c r="W11" s="32" t="str">
        <x:f>IF($H11="","",'03_Functionalities'!$P11)</x:f>
      </x:c>
      <x:c r="X11" s="32" t="str">
        <x:f>IF($H11="","",'03_Functionalities'!$Q11)</x:f>
      </x:c>
      <x:c r="Y11" s="38"/>
      <x:c r="Z11" s="38"/>
    </x:row>
    <x:row r="12" ht="18" customHeight="1">
      <x:c r="A12" s="32" t="str">
        <x:f>IF('03_Functionalities'!$A12="","",'03_Functionalities'!$C12)</x:f>
      </x:c>
      <x:c r="B12" s="32" t="str">
        <x:f>IF($A12="","",IFERROR(XLOOKUP($A12,'01_Products'!$A$5:$A$500,'01_Products'!$B$5:$B$500),""))</x:f>
      </x:c>
      <x:c r="C12" s="32" t="str">
        <x:f>IF($A12="","",IFERROR(XLOOKUP($A12,'01_Products'!$A$5:$A$500,'01_Products'!$C$5:$C$500),""))</x:f>
      </x:c>
      <x:c r="D12" s="32" t="str">
        <x:f>IF('03_Functionalities'!$A12="","",'03_Functionalities'!$B12)</x:f>
      </x:c>
      <x:c r="E12" s="32" t="str">
        <x:f>IF($D12="","",IFERROR(XLOOKUP($D12,'02_Features'!$A$5:$A$1000,'02_Features'!$C$5:$C$1000),""))</x:f>
      </x:c>
      <x:c r="F12" s="32" t="str">
        <x:f>IF($D12="","",IFERROR(XLOOKUP($D12,'02_Features'!$A$5:$A$1000,'02_Features'!$D$5:$D$1000),""))</x:f>
      </x:c>
      <x:c r="G12" s="32" t="str">
        <x:f>IF($D12="","",IFERROR(XLOOKUP($D12,'02_Features'!$A$5:$A$1000,'02_Features'!$E$5:$E$1000),""))</x:f>
      </x:c>
      <x:c r="H12" s="32" t="str">
        <x:f>IF('03_Functionalities'!$A12="","",'03_Functionalities'!$A12)</x:f>
      </x:c>
      <x:c r="I12" s="32" t="str">
        <x:f>IF($H12="","",'03_Functionalities'!$D12)</x:f>
      </x:c>
      <x:c r="J12" s="32" t="str">
        <x:f>IF($H12="","",'03_Functionalities'!$E12)</x:f>
      </x:c>
      <x:c r="K12" s="32" t="str">
        <x:f>IF($H12="","",'03_Functionalities'!$F12)</x:f>
      </x:c>
      <x:c r="L12" s="32" t="str">
        <x:f>IF($H12="","",'03_Functionalities'!$G12)</x:f>
      </x:c>
      <x:c r="M12" s="32" t="str">
        <x:f>IF($H12="","",'03_Functionalities'!$H12)</x:f>
      </x:c>
      <x:c r="N12" s="32" t="str">
        <x:f>IF($H12="","",'03_Functionalities'!$I12)</x:f>
      </x:c>
      <x:c r="O12" s="32" t="str">
        <x:f>IF($H12="","",'03_Functionalities'!$J12)</x:f>
      </x:c>
      <x:c r="P12" s="32" t="str">
        <x:f>IF($H12="","",'03_Functionalities'!$K12)</x:f>
      </x:c>
      <x:c r="Q12" s="32" t="str">
        <x:f>IF($H12="","",'03_Functionalities'!$L12)</x:f>
      </x:c>
      <x:c r="R12" s="32" t="str">
        <x:f>IF($H12="","",'03_Functionalities'!$M12)</x:f>
      </x:c>
      <x:c r="S12" s="32" t="str">
        <x:f>IF($H12="","",'03_Functionalities'!$N12)</x:f>
      </x:c>
      <x:c r="T12" s="32" t="str">
        <x:f>IF($H12="","",'03_Functionalities'!$O12)</x:f>
      </x:c>
      <x:c r="U12" s="32" t="str">
        <x:f>IF($A12="","",IFERROR(XLOOKUP($A12,'01_Products'!$A$5:$A$500,'01_Products'!$G$5:$G$500),""))</x:f>
      </x:c>
      <x:c r="V12" s="32" t="str">
        <x:f>IF($D12="","",IFERROR(XLOOKUP($D12,'02_Features'!$A$5:$A$1000,'02_Features'!$J$5:$J$1000),""))</x:f>
      </x:c>
      <x:c r="W12" s="32" t="str">
        <x:f>IF($H12="","",'03_Functionalities'!$P12)</x:f>
      </x:c>
      <x:c r="X12" s="32" t="str">
        <x:f>IF($H12="","",'03_Functionalities'!$Q12)</x:f>
      </x:c>
      <x:c r="Y12" s="38"/>
      <x:c r="Z12" s="38"/>
    </x:row>
    <x:row r="13" ht="18" customHeight="1">
      <x:c r="A13" s="32" t="str">
        <x:f>IF('03_Functionalities'!$A13="","",'03_Functionalities'!$C13)</x:f>
      </x:c>
      <x:c r="B13" s="32" t="str">
        <x:f>IF($A13="","",IFERROR(XLOOKUP($A13,'01_Products'!$A$5:$A$500,'01_Products'!$B$5:$B$500),""))</x:f>
      </x:c>
      <x:c r="C13" s="32" t="str">
        <x:f>IF($A13="","",IFERROR(XLOOKUP($A13,'01_Products'!$A$5:$A$500,'01_Products'!$C$5:$C$500),""))</x:f>
      </x:c>
      <x:c r="D13" s="32" t="str">
        <x:f>IF('03_Functionalities'!$A13="","",'03_Functionalities'!$B13)</x:f>
      </x:c>
      <x:c r="E13" s="32" t="str">
        <x:f>IF($D13="","",IFERROR(XLOOKUP($D13,'02_Features'!$A$5:$A$1000,'02_Features'!$C$5:$C$1000),""))</x:f>
      </x:c>
      <x:c r="F13" s="32" t="str">
        <x:f>IF($D13="","",IFERROR(XLOOKUP($D13,'02_Features'!$A$5:$A$1000,'02_Features'!$D$5:$D$1000),""))</x:f>
      </x:c>
      <x:c r="G13" s="32" t="str">
        <x:f>IF($D13="","",IFERROR(XLOOKUP($D13,'02_Features'!$A$5:$A$1000,'02_Features'!$E$5:$E$1000),""))</x:f>
      </x:c>
      <x:c r="H13" s="32" t="str">
        <x:f>IF('03_Functionalities'!$A13="","",'03_Functionalities'!$A13)</x:f>
      </x:c>
      <x:c r="I13" s="32" t="str">
        <x:f>IF($H13="","",'03_Functionalities'!$D13)</x:f>
      </x:c>
      <x:c r="J13" s="32" t="str">
        <x:f>IF($H13="","",'03_Functionalities'!$E13)</x:f>
      </x:c>
      <x:c r="K13" s="32" t="str">
        <x:f>IF($H13="","",'03_Functionalities'!$F13)</x:f>
      </x:c>
      <x:c r="L13" s="32" t="str">
        <x:f>IF($H13="","",'03_Functionalities'!$G13)</x:f>
      </x:c>
      <x:c r="M13" s="32" t="str">
        <x:f>IF($H13="","",'03_Functionalities'!$H13)</x:f>
      </x:c>
      <x:c r="N13" s="32" t="str">
        <x:f>IF($H13="","",'03_Functionalities'!$I13)</x:f>
      </x:c>
      <x:c r="O13" s="32" t="str">
        <x:f>IF($H13="","",'03_Functionalities'!$J13)</x:f>
      </x:c>
      <x:c r="P13" s="32" t="str">
        <x:f>IF($H13="","",'03_Functionalities'!$K13)</x:f>
      </x:c>
      <x:c r="Q13" s="32" t="str">
        <x:f>IF($H13="","",'03_Functionalities'!$L13)</x:f>
      </x:c>
      <x:c r="R13" s="32" t="str">
        <x:f>IF($H13="","",'03_Functionalities'!$M13)</x:f>
      </x:c>
      <x:c r="S13" s="32" t="str">
        <x:f>IF($H13="","",'03_Functionalities'!$N13)</x:f>
      </x:c>
      <x:c r="T13" s="32" t="str">
        <x:f>IF($H13="","",'03_Functionalities'!$O13)</x:f>
      </x:c>
      <x:c r="U13" s="32" t="str">
        <x:f>IF($A13="","",IFERROR(XLOOKUP($A13,'01_Products'!$A$5:$A$500,'01_Products'!$G$5:$G$500),""))</x:f>
      </x:c>
      <x:c r="V13" s="32" t="str">
        <x:f>IF($D13="","",IFERROR(XLOOKUP($D13,'02_Features'!$A$5:$A$1000,'02_Features'!$J$5:$J$1000),""))</x:f>
      </x:c>
      <x:c r="W13" s="32" t="str">
        <x:f>IF($H13="","",'03_Functionalities'!$P13)</x:f>
      </x:c>
      <x:c r="X13" s="32" t="str">
        <x:f>IF($H13="","",'03_Functionalities'!$Q13)</x:f>
      </x:c>
      <x:c r="Y13" s="38"/>
      <x:c r="Z13" s="38"/>
    </x:row>
    <x:row r="14" ht="18" customHeight="1">
      <x:c r="A14" s="32" t="str">
        <x:f>IF('03_Functionalities'!$A14="","",'03_Functionalities'!$C14)</x:f>
      </x:c>
      <x:c r="B14" s="32" t="str">
        <x:f>IF($A14="","",IFERROR(XLOOKUP($A14,'01_Products'!$A$5:$A$500,'01_Products'!$B$5:$B$500),""))</x:f>
      </x:c>
      <x:c r="C14" s="32" t="str">
        <x:f>IF($A14="","",IFERROR(XLOOKUP($A14,'01_Products'!$A$5:$A$500,'01_Products'!$C$5:$C$500),""))</x:f>
      </x:c>
      <x:c r="D14" s="32" t="str">
        <x:f>IF('03_Functionalities'!$A14="","",'03_Functionalities'!$B14)</x:f>
      </x:c>
      <x:c r="E14" s="32" t="str">
        <x:f>IF($D14="","",IFERROR(XLOOKUP($D14,'02_Features'!$A$5:$A$1000,'02_Features'!$C$5:$C$1000),""))</x:f>
      </x:c>
      <x:c r="F14" s="32" t="str">
        <x:f>IF($D14="","",IFERROR(XLOOKUP($D14,'02_Features'!$A$5:$A$1000,'02_Features'!$D$5:$D$1000),""))</x:f>
      </x:c>
      <x:c r="G14" s="32" t="str">
        <x:f>IF($D14="","",IFERROR(XLOOKUP($D14,'02_Features'!$A$5:$A$1000,'02_Features'!$E$5:$E$1000),""))</x:f>
      </x:c>
      <x:c r="H14" s="32" t="str">
        <x:f>IF('03_Functionalities'!$A14="","",'03_Functionalities'!$A14)</x:f>
      </x:c>
      <x:c r="I14" s="32" t="str">
        <x:f>IF($H14="","",'03_Functionalities'!$D14)</x:f>
      </x:c>
      <x:c r="J14" s="32" t="str">
        <x:f>IF($H14="","",'03_Functionalities'!$E14)</x:f>
      </x:c>
      <x:c r="K14" s="32" t="str">
        <x:f>IF($H14="","",'03_Functionalities'!$F14)</x:f>
      </x:c>
      <x:c r="L14" s="32" t="str">
        <x:f>IF($H14="","",'03_Functionalities'!$G14)</x:f>
      </x:c>
      <x:c r="M14" s="32" t="str">
        <x:f>IF($H14="","",'03_Functionalities'!$H14)</x:f>
      </x:c>
      <x:c r="N14" s="32" t="str">
        <x:f>IF($H14="","",'03_Functionalities'!$I14)</x:f>
      </x:c>
      <x:c r="O14" s="32" t="str">
        <x:f>IF($H14="","",'03_Functionalities'!$J14)</x:f>
      </x:c>
      <x:c r="P14" s="32" t="str">
        <x:f>IF($H14="","",'03_Functionalities'!$K14)</x:f>
      </x:c>
      <x:c r="Q14" s="32" t="str">
        <x:f>IF($H14="","",'03_Functionalities'!$L14)</x:f>
      </x:c>
      <x:c r="R14" s="32" t="str">
        <x:f>IF($H14="","",'03_Functionalities'!$M14)</x:f>
      </x:c>
      <x:c r="S14" s="32" t="str">
        <x:f>IF($H14="","",'03_Functionalities'!$N14)</x:f>
      </x:c>
      <x:c r="T14" s="32" t="str">
        <x:f>IF($H14="","",'03_Functionalities'!$O14)</x:f>
      </x:c>
      <x:c r="U14" s="32" t="str">
        <x:f>IF($A14="","",IFERROR(XLOOKUP($A14,'01_Products'!$A$5:$A$500,'01_Products'!$G$5:$G$500),""))</x:f>
      </x:c>
      <x:c r="V14" s="32" t="str">
        <x:f>IF($D14="","",IFERROR(XLOOKUP($D14,'02_Features'!$A$5:$A$1000,'02_Features'!$J$5:$J$1000),""))</x:f>
      </x:c>
      <x:c r="W14" s="32" t="str">
        <x:f>IF($H14="","",'03_Functionalities'!$P14)</x:f>
      </x:c>
      <x:c r="X14" s="32" t="str">
        <x:f>IF($H14="","",'03_Functionalities'!$Q14)</x:f>
      </x:c>
      <x:c r="Y14" s="38"/>
      <x:c r="Z14" s="38"/>
    </x:row>
    <x:row r="15" ht="18" customHeight="1">
      <x:c r="A15" s="32" t="str">
        <x:f>IF('03_Functionalities'!$A15="","",'03_Functionalities'!$C15)</x:f>
      </x:c>
      <x:c r="B15" s="32" t="str">
        <x:f>IF($A15="","",IFERROR(XLOOKUP($A15,'01_Products'!$A$5:$A$500,'01_Products'!$B$5:$B$500),""))</x:f>
      </x:c>
      <x:c r="C15" s="32" t="str">
        <x:f>IF($A15="","",IFERROR(XLOOKUP($A15,'01_Products'!$A$5:$A$500,'01_Products'!$C$5:$C$500),""))</x:f>
      </x:c>
      <x:c r="D15" s="32" t="str">
        <x:f>IF('03_Functionalities'!$A15="","",'03_Functionalities'!$B15)</x:f>
      </x:c>
      <x:c r="E15" s="32" t="str">
        <x:f>IF($D15="","",IFERROR(XLOOKUP($D15,'02_Features'!$A$5:$A$1000,'02_Features'!$C$5:$C$1000),""))</x:f>
      </x:c>
      <x:c r="F15" s="32" t="str">
        <x:f>IF($D15="","",IFERROR(XLOOKUP($D15,'02_Features'!$A$5:$A$1000,'02_Features'!$D$5:$D$1000),""))</x:f>
      </x:c>
      <x:c r="G15" s="32" t="str">
        <x:f>IF($D15="","",IFERROR(XLOOKUP($D15,'02_Features'!$A$5:$A$1000,'02_Features'!$E$5:$E$1000),""))</x:f>
      </x:c>
      <x:c r="H15" s="32" t="str">
        <x:f>IF('03_Functionalities'!$A15="","",'03_Functionalities'!$A15)</x:f>
      </x:c>
      <x:c r="I15" s="32" t="str">
        <x:f>IF($H15="","",'03_Functionalities'!$D15)</x:f>
      </x:c>
      <x:c r="J15" s="32" t="str">
        <x:f>IF($H15="","",'03_Functionalities'!$E15)</x:f>
      </x:c>
      <x:c r="K15" s="32" t="str">
        <x:f>IF($H15="","",'03_Functionalities'!$F15)</x:f>
      </x:c>
      <x:c r="L15" s="32" t="str">
        <x:f>IF($H15="","",'03_Functionalities'!$G15)</x:f>
      </x:c>
      <x:c r="M15" s="32" t="str">
        <x:f>IF($H15="","",'03_Functionalities'!$H15)</x:f>
      </x:c>
      <x:c r="N15" s="32" t="str">
        <x:f>IF($H15="","",'03_Functionalities'!$I15)</x:f>
      </x:c>
      <x:c r="O15" s="32" t="str">
        <x:f>IF($H15="","",'03_Functionalities'!$J15)</x:f>
      </x:c>
      <x:c r="P15" s="32" t="str">
        <x:f>IF($H15="","",'03_Functionalities'!$K15)</x:f>
      </x:c>
      <x:c r="Q15" s="32" t="str">
        <x:f>IF($H15="","",'03_Functionalities'!$L15)</x:f>
      </x:c>
      <x:c r="R15" s="32" t="str">
        <x:f>IF($H15="","",'03_Functionalities'!$M15)</x:f>
      </x:c>
      <x:c r="S15" s="32" t="str">
        <x:f>IF($H15="","",'03_Functionalities'!$N15)</x:f>
      </x:c>
      <x:c r="T15" s="32" t="str">
        <x:f>IF($H15="","",'03_Functionalities'!$O15)</x:f>
      </x:c>
      <x:c r="U15" s="32" t="str">
        <x:f>IF($A15="","",IFERROR(XLOOKUP($A15,'01_Products'!$A$5:$A$500,'01_Products'!$G$5:$G$500),""))</x:f>
      </x:c>
      <x:c r="V15" s="32" t="str">
        <x:f>IF($D15="","",IFERROR(XLOOKUP($D15,'02_Features'!$A$5:$A$1000,'02_Features'!$J$5:$J$1000),""))</x:f>
      </x:c>
      <x:c r="W15" s="32" t="str">
        <x:f>IF($H15="","",'03_Functionalities'!$P15)</x:f>
      </x:c>
      <x:c r="X15" s="32" t="str">
        <x:f>IF($H15="","",'03_Functionalities'!$Q15)</x:f>
      </x:c>
      <x:c r="Y15" s="38"/>
      <x:c r="Z15" s="38"/>
    </x:row>
    <x:row r="16" ht="18" customHeight="1">
      <x:c r="A16" s="32" t="str">
        <x:f>IF('03_Functionalities'!$A16="","",'03_Functionalities'!$C16)</x:f>
      </x:c>
      <x:c r="B16" s="32" t="str">
        <x:f>IF($A16="","",IFERROR(XLOOKUP($A16,'01_Products'!$A$5:$A$500,'01_Products'!$B$5:$B$500),""))</x:f>
      </x:c>
      <x:c r="C16" s="32" t="str">
        <x:f>IF($A16="","",IFERROR(XLOOKUP($A16,'01_Products'!$A$5:$A$500,'01_Products'!$C$5:$C$500),""))</x:f>
      </x:c>
      <x:c r="D16" s="32" t="str">
        <x:f>IF('03_Functionalities'!$A16="","",'03_Functionalities'!$B16)</x:f>
      </x:c>
      <x:c r="E16" s="32" t="str">
        <x:f>IF($D16="","",IFERROR(XLOOKUP($D16,'02_Features'!$A$5:$A$1000,'02_Features'!$C$5:$C$1000),""))</x:f>
      </x:c>
      <x:c r="F16" s="32" t="str">
        <x:f>IF($D16="","",IFERROR(XLOOKUP($D16,'02_Features'!$A$5:$A$1000,'02_Features'!$D$5:$D$1000),""))</x:f>
      </x:c>
      <x:c r="G16" s="32" t="str">
        <x:f>IF($D16="","",IFERROR(XLOOKUP($D16,'02_Features'!$A$5:$A$1000,'02_Features'!$E$5:$E$1000),""))</x:f>
      </x:c>
      <x:c r="H16" s="32" t="str">
        <x:f>IF('03_Functionalities'!$A16="","",'03_Functionalities'!$A16)</x:f>
      </x:c>
      <x:c r="I16" s="32" t="str">
        <x:f>IF($H16="","",'03_Functionalities'!$D16)</x:f>
      </x:c>
      <x:c r="J16" s="32" t="str">
        <x:f>IF($H16="","",'03_Functionalities'!$E16)</x:f>
      </x:c>
      <x:c r="K16" s="32" t="str">
        <x:f>IF($H16="","",'03_Functionalities'!$F16)</x:f>
      </x:c>
      <x:c r="L16" s="32" t="str">
        <x:f>IF($H16="","",'03_Functionalities'!$G16)</x:f>
      </x:c>
      <x:c r="M16" s="32" t="str">
        <x:f>IF($H16="","",'03_Functionalities'!$H16)</x:f>
      </x:c>
      <x:c r="N16" s="32" t="str">
        <x:f>IF($H16="","",'03_Functionalities'!$I16)</x:f>
      </x:c>
      <x:c r="O16" s="32" t="str">
        <x:f>IF($H16="","",'03_Functionalities'!$J16)</x:f>
      </x:c>
      <x:c r="P16" s="32" t="str">
        <x:f>IF($H16="","",'03_Functionalities'!$K16)</x:f>
      </x:c>
      <x:c r="Q16" s="32" t="str">
        <x:f>IF($H16="","",'03_Functionalities'!$L16)</x:f>
      </x:c>
      <x:c r="R16" s="32" t="str">
        <x:f>IF($H16="","",'03_Functionalities'!$M16)</x:f>
      </x:c>
      <x:c r="S16" s="32" t="str">
        <x:f>IF($H16="","",'03_Functionalities'!$N16)</x:f>
      </x:c>
      <x:c r="T16" s="32" t="str">
        <x:f>IF($H16="","",'03_Functionalities'!$O16)</x:f>
      </x:c>
      <x:c r="U16" s="32" t="str">
        <x:f>IF($A16="","",IFERROR(XLOOKUP($A16,'01_Products'!$A$5:$A$500,'01_Products'!$G$5:$G$500),""))</x:f>
      </x:c>
      <x:c r="V16" s="32" t="str">
        <x:f>IF($D16="","",IFERROR(XLOOKUP($D16,'02_Features'!$A$5:$A$1000,'02_Features'!$J$5:$J$1000),""))</x:f>
      </x:c>
      <x:c r="W16" s="32" t="str">
        <x:f>IF($H16="","",'03_Functionalities'!$P16)</x:f>
      </x:c>
      <x:c r="X16" s="32" t="str">
        <x:f>IF($H16="","",'03_Functionalities'!$Q16)</x:f>
      </x:c>
      <x:c r="Y16" s="38"/>
      <x:c r="Z16" s="38"/>
    </x:row>
    <x:row r="17" ht="18" customHeight="1">
      <x:c r="A17" s="32" t="str">
        <x:f>IF('03_Functionalities'!$A17="","",'03_Functionalities'!$C17)</x:f>
      </x:c>
      <x:c r="B17" s="32" t="str">
        <x:f>IF($A17="","",IFERROR(XLOOKUP($A17,'01_Products'!$A$5:$A$500,'01_Products'!$B$5:$B$500),""))</x:f>
      </x:c>
      <x:c r="C17" s="32" t="str">
        <x:f>IF($A17="","",IFERROR(XLOOKUP($A17,'01_Products'!$A$5:$A$500,'01_Products'!$C$5:$C$500),""))</x:f>
      </x:c>
      <x:c r="D17" s="32" t="str">
        <x:f>IF('03_Functionalities'!$A17="","",'03_Functionalities'!$B17)</x:f>
      </x:c>
      <x:c r="E17" s="32" t="str">
        <x:f>IF($D17="","",IFERROR(XLOOKUP($D17,'02_Features'!$A$5:$A$1000,'02_Features'!$C$5:$C$1000),""))</x:f>
      </x:c>
      <x:c r="F17" s="32" t="str">
        <x:f>IF($D17="","",IFERROR(XLOOKUP($D17,'02_Features'!$A$5:$A$1000,'02_Features'!$D$5:$D$1000),""))</x:f>
      </x:c>
      <x:c r="G17" s="32" t="str">
        <x:f>IF($D17="","",IFERROR(XLOOKUP($D17,'02_Features'!$A$5:$A$1000,'02_Features'!$E$5:$E$1000),""))</x:f>
      </x:c>
      <x:c r="H17" s="32" t="str">
        <x:f>IF('03_Functionalities'!$A17="","",'03_Functionalities'!$A17)</x:f>
      </x:c>
      <x:c r="I17" s="32" t="str">
        <x:f>IF($H17="","",'03_Functionalities'!$D17)</x:f>
      </x:c>
      <x:c r="J17" s="32" t="str">
        <x:f>IF($H17="","",'03_Functionalities'!$E17)</x:f>
      </x:c>
      <x:c r="K17" s="32" t="str">
        <x:f>IF($H17="","",'03_Functionalities'!$F17)</x:f>
      </x:c>
      <x:c r="L17" s="32" t="str">
        <x:f>IF($H17="","",'03_Functionalities'!$G17)</x:f>
      </x:c>
      <x:c r="M17" s="32" t="str">
        <x:f>IF($H17="","",'03_Functionalities'!$H17)</x:f>
      </x:c>
      <x:c r="N17" s="32" t="str">
        <x:f>IF($H17="","",'03_Functionalities'!$I17)</x:f>
      </x:c>
      <x:c r="O17" s="32" t="str">
        <x:f>IF($H17="","",'03_Functionalities'!$J17)</x:f>
      </x:c>
      <x:c r="P17" s="32" t="str">
        <x:f>IF($H17="","",'03_Functionalities'!$K17)</x:f>
      </x:c>
      <x:c r="Q17" s="32" t="str">
        <x:f>IF($H17="","",'03_Functionalities'!$L17)</x:f>
      </x:c>
      <x:c r="R17" s="32" t="str">
        <x:f>IF($H17="","",'03_Functionalities'!$M17)</x:f>
      </x:c>
      <x:c r="S17" s="32" t="str">
        <x:f>IF($H17="","",'03_Functionalities'!$N17)</x:f>
      </x:c>
      <x:c r="T17" s="32" t="str">
        <x:f>IF($H17="","",'03_Functionalities'!$O17)</x:f>
      </x:c>
      <x:c r="U17" s="32" t="str">
        <x:f>IF($A17="","",IFERROR(XLOOKUP($A17,'01_Products'!$A$5:$A$500,'01_Products'!$G$5:$G$500),""))</x:f>
      </x:c>
      <x:c r="V17" s="32" t="str">
        <x:f>IF($D17="","",IFERROR(XLOOKUP($D17,'02_Features'!$A$5:$A$1000,'02_Features'!$J$5:$J$1000),""))</x:f>
      </x:c>
      <x:c r="W17" s="32" t="str">
        <x:f>IF($H17="","",'03_Functionalities'!$P17)</x:f>
      </x:c>
      <x:c r="X17" s="32" t="str">
        <x:f>IF($H17="","",'03_Functionalities'!$Q17)</x:f>
      </x:c>
      <x:c r="Y17" s="38"/>
      <x:c r="Z17" s="38"/>
    </x:row>
    <x:row r="18" ht="18" customHeight="1">
      <x:c r="A18" s="32" t="str">
        <x:f>IF('03_Functionalities'!$A18="","",'03_Functionalities'!$C18)</x:f>
      </x:c>
      <x:c r="B18" s="32" t="str">
        <x:f>IF($A18="","",IFERROR(XLOOKUP($A18,'01_Products'!$A$5:$A$500,'01_Products'!$B$5:$B$500),""))</x:f>
      </x:c>
      <x:c r="C18" s="32" t="str">
        <x:f>IF($A18="","",IFERROR(XLOOKUP($A18,'01_Products'!$A$5:$A$500,'01_Products'!$C$5:$C$500),""))</x:f>
      </x:c>
      <x:c r="D18" s="32" t="str">
        <x:f>IF('03_Functionalities'!$A18="","",'03_Functionalities'!$B18)</x:f>
      </x:c>
      <x:c r="E18" s="32" t="str">
        <x:f>IF($D18="","",IFERROR(XLOOKUP($D18,'02_Features'!$A$5:$A$1000,'02_Features'!$C$5:$C$1000),""))</x:f>
      </x:c>
      <x:c r="F18" s="32" t="str">
        <x:f>IF($D18="","",IFERROR(XLOOKUP($D18,'02_Features'!$A$5:$A$1000,'02_Features'!$D$5:$D$1000),""))</x:f>
      </x:c>
      <x:c r="G18" s="32" t="str">
        <x:f>IF($D18="","",IFERROR(XLOOKUP($D18,'02_Features'!$A$5:$A$1000,'02_Features'!$E$5:$E$1000),""))</x:f>
      </x:c>
      <x:c r="H18" s="32" t="str">
        <x:f>IF('03_Functionalities'!$A18="","",'03_Functionalities'!$A18)</x:f>
      </x:c>
      <x:c r="I18" s="32" t="str">
        <x:f>IF($H18="","",'03_Functionalities'!$D18)</x:f>
      </x:c>
      <x:c r="J18" s="32" t="str">
        <x:f>IF($H18="","",'03_Functionalities'!$E18)</x:f>
      </x:c>
      <x:c r="K18" s="32" t="str">
        <x:f>IF($H18="","",'03_Functionalities'!$F18)</x:f>
      </x:c>
      <x:c r="L18" s="32" t="str">
        <x:f>IF($H18="","",'03_Functionalities'!$G18)</x:f>
      </x:c>
      <x:c r="M18" s="32" t="str">
        <x:f>IF($H18="","",'03_Functionalities'!$H18)</x:f>
      </x:c>
      <x:c r="N18" s="32" t="str">
        <x:f>IF($H18="","",'03_Functionalities'!$I18)</x:f>
      </x:c>
      <x:c r="O18" s="32" t="str">
        <x:f>IF($H18="","",'03_Functionalities'!$J18)</x:f>
      </x:c>
      <x:c r="P18" s="32" t="str">
        <x:f>IF($H18="","",'03_Functionalities'!$K18)</x:f>
      </x:c>
      <x:c r="Q18" s="32" t="str">
        <x:f>IF($H18="","",'03_Functionalities'!$L18)</x:f>
      </x:c>
      <x:c r="R18" s="32" t="str">
        <x:f>IF($H18="","",'03_Functionalities'!$M18)</x:f>
      </x:c>
      <x:c r="S18" s="32" t="str">
        <x:f>IF($H18="","",'03_Functionalities'!$N18)</x:f>
      </x:c>
      <x:c r="T18" s="32" t="str">
        <x:f>IF($H18="","",'03_Functionalities'!$O18)</x:f>
      </x:c>
      <x:c r="U18" s="32" t="str">
        <x:f>IF($A18="","",IFERROR(XLOOKUP($A18,'01_Products'!$A$5:$A$500,'01_Products'!$G$5:$G$500),""))</x:f>
      </x:c>
      <x:c r="V18" s="32" t="str">
        <x:f>IF($D18="","",IFERROR(XLOOKUP($D18,'02_Features'!$A$5:$A$1000,'02_Features'!$J$5:$J$1000),""))</x:f>
      </x:c>
      <x:c r="W18" s="32" t="str">
        <x:f>IF($H18="","",'03_Functionalities'!$P18)</x:f>
      </x:c>
      <x:c r="X18" s="32" t="str">
        <x:f>IF($H18="","",'03_Functionalities'!$Q18)</x:f>
      </x:c>
      <x:c r="Y18" s="38"/>
      <x:c r="Z18" s="38"/>
    </x:row>
    <x:row r="19" ht="18" customHeight="1">
      <x:c r="A19" s="32" t="str">
        <x:f>IF('03_Functionalities'!$A19="","",'03_Functionalities'!$C19)</x:f>
      </x:c>
      <x:c r="B19" s="32" t="str">
        <x:f>IF($A19="","",IFERROR(XLOOKUP($A19,'01_Products'!$A$5:$A$500,'01_Products'!$B$5:$B$500),""))</x:f>
      </x:c>
      <x:c r="C19" s="32" t="str">
        <x:f>IF($A19="","",IFERROR(XLOOKUP($A19,'01_Products'!$A$5:$A$500,'01_Products'!$C$5:$C$500),""))</x:f>
      </x:c>
      <x:c r="D19" s="32" t="str">
        <x:f>IF('03_Functionalities'!$A19="","",'03_Functionalities'!$B19)</x:f>
      </x:c>
      <x:c r="E19" s="32" t="str">
        <x:f>IF($D19="","",IFERROR(XLOOKUP($D19,'02_Features'!$A$5:$A$1000,'02_Features'!$C$5:$C$1000),""))</x:f>
      </x:c>
      <x:c r="F19" s="32" t="str">
        <x:f>IF($D19="","",IFERROR(XLOOKUP($D19,'02_Features'!$A$5:$A$1000,'02_Features'!$D$5:$D$1000),""))</x:f>
      </x:c>
      <x:c r="G19" s="32" t="str">
        <x:f>IF($D19="","",IFERROR(XLOOKUP($D19,'02_Features'!$A$5:$A$1000,'02_Features'!$E$5:$E$1000),""))</x:f>
      </x:c>
      <x:c r="H19" s="32" t="str">
        <x:f>IF('03_Functionalities'!$A19="","",'03_Functionalities'!$A19)</x:f>
      </x:c>
      <x:c r="I19" s="32" t="str">
        <x:f>IF($H19="","",'03_Functionalities'!$D19)</x:f>
      </x:c>
      <x:c r="J19" s="32" t="str">
        <x:f>IF($H19="","",'03_Functionalities'!$E19)</x:f>
      </x:c>
      <x:c r="K19" s="32" t="str">
        <x:f>IF($H19="","",'03_Functionalities'!$F19)</x:f>
      </x:c>
      <x:c r="L19" s="32" t="str">
        <x:f>IF($H19="","",'03_Functionalities'!$G19)</x:f>
      </x:c>
      <x:c r="M19" s="32" t="str">
        <x:f>IF($H19="","",'03_Functionalities'!$H19)</x:f>
      </x:c>
      <x:c r="N19" s="32" t="str">
        <x:f>IF($H19="","",'03_Functionalities'!$I19)</x:f>
      </x:c>
      <x:c r="O19" s="32" t="str">
        <x:f>IF($H19="","",'03_Functionalities'!$J19)</x:f>
      </x:c>
      <x:c r="P19" s="32" t="str">
        <x:f>IF($H19="","",'03_Functionalities'!$K19)</x:f>
      </x:c>
      <x:c r="Q19" s="32" t="str">
        <x:f>IF($H19="","",'03_Functionalities'!$L19)</x:f>
      </x:c>
      <x:c r="R19" s="32" t="str">
        <x:f>IF($H19="","",'03_Functionalities'!$M19)</x:f>
      </x:c>
      <x:c r="S19" s="32" t="str">
        <x:f>IF($H19="","",'03_Functionalities'!$N19)</x:f>
      </x:c>
      <x:c r="T19" s="32" t="str">
        <x:f>IF($H19="","",'03_Functionalities'!$O19)</x:f>
      </x:c>
      <x:c r="U19" s="32" t="str">
        <x:f>IF($A19="","",IFERROR(XLOOKUP($A19,'01_Products'!$A$5:$A$500,'01_Products'!$G$5:$G$500),""))</x:f>
      </x:c>
      <x:c r="V19" s="32" t="str">
        <x:f>IF($D19="","",IFERROR(XLOOKUP($D19,'02_Features'!$A$5:$A$1000,'02_Features'!$J$5:$J$1000),""))</x:f>
      </x:c>
      <x:c r="W19" s="32" t="str">
        <x:f>IF($H19="","",'03_Functionalities'!$P19)</x:f>
      </x:c>
      <x:c r="X19" s="32" t="str">
        <x:f>IF($H19="","",'03_Functionalities'!$Q19)</x:f>
      </x:c>
      <x:c r="Y19" s="38"/>
      <x:c r="Z19" s="38"/>
    </x:row>
    <x:row r="20" ht="18" customHeight="1">
      <x:c r="A20" s="32" t="str">
        <x:f>IF('03_Functionalities'!$A20="","",'03_Functionalities'!$C20)</x:f>
      </x:c>
      <x:c r="B20" s="32" t="str">
        <x:f>IF($A20="","",IFERROR(XLOOKUP($A20,'01_Products'!$A$5:$A$500,'01_Products'!$B$5:$B$500),""))</x:f>
      </x:c>
      <x:c r="C20" s="32" t="str">
        <x:f>IF($A20="","",IFERROR(XLOOKUP($A20,'01_Products'!$A$5:$A$500,'01_Products'!$C$5:$C$500),""))</x:f>
      </x:c>
      <x:c r="D20" s="32" t="str">
        <x:f>IF('03_Functionalities'!$A20="","",'03_Functionalities'!$B20)</x:f>
      </x:c>
      <x:c r="E20" s="32" t="str">
        <x:f>IF($D20="","",IFERROR(XLOOKUP($D20,'02_Features'!$A$5:$A$1000,'02_Features'!$C$5:$C$1000),""))</x:f>
      </x:c>
      <x:c r="F20" s="32" t="str">
        <x:f>IF($D20="","",IFERROR(XLOOKUP($D20,'02_Features'!$A$5:$A$1000,'02_Features'!$D$5:$D$1000),""))</x:f>
      </x:c>
      <x:c r="G20" s="32" t="str">
        <x:f>IF($D20="","",IFERROR(XLOOKUP($D20,'02_Features'!$A$5:$A$1000,'02_Features'!$E$5:$E$1000),""))</x:f>
      </x:c>
      <x:c r="H20" s="32" t="str">
        <x:f>IF('03_Functionalities'!$A20="","",'03_Functionalities'!$A20)</x:f>
      </x:c>
      <x:c r="I20" s="32" t="str">
        <x:f>IF($H20="","",'03_Functionalities'!$D20)</x:f>
      </x:c>
      <x:c r="J20" s="32" t="str">
        <x:f>IF($H20="","",'03_Functionalities'!$E20)</x:f>
      </x:c>
      <x:c r="K20" s="32" t="str">
        <x:f>IF($H20="","",'03_Functionalities'!$F20)</x:f>
      </x:c>
      <x:c r="L20" s="32" t="str">
        <x:f>IF($H20="","",'03_Functionalities'!$G20)</x:f>
      </x:c>
      <x:c r="M20" s="32" t="str">
        <x:f>IF($H20="","",'03_Functionalities'!$H20)</x:f>
      </x:c>
      <x:c r="N20" s="32" t="str">
        <x:f>IF($H20="","",'03_Functionalities'!$I20)</x:f>
      </x:c>
      <x:c r="O20" s="32" t="str">
        <x:f>IF($H20="","",'03_Functionalities'!$J20)</x:f>
      </x:c>
      <x:c r="P20" s="32" t="str">
        <x:f>IF($H20="","",'03_Functionalities'!$K20)</x:f>
      </x:c>
      <x:c r="Q20" s="32" t="str">
        <x:f>IF($H20="","",'03_Functionalities'!$L20)</x:f>
      </x:c>
      <x:c r="R20" s="32" t="str">
        <x:f>IF($H20="","",'03_Functionalities'!$M20)</x:f>
      </x:c>
      <x:c r="S20" s="32" t="str">
        <x:f>IF($H20="","",'03_Functionalities'!$N20)</x:f>
      </x:c>
      <x:c r="T20" s="32" t="str">
        <x:f>IF($H20="","",'03_Functionalities'!$O20)</x:f>
      </x:c>
      <x:c r="U20" s="32" t="str">
        <x:f>IF($A20="","",IFERROR(XLOOKUP($A20,'01_Products'!$A$5:$A$500,'01_Products'!$G$5:$G$500),""))</x:f>
      </x:c>
      <x:c r="V20" s="32" t="str">
        <x:f>IF($D20="","",IFERROR(XLOOKUP($D20,'02_Features'!$A$5:$A$1000,'02_Features'!$J$5:$J$1000),""))</x:f>
      </x:c>
      <x:c r="W20" s="32" t="str">
        <x:f>IF($H20="","",'03_Functionalities'!$P20)</x:f>
      </x:c>
      <x:c r="X20" s="32" t="str">
        <x:f>IF($H20="","",'03_Functionalities'!$Q20)</x:f>
      </x:c>
      <x:c r="Y20" s="38"/>
      <x:c r="Z20" s="38"/>
    </x:row>
    <x:row r="21" ht="18" customHeight="1">
      <x:c r="A21" s="32" t="str">
        <x:f>IF('03_Functionalities'!$A21="","",'03_Functionalities'!$C21)</x:f>
      </x:c>
      <x:c r="B21" s="32" t="str">
        <x:f>IF($A21="","",IFERROR(XLOOKUP($A21,'01_Products'!$A$5:$A$500,'01_Products'!$B$5:$B$500),""))</x:f>
      </x:c>
      <x:c r="C21" s="32" t="str">
        <x:f>IF($A21="","",IFERROR(XLOOKUP($A21,'01_Products'!$A$5:$A$500,'01_Products'!$C$5:$C$500),""))</x:f>
      </x:c>
      <x:c r="D21" s="32" t="str">
        <x:f>IF('03_Functionalities'!$A21="","",'03_Functionalities'!$B21)</x:f>
      </x:c>
      <x:c r="E21" s="32" t="str">
        <x:f>IF($D21="","",IFERROR(XLOOKUP($D21,'02_Features'!$A$5:$A$1000,'02_Features'!$C$5:$C$1000),""))</x:f>
      </x:c>
      <x:c r="F21" s="32" t="str">
        <x:f>IF($D21="","",IFERROR(XLOOKUP($D21,'02_Features'!$A$5:$A$1000,'02_Features'!$D$5:$D$1000),""))</x:f>
      </x:c>
      <x:c r="G21" s="32" t="str">
        <x:f>IF($D21="","",IFERROR(XLOOKUP($D21,'02_Features'!$A$5:$A$1000,'02_Features'!$E$5:$E$1000),""))</x:f>
      </x:c>
      <x:c r="H21" s="32" t="str">
        <x:f>IF('03_Functionalities'!$A21="","",'03_Functionalities'!$A21)</x:f>
      </x:c>
      <x:c r="I21" s="32" t="str">
        <x:f>IF($H21="","",'03_Functionalities'!$D21)</x:f>
      </x:c>
      <x:c r="J21" s="32" t="str">
        <x:f>IF($H21="","",'03_Functionalities'!$E21)</x:f>
      </x:c>
      <x:c r="K21" s="32" t="str">
        <x:f>IF($H21="","",'03_Functionalities'!$F21)</x:f>
      </x:c>
      <x:c r="L21" s="32" t="str">
        <x:f>IF($H21="","",'03_Functionalities'!$G21)</x:f>
      </x:c>
      <x:c r="M21" s="32" t="str">
        <x:f>IF($H21="","",'03_Functionalities'!$H21)</x:f>
      </x:c>
      <x:c r="N21" s="32" t="str">
        <x:f>IF($H21="","",'03_Functionalities'!$I21)</x:f>
      </x:c>
      <x:c r="O21" s="32" t="str">
        <x:f>IF($H21="","",'03_Functionalities'!$J21)</x:f>
      </x:c>
      <x:c r="P21" s="32" t="str">
        <x:f>IF($H21="","",'03_Functionalities'!$K21)</x:f>
      </x:c>
      <x:c r="Q21" s="32" t="str">
        <x:f>IF($H21="","",'03_Functionalities'!$L21)</x:f>
      </x:c>
      <x:c r="R21" s="32" t="str">
        <x:f>IF($H21="","",'03_Functionalities'!$M21)</x:f>
      </x:c>
      <x:c r="S21" s="32" t="str">
        <x:f>IF($H21="","",'03_Functionalities'!$N21)</x:f>
      </x:c>
      <x:c r="T21" s="32" t="str">
        <x:f>IF($H21="","",'03_Functionalities'!$O21)</x:f>
      </x:c>
      <x:c r="U21" s="32" t="str">
        <x:f>IF($A21="","",IFERROR(XLOOKUP($A21,'01_Products'!$A$5:$A$500,'01_Products'!$G$5:$G$500),""))</x:f>
      </x:c>
      <x:c r="V21" s="32" t="str">
        <x:f>IF($D21="","",IFERROR(XLOOKUP($D21,'02_Features'!$A$5:$A$1000,'02_Features'!$J$5:$J$1000),""))</x:f>
      </x:c>
      <x:c r="W21" s="32" t="str">
        <x:f>IF($H21="","",'03_Functionalities'!$P21)</x:f>
      </x:c>
      <x:c r="X21" s="32" t="str">
        <x:f>IF($H21="","",'03_Functionalities'!$Q21)</x:f>
      </x:c>
      <x:c r="Y21" s="38"/>
      <x:c r="Z21" s="38"/>
    </x:row>
    <x:row r="22" ht="18" customHeight="1">
      <x:c r="A22" s="32" t="str">
        <x:f>IF('03_Functionalities'!$A22="","",'03_Functionalities'!$C22)</x:f>
      </x:c>
      <x:c r="B22" s="32" t="str">
        <x:f>IF($A22="","",IFERROR(XLOOKUP($A22,'01_Products'!$A$5:$A$500,'01_Products'!$B$5:$B$500),""))</x:f>
      </x:c>
      <x:c r="C22" s="32" t="str">
        <x:f>IF($A22="","",IFERROR(XLOOKUP($A22,'01_Products'!$A$5:$A$500,'01_Products'!$C$5:$C$500),""))</x:f>
      </x:c>
      <x:c r="D22" s="32" t="str">
        <x:f>IF('03_Functionalities'!$A22="","",'03_Functionalities'!$B22)</x:f>
      </x:c>
      <x:c r="E22" s="32" t="str">
        <x:f>IF($D22="","",IFERROR(XLOOKUP($D22,'02_Features'!$A$5:$A$1000,'02_Features'!$C$5:$C$1000),""))</x:f>
      </x:c>
      <x:c r="F22" s="32" t="str">
        <x:f>IF($D22="","",IFERROR(XLOOKUP($D22,'02_Features'!$A$5:$A$1000,'02_Features'!$D$5:$D$1000),""))</x:f>
      </x:c>
      <x:c r="G22" s="32" t="str">
        <x:f>IF($D22="","",IFERROR(XLOOKUP($D22,'02_Features'!$A$5:$A$1000,'02_Features'!$E$5:$E$1000),""))</x:f>
      </x:c>
      <x:c r="H22" s="32" t="str">
        <x:f>IF('03_Functionalities'!$A22="","",'03_Functionalities'!$A22)</x:f>
      </x:c>
      <x:c r="I22" s="32" t="str">
        <x:f>IF($H22="","",'03_Functionalities'!$D22)</x:f>
      </x:c>
      <x:c r="J22" s="32" t="str">
        <x:f>IF($H22="","",'03_Functionalities'!$E22)</x:f>
      </x:c>
      <x:c r="K22" s="32" t="str">
        <x:f>IF($H22="","",'03_Functionalities'!$F22)</x:f>
      </x:c>
      <x:c r="L22" s="32" t="str">
        <x:f>IF($H22="","",'03_Functionalities'!$G22)</x:f>
      </x:c>
      <x:c r="M22" s="32" t="str">
        <x:f>IF($H22="","",'03_Functionalities'!$H22)</x:f>
      </x:c>
      <x:c r="N22" s="32" t="str">
        <x:f>IF($H22="","",'03_Functionalities'!$I22)</x:f>
      </x:c>
      <x:c r="O22" s="32" t="str">
        <x:f>IF($H22="","",'03_Functionalities'!$J22)</x:f>
      </x:c>
      <x:c r="P22" s="32" t="str">
        <x:f>IF($H22="","",'03_Functionalities'!$K22)</x:f>
      </x:c>
      <x:c r="Q22" s="32" t="str">
        <x:f>IF($H22="","",'03_Functionalities'!$L22)</x:f>
      </x:c>
      <x:c r="R22" s="32" t="str">
        <x:f>IF($H22="","",'03_Functionalities'!$M22)</x:f>
      </x:c>
      <x:c r="S22" s="32" t="str">
        <x:f>IF($H22="","",'03_Functionalities'!$N22)</x:f>
      </x:c>
      <x:c r="T22" s="32" t="str">
        <x:f>IF($H22="","",'03_Functionalities'!$O22)</x:f>
      </x:c>
      <x:c r="U22" s="32" t="str">
        <x:f>IF($A22="","",IFERROR(XLOOKUP($A22,'01_Products'!$A$5:$A$500,'01_Products'!$G$5:$G$500),""))</x:f>
      </x:c>
      <x:c r="V22" s="32" t="str">
        <x:f>IF($D22="","",IFERROR(XLOOKUP($D22,'02_Features'!$A$5:$A$1000,'02_Features'!$J$5:$J$1000),""))</x:f>
      </x:c>
      <x:c r="W22" s="32" t="str">
        <x:f>IF($H22="","",'03_Functionalities'!$P22)</x:f>
      </x:c>
      <x:c r="X22" s="32" t="str">
        <x:f>IF($H22="","",'03_Functionalities'!$Q22)</x:f>
      </x:c>
      <x:c r="Y22" s="38"/>
      <x:c r="Z22" s="38"/>
    </x:row>
    <x:row r="23" ht="18" customHeight="1">
      <x:c r="A23" s="32" t="str">
        <x:f>IF('03_Functionalities'!$A23="","",'03_Functionalities'!$C23)</x:f>
      </x:c>
      <x:c r="B23" s="32" t="str">
        <x:f>IF($A23="","",IFERROR(XLOOKUP($A23,'01_Products'!$A$5:$A$500,'01_Products'!$B$5:$B$500),""))</x:f>
      </x:c>
      <x:c r="C23" s="32" t="str">
        <x:f>IF($A23="","",IFERROR(XLOOKUP($A23,'01_Products'!$A$5:$A$500,'01_Products'!$C$5:$C$500),""))</x:f>
      </x:c>
      <x:c r="D23" s="32" t="str">
        <x:f>IF('03_Functionalities'!$A23="","",'03_Functionalities'!$B23)</x:f>
      </x:c>
      <x:c r="E23" s="32" t="str">
        <x:f>IF($D23="","",IFERROR(XLOOKUP($D23,'02_Features'!$A$5:$A$1000,'02_Features'!$C$5:$C$1000),""))</x:f>
      </x:c>
      <x:c r="F23" s="32" t="str">
        <x:f>IF($D23="","",IFERROR(XLOOKUP($D23,'02_Features'!$A$5:$A$1000,'02_Features'!$D$5:$D$1000),""))</x:f>
      </x:c>
      <x:c r="G23" s="32" t="str">
        <x:f>IF($D23="","",IFERROR(XLOOKUP($D23,'02_Features'!$A$5:$A$1000,'02_Features'!$E$5:$E$1000),""))</x:f>
      </x:c>
      <x:c r="H23" s="32" t="str">
        <x:f>IF('03_Functionalities'!$A23="","",'03_Functionalities'!$A23)</x:f>
      </x:c>
      <x:c r="I23" s="32" t="str">
        <x:f>IF($H23="","",'03_Functionalities'!$D23)</x:f>
      </x:c>
      <x:c r="J23" s="32" t="str">
        <x:f>IF($H23="","",'03_Functionalities'!$E23)</x:f>
      </x:c>
      <x:c r="K23" s="32" t="str">
        <x:f>IF($H23="","",'03_Functionalities'!$F23)</x:f>
      </x:c>
      <x:c r="L23" s="32" t="str">
        <x:f>IF($H23="","",'03_Functionalities'!$G23)</x:f>
      </x:c>
      <x:c r="M23" s="32" t="str">
        <x:f>IF($H23="","",'03_Functionalities'!$H23)</x:f>
      </x:c>
      <x:c r="N23" s="32" t="str">
        <x:f>IF($H23="","",'03_Functionalities'!$I23)</x:f>
      </x:c>
      <x:c r="O23" s="32" t="str">
        <x:f>IF($H23="","",'03_Functionalities'!$J23)</x:f>
      </x:c>
      <x:c r="P23" s="32" t="str">
        <x:f>IF($H23="","",'03_Functionalities'!$K23)</x:f>
      </x:c>
      <x:c r="Q23" s="32" t="str">
        <x:f>IF($H23="","",'03_Functionalities'!$L23)</x:f>
      </x:c>
      <x:c r="R23" s="32" t="str">
        <x:f>IF($H23="","",'03_Functionalities'!$M23)</x:f>
      </x:c>
      <x:c r="S23" s="32" t="str">
        <x:f>IF($H23="","",'03_Functionalities'!$N23)</x:f>
      </x:c>
      <x:c r="T23" s="32" t="str">
        <x:f>IF($H23="","",'03_Functionalities'!$O23)</x:f>
      </x:c>
      <x:c r="U23" s="32" t="str">
        <x:f>IF($A23="","",IFERROR(XLOOKUP($A23,'01_Products'!$A$5:$A$500,'01_Products'!$G$5:$G$500),""))</x:f>
      </x:c>
      <x:c r="V23" s="32" t="str">
        <x:f>IF($D23="","",IFERROR(XLOOKUP($D23,'02_Features'!$A$5:$A$1000,'02_Features'!$J$5:$J$1000),""))</x:f>
      </x:c>
      <x:c r="W23" s="32" t="str">
        <x:f>IF($H23="","",'03_Functionalities'!$P23)</x:f>
      </x:c>
      <x:c r="X23" s="32" t="str">
        <x:f>IF($H23="","",'03_Functionalities'!$Q23)</x:f>
      </x:c>
      <x:c r="Y23" s="38"/>
      <x:c r="Z23" s="38"/>
    </x:row>
    <x:row r="24" ht="18" customHeight="1">
      <x:c r="A24" s="32" t="str">
        <x:f>IF('03_Functionalities'!$A24="","",'03_Functionalities'!$C24)</x:f>
      </x:c>
      <x:c r="B24" s="32" t="str">
        <x:f>IF($A24="","",IFERROR(XLOOKUP($A24,'01_Products'!$A$5:$A$500,'01_Products'!$B$5:$B$500),""))</x:f>
      </x:c>
      <x:c r="C24" s="32" t="str">
        <x:f>IF($A24="","",IFERROR(XLOOKUP($A24,'01_Products'!$A$5:$A$500,'01_Products'!$C$5:$C$500),""))</x:f>
      </x:c>
      <x:c r="D24" s="32" t="str">
        <x:f>IF('03_Functionalities'!$A24="","",'03_Functionalities'!$B24)</x:f>
      </x:c>
      <x:c r="E24" s="32" t="str">
        <x:f>IF($D24="","",IFERROR(XLOOKUP($D24,'02_Features'!$A$5:$A$1000,'02_Features'!$C$5:$C$1000),""))</x:f>
      </x:c>
      <x:c r="F24" s="32" t="str">
        <x:f>IF($D24="","",IFERROR(XLOOKUP($D24,'02_Features'!$A$5:$A$1000,'02_Features'!$D$5:$D$1000),""))</x:f>
      </x:c>
      <x:c r="G24" s="32" t="str">
        <x:f>IF($D24="","",IFERROR(XLOOKUP($D24,'02_Features'!$A$5:$A$1000,'02_Features'!$E$5:$E$1000),""))</x:f>
      </x:c>
      <x:c r="H24" s="32" t="str">
        <x:f>IF('03_Functionalities'!$A24="","",'03_Functionalities'!$A24)</x:f>
      </x:c>
      <x:c r="I24" s="32" t="str">
        <x:f>IF($H24="","",'03_Functionalities'!$D24)</x:f>
      </x:c>
      <x:c r="J24" s="32" t="str">
        <x:f>IF($H24="","",'03_Functionalities'!$E24)</x:f>
      </x:c>
      <x:c r="K24" s="32" t="str">
        <x:f>IF($H24="","",'03_Functionalities'!$F24)</x:f>
      </x:c>
      <x:c r="L24" s="32" t="str">
        <x:f>IF($H24="","",'03_Functionalities'!$G24)</x:f>
      </x:c>
      <x:c r="M24" s="32" t="str">
        <x:f>IF($H24="","",'03_Functionalities'!$H24)</x:f>
      </x:c>
      <x:c r="N24" s="32" t="str">
        <x:f>IF($H24="","",'03_Functionalities'!$I24)</x:f>
      </x:c>
      <x:c r="O24" s="32" t="str">
        <x:f>IF($H24="","",'03_Functionalities'!$J24)</x:f>
      </x:c>
      <x:c r="P24" s="32" t="str">
        <x:f>IF($H24="","",'03_Functionalities'!$K24)</x:f>
      </x:c>
      <x:c r="Q24" s="32" t="str">
        <x:f>IF($H24="","",'03_Functionalities'!$L24)</x:f>
      </x:c>
      <x:c r="R24" s="32" t="str">
        <x:f>IF($H24="","",'03_Functionalities'!$M24)</x:f>
      </x:c>
      <x:c r="S24" s="32" t="str">
        <x:f>IF($H24="","",'03_Functionalities'!$N24)</x:f>
      </x:c>
      <x:c r="T24" s="32" t="str">
        <x:f>IF($H24="","",'03_Functionalities'!$O24)</x:f>
      </x:c>
      <x:c r="U24" s="32" t="str">
        <x:f>IF($A24="","",IFERROR(XLOOKUP($A24,'01_Products'!$A$5:$A$500,'01_Products'!$G$5:$G$500),""))</x:f>
      </x:c>
      <x:c r="V24" s="32" t="str">
        <x:f>IF($D24="","",IFERROR(XLOOKUP($D24,'02_Features'!$A$5:$A$1000,'02_Features'!$J$5:$J$1000),""))</x:f>
      </x:c>
      <x:c r="W24" s="32" t="str">
        <x:f>IF($H24="","",'03_Functionalities'!$P24)</x:f>
      </x:c>
      <x:c r="X24" s="32" t="str">
        <x:f>IF($H24="","",'03_Functionalities'!$Q24)</x:f>
      </x:c>
      <x:c r="Y24" s="38"/>
      <x:c r="Z24" s="38"/>
    </x:row>
    <x:row r="25" ht="18" customHeight="1">
      <x:c r="A25" s="32" t="str">
        <x:f>IF('03_Functionalities'!$A25="","",'03_Functionalities'!$C25)</x:f>
      </x:c>
      <x:c r="B25" s="32" t="str">
        <x:f>IF($A25="","",IFERROR(XLOOKUP($A25,'01_Products'!$A$5:$A$500,'01_Products'!$B$5:$B$500),""))</x:f>
      </x:c>
      <x:c r="C25" s="32" t="str">
        <x:f>IF($A25="","",IFERROR(XLOOKUP($A25,'01_Products'!$A$5:$A$500,'01_Products'!$C$5:$C$500),""))</x:f>
      </x:c>
      <x:c r="D25" s="32" t="str">
        <x:f>IF('03_Functionalities'!$A25="","",'03_Functionalities'!$B25)</x:f>
      </x:c>
      <x:c r="E25" s="32" t="str">
        <x:f>IF($D25="","",IFERROR(XLOOKUP($D25,'02_Features'!$A$5:$A$1000,'02_Features'!$C$5:$C$1000),""))</x:f>
      </x:c>
      <x:c r="F25" s="32" t="str">
        <x:f>IF($D25="","",IFERROR(XLOOKUP($D25,'02_Features'!$A$5:$A$1000,'02_Features'!$D$5:$D$1000),""))</x:f>
      </x:c>
      <x:c r="G25" s="32" t="str">
        <x:f>IF($D25="","",IFERROR(XLOOKUP($D25,'02_Features'!$A$5:$A$1000,'02_Features'!$E$5:$E$1000),""))</x:f>
      </x:c>
      <x:c r="H25" s="32" t="str">
        <x:f>IF('03_Functionalities'!$A25="","",'03_Functionalities'!$A25)</x:f>
      </x:c>
      <x:c r="I25" s="32" t="str">
        <x:f>IF($H25="","",'03_Functionalities'!$D25)</x:f>
      </x:c>
      <x:c r="J25" s="32" t="str">
        <x:f>IF($H25="","",'03_Functionalities'!$E25)</x:f>
      </x:c>
      <x:c r="K25" s="32" t="str">
        <x:f>IF($H25="","",'03_Functionalities'!$F25)</x:f>
      </x:c>
      <x:c r="L25" s="32" t="str">
        <x:f>IF($H25="","",'03_Functionalities'!$G25)</x:f>
      </x:c>
      <x:c r="M25" s="32" t="str">
        <x:f>IF($H25="","",'03_Functionalities'!$H25)</x:f>
      </x:c>
      <x:c r="N25" s="32" t="str">
        <x:f>IF($H25="","",'03_Functionalities'!$I25)</x:f>
      </x:c>
      <x:c r="O25" s="32" t="str">
        <x:f>IF($H25="","",'03_Functionalities'!$J25)</x:f>
      </x:c>
      <x:c r="P25" s="32" t="str">
        <x:f>IF($H25="","",'03_Functionalities'!$K25)</x:f>
      </x:c>
      <x:c r="Q25" s="32" t="str">
        <x:f>IF($H25="","",'03_Functionalities'!$L25)</x:f>
      </x:c>
      <x:c r="R25" s="32" t="str">
        <x:f>IF($H25="","",'03_Functionalities'!$M25)</x:f>
      </x:c>
      <x:c r="S25" s="32" t="str">
        <x:f>IF($H25="","",'03_Functionalities'!$N25)</x:f>
      </x:c>
      <x:c r="T25" s="32" t="str">
        <x:f>IF($H25="","",'03_Functionalities'!$O25)</x:f>
      </x:c>
      <x:c r="U25" s="32" t="str">
        <x:f>IF($A25="","",IFERROR(XLOOKUP($A25,'01_Products'!$A$5:$A$500,'01_Products'!$G$5:$G$500),""))</x:f>
      </x:c>
      <x:c r="V25" s="32" t="str">
        <x:f>IF($D25="","",IFERROR(XLOOKUP($D25,'02_Features'!$A$5:$A$1000,'02_Features'!$J$5:$J$1000),""))</x:f>
      </x:c>
      <x:c r="W25" s="32" t="str">
        <x:f>IF($H25="","",'03_Functionalities'!$P25)</x:f>
      </x:c>
      <x:c r="X25" s="32" t="str">
        <x:f>IF($H25="","",'03_Functionalities'!$Q25)</x:f>
      </x:c>
      <x:c r="Y25" s="38"/>
      <x:c r="Z25" s="38"/>
    </x:row>
    <x:row r="26" ht="18" customHeight="1">
      <x:c r="A26" s="32" t="str">
        <x:f>IF('03_Functionalities'!$A26="","",'03_Functionalities'!$C26)</x:f>
      </x:c>
      <x:c r="B26" s="32" t="str">
        <x:f>IF($A26="","",IFERROR(XLOOKUP($A26,'01_Products'!$A$5:$A$500,'01_Products'!$B$5:$B$500),""))</x:f>
      </x:c>
      <x:c r="C26" s="32" t="str">
        <x:f>IF($A26="","",IFERROR(XLOOKUP($A26,'01_Products'!$A$5:$A$500,'01_Products'!$C$5:$C$500),""))</x:f>
      </x:c>
      <x:c r="D26" s="32" t="str">
        <x:f>IF('03_Functionalities'!$A26="","",'03_Functionalities'!$B26)</x:f>
      </x:c>
      <x:c r="E26" s="32" t="str">
        <x:f>IF($D26="","",IFERROR(XLOOKUP($D26,'02_Features'!$A$5:$A$1000,'02_Features'!$C$5:$C$1000),""))</x:f>
      </x:c>
      <x:c r="F26" s="32" t="str">
        <x:f>IF($D26="","",IFERROR(XLOOKUP($D26,'02_Features'!$A$5:$A$1000,'02_Features'!$D$5:$D$1000),""))</x:f>
      </x:c>
      <x:c r="G26" s="32" t="str">
        <x:f>IF($D26="","",IFERROR(XLOOKUP($D26,'02_Features'!$A$5:$A$1000,'02_Features'!$E$5:$E$1000),""))</x:f>
      </x:c>
      <x:c r="H26" s="32" t="str">
        <x:f>IF('03_Functionalities'!$A26="","",'03_Functionalities'!$A26)</x:f>
      </x:c>
      <x:c r="I26" s="32" t="str">
        <x:f>IF($H26="","",'03_Functionalities'!$D26)</x:f>
      </x:c>
      <x:c r="J26" s="32" t="str">
        <x:f>IF($H26="","",'03_Functionalities'!$E26)</x:f>
      </x:c>
      <x:c r="K26" s="32" t="str">
        <x:f>IF($H26="","",'03_Functionalities'!$F26)</x:f>
      </x:c>
      <x:c r="L26" s="32" t="str">
        <x:f>IF($H26="","",'03_Functionalities'!$G26)</x:f>
      </x:c>
      <x:c r="M26" s="32" t="str">
        <x:f>IF($H26="","",'03_Functionalities'!$H26)</x:f>
      </x:c>
      <x:c r="N26" s="32" t="str">
        <x:f>IF($H26="","",'03_Functionalities'!$I26)</x:f>
      </x:c>
      <x:c r="O26" s="32" t="str">
        <x:f>IF($H26="","",'03_Functionalities'!$J26)</x:f>
      </x:c>
      <x:c r="P26" s="32" t="str">
        <x:f>IF($H26="","",'03_Functionalities'!$K26)</x:f>
      </x:c>
      <x:c r="Q26" s="32" t="str">
        <x:f>IF($H26="","",'03_Functionalities'!$L26)</x:f>
      </x:c>
      <x:c r="R26" s="32" t="str">
        <x:f>IF($H26="","",'03_Functionalities'!$M26)</x:f>
      </x:c>
      <x:c r="S26" s="32" t="str">
        <x:f>IF($H26="","",'03_Functionalities'!$N26)</x:f>
      </x:c>
      <x:c r="T26" s="32" t="str">
        <x:f>IF($H26="","",'03_Functionalities'!$O26)</x:f>
      </x:c>
      <x:c r="U26" s="32" t="str">
        <x:f>IF($A26="","",IFERROR(XLOOKUP($A26,'01_Products'!$A$5:$A$500,'01_Products'!$G$5:$G$500),""))</x:f>
      </x:c>
      <x:c r="V26" s="32" t="str">
        <x:f>IF($D26="","",IFERROR(XLOOKUP($D26,'02_Features'!$A$5:$A$1000,'02_Features'!$J$5:$J$1000),""))</x:f>
      </x:c>
      <x:c r="W26" s="32" t="str">
        <x:f>IF($H26="","",'03_Functionalities'!$P26)</x:f>
      </x:c>
      <x:c r="X26" s="32" t="str">
        <x:f>IF($H26="","",'03_Functionalities'!$Q26)</x:f>
      </x:c>
      <x:c r="Y26" s="38"/>
      <x:c r="Z26" s="38"/>
    </x:row>
    <x:row r="27" ht="18" customHeight="1">
      <x:c r="A27" s="32" t="str">
        <x:f>IF('03_Functionalities'!$A27="","",'03_Functionalities'!$C27)</x:f>
      </x:c>
      <x:c r="B27" s="32" t="str">
        <x:f>IF($A27="","",IFERROR(XLOOKUP($A27,'01_Products'!$A$5:$A$500,'01_Products'!$B$5:$B$500),""))</x:f>
      </x:c>
      <x:c r="C27" s="32" t="str">
        <x:f>IF($A27="","",IFERROR(XLOOKUP($A27,'01_Products'!$A$5:$A$500,'01_Products'!$C$5:$C$500),""))</x:f>
      </x:c>
      <x:c r="D27" s="32" t="str">
        <x:f>IF('03_Functionalities'!$A27="","",'03_Functionalities'!$B27)</x:f>
      </x:c>
      <x:c r="E27" s="32" t="str">
        <x:f>IF($D27="","",IFERROR(XLOOKUP($D27,'02_Features'!$A$5:$A$1000,'02_Features'!$C$5:$C$1000),""))</x:f>
      </x:c>
      <x:c r="F27" s="32" t="str">
        <x:f>IF($D27="","",IFERROR(XLOOKUP($D27,'02_Features'!$A$5:$A$1000,'02_Features'!$D$5:$D$1000),""))</x:f>
      </x:c>
      <x:c r="G27" s="32" t="str">
        <x:f>IF($D27="","",IFERROR(XLOOKUP($D27,'02_Features'!$A$5:$A$1000,'02_Features'!$E$5:$E$1000),""))</x:f>
      </x:c>
      <x:c r="H27" s="32" t="str">
        <x:f>IF('03_Functionalities'!$A27="","",'03_Functionalities'!$A27)</x:f>
      </x:c>
      <x:c r="I27" s="32" t="str">
        <x:f>IF($H27="","",'03_Functionalities'!$D27)</x:f>
      </x:c>
      <x:c r="J27" s="32" t="str">
        <x:f>IF($H27="","",'03_Functionalities'!$E27)</x:f>
      </x:c>
      <x:c r="K27" s="32" t="str">
        <x:f>IF($H27="","",'03_Functionalities'!$F27)</x:f>
      </x:c>
      <x:c r="L27" s="32" t="str">
        <x:f>IF($H27="","",'03_Functionalities'!$G27)</x:f>
      </x:c>
      <x:c r="M27" s="32" t="str">
        <x:f>IF($H27="","",'03_Functionalities'!$H27)</x:f>
      </x:c>
      <x:c r="N27" s="32" t="str">
        <x:f>IF($H27="","",'03_Functionalities'!$I27)</x:f>
      </x:c>
      <x:c r="O27" s="32" t="str">
        <x:f>IF($H27="","",'03_Functionalities'!$J27)</x:f>
      </x:c>
      <x:c r="P27" s="32" t="str">
        <x:f>IF($H27="","",'03_Functionalities'!$K27)</x:f>
      </x:c>
      <x:c r="Q27" s="32" t="str">
        <x:f>IF($H27="","",'03_Functionalities'!$L27)</x:f>
      </x:c>
      <x:c r="R27" s="32" t="str">
        <x:f>IF($H27="","",'03_Functionalities'!$M27)</x:f>
      </x:c>
      <x:c r="S27" s="32" t="str">
        <x:f>IF($H27="","",'03_Functionalities'!$N27)</x:f>
      </x:c>
      <x:c r="T27" s="32" t="str">
        <x:f>IF($H27="","",'03_Functionalities'!$O27)</x:f>
      </x:c>
      <x:c r="U27" s="32" t="str">
        <x:f>IF($A27="","",IFERROR(XLOOKUP($A27,'01_Products'!$A$5:$A$500,'01_Products'!$G$5:$G$500),""))</x:f>
      </x:c>
      <x:c r="V27" s="32" t="str">
        <x:f>IF($D27="","",IFERROR(XLOOKUP($D27,'02_Features'!$A$5:$A$1000,'02_Features'!$J$5:$J$1000),""))</x:f>
      </x:c>
      <x:c r="W27" s="32" t="str">
        <x:f>IF($H27="","",'03_Functionalities'!$P27)</x:f>
      </x:c>
      <x:c r="X27" s="32" t="str">
        <x:f>IF($H27="","",'03_Functionalities'!$Q27)</x:f>
      </x:c>
      <x:c r="Y27" s="38"/>
      <x:c r="Z27" s="38"/>
    </x:row>
    <x:row r="28" ht="18" customHeight="1">
      <x:c r="A28" s="32" t="str">
        <x:f>IF('03_Functionalities'!$A28="","",'03_Functionalities'!$C28)</x:f>
      </x:c>
      <x:c r="B28" s="32" t="str">
        <x:f>IF($A28="","",IFERROR(XLOOKUP($A28,'01_Products'!$A$5:$A$500,'01_Products'!$B$5:$B$500),""))</x:f>
      </x:c>
      <x:c r="C28" s="32" t="str">
        <x:f>IF($A28="","",IFERROR(XLOOKUP($A28,'01_Products'!$A$5:$A$500,'01_Products'!$C$5:$C$500),""))</x:f>
      </x:c>
      <x:c r="D28" s="32" t="str">
        <x:f>IF('03_Functionalities'!$A28="","",'03_Functionalities'!$B28)</x:f>
      </x:c>
      <x:c r="E28" s="32" t="str">
        <x:f>IF($D28="","",IFERROR(XLOOKUP($D28,'02_Features'!$A$5:$A$1000,'02_Features'!$C$5:$C$1000),""))</x:f>
      </x:c>
      <x:c r="F28" s="32" t="str">
        <x:f>IF($D28="","",IFERROR(XLOOKUP($D28,'02_Features'!$A$5:$A$1000,'02_Features'!$D$5:$D$1000),""))</x:f>
      </x:c>
      <x:c r="G28" s="32" t="str">
        <x:f>IF($D28="","",IFERROR(XLOOKUP($D28,'02_Features'!$A$5:$A$1000,'02_Features'!$E$5:$E$1000),""))</x:f>
      </x:c>
      <x:c r="H28" s="32" t="str">
        <x:f>IF('03_Functionalities'!$A28="","",'03_Functionalities'!$A28)</x:f>
      </x:c>
      <x:c r="I28" s="32" t="str">
        <x:f>IF($H28="","",'03_Functionalities'!$D28)</x:f>
      </x:c>
      <x:c r="J28" s="32" t="str">
        <x:f>IF($H28="","",'03_Functionalities'!$E28)</x:f>
      </x:c>
      <x:c r="K28" s="32" t="str">
        <x:f>IF($H28="","",'03_Functionalities'!$F28)</x:f>
      </x:c>
      <x:c r="L28" s="32" t="str">
        <x:f>IF($H28="","",'03_Functionalities'!$G28)</x:f>
      </x:c>
      <x:c r="M28" s="32" t="str">
        <x:f>IF($H28="","",'03_Functionalities'!$H28)</x:f>
      </x:c>
      <x:c r="N28" s="32" t="str">
        <x:f>IF($H28="","",'03_Functionalities'!$I28)</x:f>
      </x:c>
      <x:c r="O28" s="32" t="str">
        <x:f>IF($H28="","",'03_Functionalities'!$J28)</x:f>
      </x:c>
      <x:c r="P28" s="32" t="str">
        <x:f>IF($H28="","",'03_Functionalities'!$K28)</x:f>
      </x:c>
      <x:c r="Q28" s="32" t="str">
        <x:f>IF($H28="","",'03_Functionalities'!$L28)</x:f>
      </x:c>
      <x:c r="R28" s="32" t="str">
        <x:f>IF($H28="","",'03_Functionalities'!$M28)</x:f>
      </x:c>
      <x:c r="S28" s="32" t="str">
        <x:f>IF($H28="","",'03_Functionalities'!$N28)</x:f>
      </x:c>
      <x:c r="T28" s="32" t="str">
        <x:f>IF($H28="","",'03_Functionalities'!$O28)</x:f>
      </x:c>
      <x:c r="U28" s="32" t="str">
        <x:f>IF($A28="","",IFERROR(XLOOKUP($A28,'01_Products'!$A$5:$A$500,'01_Products'!$G$5:$G$500),""))</x:f>
      </x:c>
      <x:c r="V28" s="32" t="str">
        <x:f>IF($D28="","",IFERROR(XLOOKUP($D28,'02_Features'!$A$5:$A$1000,'02_Features'!$J$5:$J$1000),""))</x:f>
      </x:c>
      <x:c r="W28" s="32" t="str">
        <x:f>IF($H28="","",'03_Functionalities'!$P28)</x:f>
      </x:c>
      <x:c r="X28" s="32" t="str">
        <x:f>IF($H28="","",'03_Functionalities'!$Q28)</x:f>
      </x:c>
      <x:c r="Y28" s="38"/>
      <x:c r="Z28" s="38"/>
    </x:row>
    <x:row r="29" ht="18" customHeight="1">
      <x:c r="A29" s="32" t="str">
        <x:f>IF('03_Functionalities'!$A29="","",'03_Functionalities'!$C29)</x:f>
      </x:c>
      <x:c r="B29" s="32" t="str">
        <x:f>IF($A29="","",IFERROR(XLOOKUP($A29,'01_Products'!$A$5:$A$500,'01_Products'!$B$5:$B$500),""))</x:f>
      </x:c>
      <x:c r="C29" s="32" t="str">
        <x:f>IF($A29="","",IFERROR(XLOOKUP($A29,'01_Products'!$A$5:$A$500,'01_Products'!$C$5:$C$500),""))</x:f>
      </x:c>
      <x:c r="D29" s="32" t="str">
        <x:f>IF('03_Functionalities'!$A29="","",'03_Functionalities'!$B29)</x:f>
      </x:c>
      <x:c r="E29" s="32" t="str">
        <x:f>IF($D29="","",IFERROR(XLOOKUP($D29,'02_Features'!$A$5:$A$1000,'02_Features'!$C$5:$C$1000),""))</x:f>
      </x:c>
      <x:c r="F29" s="32" t="str">
        <x:f>IF($D29="","",IFERROR(XLOOKUP($D29,'02_Features'!$A$5:$A$1000,'02_Features'!$D$5:$D$1000),""))</x:f>
      </x:c>
      <x:c r="G29" s="32" t="str">
        <x:f>IF($D29="","",IFERROR(XLOOKUP($D29,'02_Features'!$A$5:$A$1000,'02_Features'!$E$5:$E$1000),""))</x:f>
      </x:c>
      <x:c r="H29" s="32" t="str">
        <x:f>IF('03_Functionalities'!$A29="","",'03_Functionalities'!$A29)</x:f>
      </x:c>
      <x:c r="I29" s="32" t="str">
        <x:f>IF($H29="","",'03_Functionalities'!$D29)</x:f>
      </x:c>
      <x:c r="J29" s="32" t="str">
        <x:f>IF($H29="","",'03_Functionalities'!$E29)</x:f>
      </x:c>
      <x:c r="K29" s="32" t="str">
        <x:f>IF($H29="","",'03_Functionalities'!$F29)</x:f>
      </x:c>
      <x:c r="L29" s="32" t="str">
        <x:f>IF($H29="","",'03_Functionalities'!$G29)</x:f>
      </x:c>
      <x:c r="M29" s="32" t="str">
        <x:f>IF($H29="","",'03_Functionalities'!$H29)</x:f>
      </x:c>
      <x:c r="N29" s="32" t="str">
        <x:f>IF($H29="","",'03_Functionalities'!$I29)</x:f>
      </x:c>
      <x:c r="O29" s="32" t="str">
        <x:f>IF($H29="","",'03_Functionalities'!$J29)</x:f>
      </x:c>
      <x:c r="P29" s="32" t="str">
        <x:f>IF($H29="","",'03_Functionalities'!$K29)</x:f>
      </x:c>
      <x:c r="Q29" s="32" t="str">
        <x:f>IF($H29="","",'03_Functionalities'!$L29)</x:f>
      </x:c>
      <x:c r="R29" s="32" t="str">
        <x:f>IF($H29="","",'03_Functionalities'!$M29)</x:f>
      </x:c>
      <x:c r="S29" s="32" t="str">
        <x:f>IF($H29="","",'03_Functionalities'!$N29)</x:f>
      </x:c>
      <x:c r="T29" s="32" t="str">
        <x:f>IF($H29="","",'03_Functionalities'!$O29)</x:f>
      </x:c>
      <x:c r="U29" s="32" t="str">
        <x:f>IF($A29="","",IFERROR(XLOOKUP($A29,'01_Products'!$A$5:$A$500,'01_Products'!$G$5:$G$500),""))</x:f>
      </x:c>
      <x:c r="V29" s="32" t="str">
        <x:f>IF($D29="","",IFERROR(XLOOKUP($D29,'02_Features'!$A$5:$A$1000,'02_Features'!$J$5:$J$1000),""))</x:f>
      </x:c>
      <x:c r="W29" s="32" t="str">
        <x:f>IF($H29="","",'03_Functionalities'!$P29)</x:f>
      </x:c>
      <x:c r="X29" s="32" t="str">
        <x:f>IF($H29="","",'03_Functionalities'!$Q29)</x:f>
      </x:c>
      <x:c r="Y29" s="38"/>
      <x:c r="Z29" s="38"/>
    </x:row>
    <x:row r="30" ht="18" customHeight="1">
      <x:c r="A30" s="32" t="str">
        <x:f>IF('03_Functionalities'!$A30="","",'03_Functionalities'!$C30)</x:f>
      </x:c>
      <x:c r="B30" s="32" t="str">
        <x:f>IF($A30="","",IFERROR(XLOOKUP($A30,'01_Products'!$A$5:$A$500,'01_Products'!$B$5:$B$500),""))</x:f>
      </x:c>
      <x:c r="C30" s="32" t="str">
        <x:f>IF($A30="","",IFERROR(XLOOKUP($A30,'01_Products'!$A$5:$A$500,'01_Products'!$C$5:$C$500),""))</x:f>
      </x:c>
      <x:c r="D30" s="32" t="str">
        <x:f>IF('03_Functionalities'!$A30="","",'03_Functionalities'!$B30)</x:f>
      </x:c>
      <x:c r="E30" s="32" t="str">
        <x:f>IF($D30="","",IFERROR(XLOOKUP($D30,'02_Features'!$A$5:$A$1000,'02_Features'!$C$5:$C$1000),""))</x:f>
      </x:c>
      <x:c r="F30" s="32" t="str">
        <x:f>IF($D30="","",IFERROR(XLOOKUP($D30,'02_Features'!$A$5:$A$1000,'02_Features'!$D$5:$D$1000),""))</x:f>
      </x:c>
      <x:c r="G30" s="32" t="str">
        <x:f>IF($D30="","",IFERROR(XLOOKUP($D30,'02_Features'!$A$5:$A$1000,'02_Features'!$E$5:$E$1000),""))</x:f>
      </x:c>
      <x:c r="H30" s="32" t="str">
        <x:f>IF('03_Functionalities'!$A30="","",'03_Functionalities'!$A30)</x:f>
      </x:c>
      <x:c r="I30" s="32" t="str">
        <x:f>IF($H30="","",'03_Functionalities'!$D30)</x:f>
      </x:c>
      <x:c r="J30" s="32" t="str">
        <x:f>IF($H30="","",'03_Functionalities'!$E30)</x:f>
      </x:c>
      <x:c r="K30" s="32" t="str">
        <x:f>IF($H30="","",'03_Functionalities'!$F30)</x:f>
      </x:c>
      <x:c r="L30" s="32" t="str">
        <x:f>IF($H30="","",'03_Functionalities'!$G30)</x:f>
      </x:c>
      <x:c r="M30" s="32" t="str">
        <x:f>IF($H30="","",'03_Functionalities'!$H30)</x:f>
      </x:c>
      <x:c r="N30" s="32" t="str">
        <x:f>IF($H30="","",'03_Functionalities'!$I30)</x:f>
      </x:c>
      <x:c r="O30" s="32" t="str">
        <x:f>IF($H30="","",'03_Functionalities'!$J30)</x:f>
      </x:c>
      <x:c r="P30" s="32" t="str">
        <x:f>IF($H30="","",'03_Functionalities'!$K30)</x:f>
      </x:c>
      <x:c r="Q30" s="32" t="str">
        <x:f>IF($H30="","",'03_Functionalities'!$L30)</x:f>
      </x:c>
      <x:c r="R30" s="32" t="str">
        <x:f>IF($H30="","",'03_Functionalities'!$M30)</x:f>
      </x:c>
      <x:c r="S30" s="32" t="str">
        <x:f>IF($H30="","",'03_Functionalities'!$N30)</x:f>
      </x:c>
      <x:c r="T30" s="32" t="str">
        <x:f>IF($H30="","",'03_Functionalities'!$O30)</x:f>
      </x:c>
      <x:c r="U30" s="32" t="str">
        <x:f>IF($A30="","",IFERROR(XLOOKUP($A30,'01_Products'!$A$5:$A$500,'01_Products'!$G$5:$G$500),""))</x:f>
      </x:c>
      <x:c r="V30" s="32" t="str">
        <x:f>IF($D30="","",IFERROR(XLOOKUP($D30,'02_Features'!$A$5:$A$1000,'02_Features'!$J$5:$J$1000),""))</x:f>
      </x:c>
      <x:c r="W30" s="32" t="str">
        <x:f>IF($H30="","",'03_Functionalities'!$P30)</x:f>
      </x:c>
      <x:c r="X30" s="32" t="str">
        <x:f>IF($H30="","",'03_Functionalities'!$Q30)</x:f>
      </x:c>
      <x:c r="Y30" s="38"/>
      <x:c r="Z30" s="38"/>
    </x:row>
    <x:row r="31" ht="18" customHeight="1">
      <x:c r="A31" s="32" t="str">
        <x:f>IF('03_Functionalities'!$A31="","",'03_Functionalities'!$C31)</x:f>
      </x:c>
      <x:c r="B31" s="32" t="str">
        <x:f>IF($A31="","",IFERROR(XLOOKUP($A31,'01_Products'!$A$5:$A$500,'01_Products'!$B$5:$B$500),""))</x:f>
      </x:c>
      <x:c r="C31" s="32" t="str">
        <x:f>IF($A31="","",IFERROR(XLOOKUP($A31,'01_Products'!$A$5:$A$500,'01_Products'!$C$5:$C$500),""))</x:f>
      </x:c>
      <x:c r="D31" s="32" t="str">
        <x:f>IF('03_Functionalities'!$A31="","",'03_Functionalities'!$B31)</x:f>
      </x:c>
      <x:c r="E31" s="32" t="str">
        <x:f>IF($D31="","",IFERROR(XLOOKUP($D31,'02_Features'!$A$5:$A$1000,'02_Features'!$C$5:$C$1000),""))</x:f>
      </x:c>
      <x:c r="F31" s="32" t="str">
        <x:f>IF($D31="","",IFERROR(XLOOKUP($D31,'02_Features'!$A$5:$A$1000,'02_Features'!$D$5:$D$1000),""))</x:f>
      </x:c>
      <x:c r="G31" s="32" t="str">
        <x:f>IF($D31="","",IFERROR(XLOOKUP($D31,'02_Features'!$A$5:$A$1000,'02_Features'!$E$5:$E$1000),""))</x:f>
      </x:c>
      <x:c r="H31" s="32" t="str">
        <x:f>IF('03_Functionalities'!$A31="","",'03_Functionalities'!$A31)</x:f>
      </x:c>
      <x:c r="I31" s="32" t="str">
        <x:f>IF($H31="","",'03_Functionalities'!$D31)</x:f>
      </x:c>
      <x:c r="J31" s="32" t="str">
        <x:f>IF($H31="","",'03_Functionalities'!$E31)</x:f>
      </x:c>
      <x:c r="K31" s="32" t="str">
        <x:f>IF($H31="","",'03_Functionalities'!$F31)</x:f>
      </x:c>
      <x:c r="L31" s="32" t="str">
        <x:f>IF($H31="","",'03_Functionalities'!$G31)</x:f>
      </x:c>
      <x:c r="M31" s="32" t="str">
        <x:f>IF($H31="","",'03_Functionalities'!$H31)</x:f>
      </x:c>
      <x:c r="N31" s="32" t="str">
        <x:f>IF($H31="","",'03_Functionalities'!$I31)</x:f>
      </x:c>
      <x:c r="O31" s="32" t="str">
        <x:f>IF($H31="","",'03_Functionalities'!$J31)</x:f>
      </x:c>
      <x:c r="P31" s="32" t="str">
        <x:f>IF($H31="","",'03_Functionalities'!$K31)</x:f>
      </x:c>
      <x:c r="Q31" s="32" t="str">
        <x:f>IF($H31="","",'03_Functionalities'!$L31)</x:f>
      </x:c>
      <x:c r="R31" s="32" t="str">
        <x:f>IF($H31="","",'03_Functionalities'!$M31)</x:f>
      </x:c>
      <x:c r="S31" s="32" t="str">
        <x:f>IF($H31="","",'03_Functionalities'!$N31)</x:f>
      </x:c>
      <x:c r="T31" s="32" t="str">
        <x:f>IF($H31="","",'03_Functionalities'!$O31)</x:f>
      </x:c>
      <x:c r="U31" s="32" t="str">
        <x:f>IF($A31="","",IFERROR(XLOOKUP($A31,'01_Products'!$A$5:$A$500,'01_Products'!$G$5:$G$500),""))</x:f>
      </x:c>
      <x:c r="V31" s="32" t="str">
        <x:f>IF($D31="","",IFERROR(XLOOKUP($D31,'02_Features'!$A$5:$A$1000,'02_Features'!$J$5:$J$1000),""))</x:f>
      </x:c>
      <x:c r="W31" s="32" t="str">
        <x:f>IF($H31="","",'03_Functionalities'!$P31)</x:f>
      </x:c>
      <x:c r="X31" s="32" t="str">
        <x:f>IF($H31="","",'03_Functionalities'!$Q31)</x:f>
      </x:c>
      <x:c r="Y31" s="38"/>
      <x:c r="Z31" s="38"/>
    </x:row>
    <x:row r="32" ht="18" customHeight="1">
      <x:c r="A32" s="32" t="str">
        <x:f>IF('03_Functionalities'!$A32="","",'03_Functionalities'!$C32)</x:f>
      </x:c>
      <x:c r="B32" s="32" t="str">
        <x:f>IF($A32="","",IFERROR(XLOOKUP($A32,'01_Products'!$A$5:$A$500,'01_Products'!$B$5:$B$500),""))</x:f>
      </x:c>
      <x:c r="C32" s="32" t="str">
        <x:f>IF($A32="","",IFERROR(XLOOKUP($A32,'01_Products'!$A$5:$A$500,'01_Products'!$C$5:$C$500),""))</x:f>
      </x:c>
      <x:c r="D32" s="32" t="str">
        <x:f>IF('03_Functionalities'!$A32="","",'03_Functionalities'!$B32)</x:f>
      </x:c>
      <x:c r="E32" s="32" t="str">
        <x:f>IF($D32="","",IFERROR(XLOOKUP($D32,'02_Features'!$A$5:$A$1000,'02_Features'!$C$5:$C$1000),""))</x:f>
      </x:c>
      <x:c r="F32" s="32" t="str">
        <x:f>IF($D32="","",IFERROR(XLOOKUP($D32,'02_Features'!$A$5:$A$1000,'02_Features'!$D$5:$D$1000),""))</x:f>
      </x:c>
      <x:c r="G32" s="32" t="str">
        <x:f>IF($D32="","",IFERROR(XLOOKUP($D32,'02_Features'!$A$5:$A$1000,'02_Features'!$E$5:$E$1000),""))</x:f>
      </x:c>
      <x:c r="H32" s="32" t="str">
        <x:f>IF('03_Functionalities'!$A32="","",'03_Functionalities'!$A32)</x:f>
      </x:c>
      <x:c r="I32" s="32" t="str">
        <x:f>IF($H32="","",'03_Functionalities'!$D32)</x:f>
      </x:c>
      <x:c r="J32" s="32" t="str">
        <x:f>IF($H32="","",'03_Functionalities'!$E32)</x:f>
      </x:c>
      <x:c r="K32" s="32" t="str">
        <x:f>IF($H32="","",'03_Functionalities'!$F32)</x:f>
      </x:c>
      <x:c r="L32" s="32" t="str">
        <x:f>IF($H32="","",'03_Functionalities'!$G32)</x:f>
      </x:c>
      <x:c r="M32" s="32" t="str">
        <x:f>IF($H32="","",'03_Functionalities'!$H32)</x:f>
      </x:c>
      <x:c r="N32" s="32" t="str">
        <x:f>IF($H32="","",'03_Functionalities'!$I32)</x:f>
      </x:c>
      <x:c r="O32" s="32" t="str">
        <x:f>IF($H32="","",'03_Functionalities'!$J32)</x:f>
      </x:c>
      <x:c r="P32" s="32" t="str">
        <x:f>IF($H32="","",'03_Functionalities'!$K32)</x:f>
      </x:c>
      <x:c r="Q32" s="32" t="str">
        <x:f>IF($H32="","",'03_Functionalities'!$L32)</x:f>
      </x:c>
      <x:c r="R32" s="32" t="str">
        <x:f>IF($H32="","",'03_Functionalities'!$M32)</x:f>
      </x:c>
      <x:c r="S32" s="32" t="str">
        <x:f>IF($H32="","",'03_Functionalities'!$N32)</x:f>
      </x:c>
      <x:c r="T32" s="32" t="str">
        <x:f>IF($H32="","",'03_Functionalities'!$O32)</x:f>
      </x:c>
      <x:c r="U32" s="32" t="str">
        <x:f>IF($A32="","",IFERROR(XLOOKUP($A32,'01_Products'!$A$5:$A$500,'01_Products'!$G$5:$G$500),""))</x:f>
      </x:c>
      <x:c r="V32" s="32" t="str">
        <x:f>IF($D32="","",IFERROR(XLOOKUP($D32,'02_Features'!$A$5:$A$1000,'02_Features'!$J$5:$J$1000),""))</x:f>
      </x:c>
      <x:c r="W32" s="32" t="str">
        <x:f>IF($H32="","",'03_Functionalities'!$P32)</x:f>
      </x:c>
      <x:c r="X32" s="32" t="str">
        <x:f>IF($H32="","",'03_Functionalities'!$Q32)</x:f>
      </x:c>
      <x:c r="Y32" s="38"/>
      <x:c r="Z32" s="38"/>
    </x:row>
    <x:row r="33" ht="18" customHeight="1">
      <x:c r="A33" s="32" t="str">
        <x:f>IF('03_Functionalities'!$A33="","",'03_Functionalities'!$C33)</x:f>
      </x:c>
      <x:c r="B33" s="32" t="str">
        <x:f>IF($A33="","",IFERROR(XLOOKUP($A33,'01_Products'!$A$5:$A$500,'01_Products'!$B$5:$B$500),""))</x:f>
      </x:c>
      <x:c r="C33" s="32" t="str">
        <x:f>IF($A33="","",IFERROR(XLOOKUP($A33,'01_Products'!$A$5:$A$500,'01_Products'!$C$5:$C$500),""))</x:f>
      </x:c>
      <x:c r="D33" s="32" t="str">
        <x:f>IF('03_Functionalities'!$A33="","",'03_Functionalities'!$B33)</x:f>
      </x:c>
      <x:c r="E33" s="32" t="str">
        <x:f>IF($D33="","",IFERROR(XLOOKUP($D33,'02_Features'!$A$5:$A$1000,'02_Features'!$C$5:$C$1000),""))</x:f>
      </x:c>
      <x:c r="F33" s="32" t="str">
        <x:f>IF($D33="","",IFERROR(XLOOKUP($D33,'02_Features'!$A$5:$A$1000,'02_Features'!$D$5:$D$1000),""))</x:f>
      </x:c>
      <x:c r="G33" s="32" t="str">
        <x:f>IF($D33="","",IFERROR(XLOOKUP($D33,'02_Features'!$A$5:$A$1000,'02_Features'!$E$5:$E$1000),""))</x:f>
      </x:c>
      <x:c r="H33" s="32" t="str">
        <x:f>IF('03_Functionalities'!$A33="","",'03_Functionalities'!$A33)</x:f>
      </x:c>
      <x:c r="I33" s="32" t="str">
        <x:f>IF($H33="","",'03_Functionalities'!$D33)</x:f>
      </x:c>
      <x:c r="J33" s="32" t="str">
        <x:f>IF($H33="","",'03_Functionalities'!$E33)</x:f>
      </x:c>
      <x:c r="K33" s="32" t="str">
        <x:f>IF($H33="","",'03_Functionalities'!$F33)</x:f>
      </x:c>
      <x:c r="L33" s="32" t="str">
        <x:f>IF($H33="","",'03_Functionalities'!$G33)</x:f>
      </x:c>
      <x:c r="M33" s="32" t="str">
        <x:f>IF($H33="","",'03_Functionalities'!$H33)</x:f>
      </x:c>
      <x:c r="N33" s="32" t="str">
        <x:f>IF($H33="","",'03_Functionalities'!$I33)</x:f>
      </x:c>
      <x:c r="O33" s="32" t="str">
        <x:f>IF($H33="","",'03_Functionalities'!$J33)</x:f>
      </x:c>
      <x:c r="P33" s="32" t="str">
        <x:f>IF($H33="","",'03_Functionalities'!$K33)</x:f>
      </x:c>
      <x:c r="Q33" s="32" t="str">
        <x:f>IF($H33="","",'03_Functionalities'!$L33)</x:f>
      </x:c>
      <x:c r="R33" s="32" t="str">
        <x:f>IF($H33="","",'03_Functionalities'!$M33)</x:f>
      </x:c>
      <x:c r="S33" s="32" t="str">
        <x:f>IF($H33="","",'03_Functionalities'!$N33)</x:f>
      </x:c>
      <x:c r="T33" s="32" t="str">
        <x:f>IF($H33="","",'03_Functionalities'!$O33)</x:f>
      </x:c>
      <x:c r="U33" s="32" t="str">
        <x:f>IF($A33="","",IFERROR(XLOOKUP($A33,'01_Products'!$A$5:$A$500,'01_Products'!$G$5:$G$500),""))</x:f>
      </x:c>
      <x:c r="V33" s="32" t="str">
        <x:f>IF($D33="","",IFERROR(XLOOKUP($D33,'02_Features'!$A$5:$A$1000,'02_Features'!$J$5:$J$1000),""))</x:f>
      </x:c>
      <x:c r="W33" s="32" t="str">
        <x:f>IF($H33="","",'03_Functionalities'!$P33)</x:f>
      </x:c>
      <x:c r="X33" s="32" t="str">
        <x:f>IF($H33="","",'03_Functionalities'!$Q33)</x:f>
      </x:c>
      <x:c r="Y33" s="38"/>
      <x:c r="Z33" s="38"/>
    </x:row>
    <x:row r="34" ht="18" customHeight="1">
      <x:c r="A34" s="32" t="str">
        <x:f>IF('03_Functionalities'!$A34="","",'03_Functionalities'!$C34)</x:f>
      </x:c>
      <x:c r="B34" s="32" t="str">
        <x:f>IF($A34="","",IFERROR(XLOOKUP($A34,'01_Products'!$A$5:$A$500,'01_Products'!$B$5:$B$500),""))</x:f>
      </x:c>
      <x:c r="C34" s="32" t="str">
        <x:f>IF($A34="","",IFERROR(XLOOKUP($A34,'01_Products'!$A$5:$A$500,'01_Products'!$C$5:$C$500),""))</x:f>
      </x:c>
      <x:c r="D34" s="32" t="str">
        <x:f>IF('03_Functionalities'!$A34="","",'03_Functionalities'!$B34)</x:f>
      </x:c>
      <x:c r="E34" s="32" t="str">
        <x:f>IF($D34="","",IFERROR(XLOOKUP($D34,'02_Features'!$A$5:$A$1000,'02_Features'!$C$5:$C$1000),""))</x:f>
      </x:c>
      <x:c r="F34" s="32" t="str">
        <x:f>IF($D34="","",IFERROR(XLOOKUP($D34,'02_Features'!$A$5:$A$1000,'02_Features'!$D$5:$D$1000),""))</x:f>
      </x:c>
      <x:c r="G34" s="32" t="str">
        <x:f>IF($D34="","",IFERROR(XLOOKUP($D34,'02_Features'!$A$5:$A$1000,'02_Features'!$E$5:$E$1000),""))</x:f>
      </x:c>
      <x:c r="H34" s="32" t="str">
        <x:f>IF('03_Functionalities'!$A34="","",'03_Functionalities'!$A34)</x:f>
      </x:c>
      <x:c r="I34" s="32" t="str">
        <x:f>IF($H34="","",'03_Functionalities'!$D34)</x:f>
      </x:c>
      <x:c r="J34" s="32" t="str">
        <x:f>IF($H34="","",'03_Functionalities'!$E34)</x:f>
      </x:c>
      <x:c r="K34" s="32" t="str">
        <x:f>IF($H34="","",'03_Functionalities'!$F34)</x:f>
      </x:c>
      <x:c r="L34" s="32" t="str">
        <x:f>IF($H34="","",'03_Functionalities'!$G34)</x:f>
      </x:c>
      <x:c r="M34" s="32" t="str">
        <x:f>IF($H34="","",'03_Functionalities'!$H34)</x:f>
      </x:c>
      <x:c r="N34" s="32" t="str">
        <x:f>IF($H34="","",'03_Functionalities'!$I34)</x:f>
      </x:c>
      <x:c r="O34" s="32" t="str">
        <x:f>IF($H34="","",'03_Functionalities'!$J34)</x:f>
      </x:c>
      <x:c r="P34" s="32" t="str">
        <x:f>IF($H34="","",'03_Functionalities'!$K34)</x:f>
      </x:c>
      <x:c r="Q34" s="32" t="str">
        <x:f>IF($H34="","",'03_Functionalities'!$L34)</x:f>
      </x:c>
      <x:c r="R34" s="32" t="str">
        <x:f>IF($H34="","",'03_Functionalities'!$M34)</x:f>
      </x:c>
      <x:c r="S34" s="32" t="str">
        <x:f>IF($H34="","",'03_Functionalities'!$N34)</x:f>
      </x:c>
      <x:c r="T34" s="32" t="str">
        <x:f>IF($H34="","",'03_Functionalities'!$O34)</x:f>
      </x:c>
      <x:c r="U34" s="32" t="str">
        <x:f>IF($A34="","",IFERROR(XLOOKUP($A34,'01_Products'!$A$5:$A$500,'01_Products'!$G$5:$G$500),""))</x:f>
      </x:c>
      <x:c r="V34" s="32" t="str">
        <x:f>IF($D34="","",IFERROR(XLOOKUP($D34,'02_Features'!$A$5:$A$1000,'02_Features'!$J$5:$J$1000),""))</x:f>
      </x:c>
      <x:c r="W34" s="32" t="str">
        <x:f>IF($H34="","",'03_Functionalities'!$P34)</x:f>
      </x:c>
      <x:c r="X34" s="32" t="str">
        <x:f>IF($H34="","",'03_Functionalities'!$Q34)</x:f>
      </x:c>
      <x:c r="Y34" s="38"/>
      <x:c r="Z34" s="38"/>
    </x:row>
    <x:row r="35" ht="18" customHeight="1">
      <x:c r="A35" s="32" t="str">
        <x:f>IF('03_Functionalities'!$A35="","",'03_Functionalities'!$C35)</x:f>
      </x:c>
      <x:c r="B35" s="32" t="str">
        <x:f>IF($A35="","",IFERROR(XLOOKUP($A35,'01_Products'!$A$5:$A$500,'01_Products'!$B$5:$B$500),""))</x:f>
      </x:c>
      <x:c r="C35" s="32" t="str">
        <x:f>IF($A35="","",IFERROR(XLOOKUP($A35,'01_Products'!$A$5:$A$500,'01_Products'!$C$5:$C$500),""))</x:f>
      </x:c>
      <x:c r="D35" s="32" t="str">
        <x:f>IF('03_Functionalities'!$A35="","",'03_Functionalities'!$B35)</x:f>
      </x:c>
      <x:c r="E35" s="32" t="str">
        <x:f>IF($D35="","",IFERROR(XLOOKUP($D35,'02_Features'!$A$5:$A$1000,'02_Features'!$C$5:$C$1000),""))</x:f>
      </x:c>
      <x:c r="F35" s="32" t="str">
        <x:f>IF($D35="","",IFERROR(XLOOKUP($D35,'02_Features'!$A$5:$A$1000,'02_Features'!$D$5:$D$1000),""))</x:f>
      </x:c>
      <x:c r="G35" s="32" t="str">
        <x:f>IF($D35="","",IFERROR(XLOOKUP($D35,'02_Features'!$A$5:$A$1000,'02_Features'!$E$5:$E$1000),""))</x:f>
      </x:c>
      <x:c r="H35" s="32" t="str">
        <x:f>IF('03_Functionalities'!$A35="","",'03_Functionalities'!$A35)</x:f>
      </x:c>
      <x:c r="I35" s="32" t="str">
        <x:f>IF($H35="","",'03_Functionalities'!$D35)</x:f>
      </x:c>
      <x:c r="J35" s="32" t="str">
        <x:f>IF($H35="","",'03_Functionalities'!$E35)</x:f>
      </x:c>
      <x:c r="K35" s="32" t="str">
        <x:f>IF($H35="","",'03_Functionalities'!$F35)</x:f>
      </x:c>
      <x:c r="L35" s="32" t="str">
        <x:f>IF($H35="","",'03_Functionalities'!$G35)</x:f>
      </x:c>
      <x:c r="M35" s="32" t="str">
        <x:f>IF($H35="","",'03_Functionalities'!$H35)</x:f>
      </x:c>
      <x:c r="N35" s="32" t="str">
        <x:f>IF($H35="","",'03_Functionalities'!$I35)</x:f>
      </x:c>
      <x:c r="O35" s="32" t="str">
        <x:f>IF($H35="","",'03_Functionalities'!$J35)</x:f>
      </x:c>
      <x:c r="P35" s="32" t="str">
        <x:f>IF($H35="","",'03_Functionalities'!$K35)</x:f>
      </x:c>
      <x:c r="Q35" s="32" t="str">
        <x:f>IF($H35="","",'03_Functionalities'!$L35)</x:f>
      </x:c>
      <x:c r="R35" s="32" t="str">
        <x:f>IF($H35="","",'03_Functionalities'!$M35)</x:f>
      </x:c>
      <x:c r="S35" s="32" t="str">
        <x:f>IF($H35="","",'03_Functionalities'!$N35)</x:f>
      </x:c>
      <x:c r="T35" s="32" t="str">
        <x:f>IF($H35="","",'03_Functionalities'!$O35)</x:f>
      </x:c>
      <x:c r="U35" s="32" t="str">
        <x:f>IF($A35="","",IFERROR(XLOOKUP($A35,'01_Products'!$A$5:$A$500,'01_Products'!$G$5:$G$500),""))</x:f>
      </x:c>
      <x:c r="V35" s="32" t="str">
        <x:f>IF($D35="","",IFERROR(XLOOKUP($D35,'02_Features'!$A$5:$A$1000,'02_Features'!$J$5:$J$1000),""))</x:f>
      </x:c>
      <x:c r="W35" s="32" t="str">
        <x:f>IF($H35="","",'03_Functionalities'!$P35)</x:f>
      </x:c>
      <x:c r="X35" s="32" t="str">
        <x:f>IF($H35="","",'03_Functionalities'!$Q35)</x:f>
      </x:c>
      <x:c r="Y35" s="38"/>
      <x:c r="Z35" s="38"/>
    </x:row>
    <x:row r="36" ht="18" customHeight="1">
      <x:c r="A36" s="32" t="str">
        <x:f>IF('03_Functionalities'!$A36="","",'03_Functionalities'!$C36)</x:f>
      </x:c>
      <x:c r="B36" s="32" t="str">
        <x:f>IF($A36="","",IFERROR(XLOOKUP($A36,'01_Products'!$A$5:$A$500,'01_Products'!$B$5:$B$500),""))</x:f>
      </x:c>
      <x:c r="C36" s="32" t="str">
        <x:f>IF($A36="","",IFERROR(XLOOKUP($A36,'01_Products'!$A$5:$A$500,'01_Products'!$C$5:$C$500),""))</x:f>
      </x:c>
      <x:c r="D36" s="32" t="str">
        <x:f>IF('03_Functionalities'!$A36="","",'03_Functionalities'!$B36)</x:f>
      </x:c>
      <x:c r="E36" s="32" t="str">
        <x:f>IF($D36="","",IFERROR(XLOOKUP($D36,'02_Features'!$A$5:$A$1000,'02_Features'!$C$5:$C$1000),""))</x:f>
      </x:c>
      <x:c r="F36" s="32" t="str">
        <x:f>IF($D36="","",IFERROR(XLOOKUP($D36,'02_Features'!$A$5:$A$1000,'02_Features'!$D$5:$D$1000),""))</x:f>
      </x:c>
      <x:c r="G36" s="32" t="str">
        <x:f>IF($D36="","",IFERROR(XLOOKUP($D36,'02_Features'!$A$5:$A$1000,'02_Features'!$E$5:$E$1000),""))</x:f>
      </x:c>
      <x:c r="H36" s="32" t="str">
        <x:f>IF('03_Functionalities'!$A36="","",'03_Functionalities'!$A36)</x:f>
      </x:c>
      <x:c r="I36" s="32" t="str">
        <x:f>IF($H36="","",'03_Functionalities'!$D36)</x:f>
      </x:c>
      <x:c r="J36" s="32" t="str">
        <x:f>IF($H36="","",'03_Functionalities'!$E36)</x:f>
      </x:c>
      <x:c r="K36" s="32" t="str">
        <x:f>IF($H36="","",'03_Functionalities'!$F36)</x:f>
      </x:c>
      <x:c r="L36" s="32" t="str">
        <x:f>IF($H36="","",'03_Functionalities'!$G36)</x:f>
      </x:c>
      <x:c r="M36" s="32" t="str">
        <x:f>IF($H36="","",'03_Functionalities'!$H36)</x:f>
      </x:c>
      <x:c r="N36" s="32" t="str">
        <x:f>IF($H36="","",'03_Functionalities'!$I36)</x:f>
      </x:c>
      <x:c r="O36" s="32" t="str">
        <x:f>IF($H36="","",'03_Functionalities'!$J36)</x:f>
      </x:c>
      <x:c r="P36" s="32" t="str">
        <x:f>IF($H36="","",'03_Functionalities'!$K36)</x:f>
      </x:c>
      <x:c r="Q36" s="32" t="str">
        <x:f>IF($H36="","",'03_Functionalities'!$L36)</x:f>
      </x:c>
      <x:c r="R36" s="32" t="str">
        <x:f>IF($H36="","",'03_Functionalities'!$M36)</x:f>
      </x:c>
      <x:c r="S36" s="32" t="str">
        <x:f>IF($H36="","",'03_Functionalities'!$N36)</x:f>
      </x:c>
      <x:c r="T36" s="32" t="str">
        <x:f>IF($H36="","",'03_Functionalities'!$O36)</x:f>
      </x:c>
      <x:c r="U36" s="32" t="str">
        <x:f>IF($A36="","",IFERROR(XLOOKUP($A36,'01_Products'!$A$5:$A$500,'01_Products'!$G$5:$G$500),""))</x:f>
      </x:c>
      <x:c r="V36" s="32" t="str">
        <x:f>IF($D36="","",IFERROR(XLOOKUP($D36,'02_Features'!$A$5:$A$1000,'02_Features'!$J$5:$J$1000),""))</x:f>
      </x:c>
      <x:c r="W36" s="32" t="str">
        <x:f>IF($H36="","",'03_Functionalities'!$P36)</x:f>
      </x:c>
      <x:c r="X36" s="32" t="str">
        <x:f>IF($H36="","",'03_Functionalities'!$Q36)</x:f>
      </x:c>
      <x:c r="Y36" s="38"/>
      <x:c r="Z36" s="38"/>
    </x:row>
    <x:row r="37" ht="18" customHeight="1">
      <x:c r="A37" s="32" t="str">
        <x:f>IF('03_Functionalities'!$A37="","",'03_Functionalities'!$C37)</x:f>
      </x:c>
      <x:c r="B37" s="32" t="str">
        <x:f>IF($A37="","",IFERROR(XLOOKUP($A37,'01_Products'!$A$5:$A$500,'01_Products'!$B$5:$B$500),""))</x:f>
      </x:c>
      <x:c r="C37" s="32" t="str">
        <x:f>IF($A37="","",IFERROR(XLOOKUP($A37,'01_Products'!$A$5:$A$500,'01_Products'!$C$5:$C$500),""))</x:f>
      </x:c>
      <x:c r="D37" s="32" t="str">
        <x:f>IF('03_Functionalities'!$A37="","",'03_Functionalities'!$B37)</x:f>
      </x:c>
      <x:c r="E37" s="32" t="str">
        <x:f>IF($D37="","",IFERROR(XLOOKUP($D37,'02_Features'!$A$5:$A$1000,'02_Features'!$C$5:$C$1000),""))</x:f>
      </x:c>
      <x:c r="F37" s="32" t="str">
        <x:f>IF($D37="","",IFERROR(XLOOKUP($D37,'02_Features'!$A$5:$A$1000,'02_Features'!$D$5:$D$1000),""))</x:f>
      </x:c>
      <x:c r="G37" s="32" t="str">
        <x:f>IF($D37="","",IFERROR(XLOOKUP($D37,'02_Features'!$A$5:$A$1000,'02_Features'!$E$5:$E$1000),""))</x:f>
      </x:c>
      <x:c r="H37" s="32" t="str">
        <x:f>IF('03_Functionalities'!$A37="","",'03_Functionalities'!$A37)</x:f>
      </x:c>
      <x:c r="I37" s="32" t="str">
        <x:f>IF($H37="","",'03_Functionalities'!$D37)</x:f>
      </x:c>
      <x:c r="J37" s="32" t="str">
        <x:f>IF($H37="","",'03_Functionalities'!$E37)</x:f>
      </x:c>
      <x:c r="K37" s="32" t="str">
        <x:f>IF($H37="","",'03_Functionalities'!$F37)</x:f>
      </x:c>
      <x:c r="L37" s="32" t="str">
        <x:f>IF($H37="","",'03_Functionalities'!$G37)</x:f>
      </x:c>
      <x:c r="M37" s="32" t="str">
        <x:f>IF($H37="","",'03_Functionalities'!$H37)</x:f>
      </x:c>
      <x:c r="N37" s="32" t="str">
        <x:f>IF($H37="","",'03_Functionalities'!$I37)</x:f>
      </x:c>
      <x:c r="O37" s="32" t="str">
        <x:f>IF($H37="","",'03_Functionalities'!$J37)</x:f>
      </x:c>
      <x:c r="P37" s="32" t="str">
        <x:f>IF($H37="","",'03_Functionalities'!$K37)</x:f>
      </x:c>
      <x:c r="Q37" s="32" t="str">
        <x:f>IF($H37="","",'03_Functionalities'!$L37)</x:f>
      </x:c>
      <x:c r="R37" s="32" t="str">
        <x:f>IF($H37="","",'03_Functionalities'!$M37)</x:f>
      </x:c>
      <x:c r="S37" s="32" t="str">
        <x:f>IF($H37="","",'03_Functionalities'!$N37)</x:f>
      </x:c>
      <x:c r="T37" s="32" t="str">
        <x:f>IF($H37="","",'03_Functionalities'!$O37)</x:f>
      </x:c>
      <x:c r="U37" s="32" t="str">
        <x:f>IF($A37="","",IFERROR(XLOOKUP($A37,'01_Products'!$A$5:$A$500,'01_Products'!$G$5:$G$500),""))</x:f>
      </x:c>
      <x:c r="V37" s="32" t="str">
        <x:f>IF($D37="","",IFERROR(XLOOKUP($D37,'02_Features'!$A$5:$A$1000,'02_Features'!$J$5:$J$1000),""))</x:f>
      </x:c>
      <x:c r="W37" s="32" t="str">
        <x:f>IF($H37="","",'03_Functionalities'!$P37)</x:f>
      </x:c>
      <x:c r="X37" s="32" t="str">
        <x:f>IF($H37="","",'03_Functionalities'!$Q37)</x:f>
      </x:c>
      <x:c r="Y37" s="38"/>
      <x:c r="Z37" s="38"/>
    </x:row>
    <x:row r="38" ht="18" customHeight="1">
      <x:c r="A38" s="32" t="str">
        <x:f>IF('03_Functionalities'!$A38="","",'03_Functionalities'!$C38)</x:f>
      </x:c>
      <x:c r="B38" s="32" t="str">
        <x:f>IF($A38="","",IFERROR(XLOOKUP($A38,'01_Products'!$A$5:$A$500,'01_Products'!$B$5:$B$500),""))</x:f>
      </x:c>
      <x:c r="C38" s="32" t="str">
        <x:f>IF($A38="","",IFERROR(XLOOKUP($A38,'01_Products'!$A$5:$A$500,'01_Products'!$C$5:$C$500),""))</x:f>
      </x:c>
      <x:c r="D38" s="32" t="str">
        <x:f>IF('03_Functionalities'!$A38="","",'03_Functionalities'!$B38)</x:f>
      </x:c>
      <x:c r="E38" s="32" t="str">
        <x:f>IF($D38="","",IFERROR(XLOOKUP($D38,'02_Features'!$A$5:$A$1000,'02_Features'!$C$5:$C$1000),""))</x:f>
      </x:c>
      <x:c r="F38" s="32" t="str">
        <x:f>IF($D38="","",IFERROR(XLOOKUP($D38,'02_Features'!$A$5:$A$1000,'02_Features'!$D$5:$D$1000),""))</x:f>
      </x:c>
      <x:c r="G38" s="32" t="str">
        <x:f>IF($D38="","",IFERROR(XLOOKUP($D38,'02_Features'!$A$5:$A$1000,'02_Features'!$E$5:$E$1000),""))</x:f>
      </x:c>
      <x:c r="H38" s="32" t="str">
        <x:f>IF('03_Functionalities'!$A38="","",'03_Functionalities'!$A38)</x:f>
      </x:c>
      <x:c r="I38" s="32" t="str">
        <x:f>IF($H38="","",'03_Functionalities'!$D38)</x:f>
      </x:c>
      <x:c r="J38" s="32" t="str">
        <x:f>IF($H38="","",'03_Functionalities'!$E38)</x:f>
      </x:c>
      <x:c r="K38" s="32" t="str">
        <x:f>IF($H38="","",'03_Functionalities'!$F38)</x:f>
      </x:c>
      <x:c r="L38" s="32" t="str">
        <x:f>IF($H38="","",'03_Functionalities'!$G38)</x:f>
      </x:c>
      <x:c r="M38" s="32" t="str">
        <x:f>IF($H38="","",'03_Functionalities'!$H38)</x:f>
      </x:c>
      <x:c r="N38" s="32" t="str">
        <x:f>IF($H38="","",'03_Functionalities'!$I38)</x:f>
      </x:c>
      <x:c r="O38" s="32" t="str">
        <x:f>IF($H38="","",'03_Functionalities'!$J38)</x:f>
      </x:c>
      <x:c r="P38" s="32" t="str">
        <x:f>IF($H38="","",'03_Functionalities'!$K38)</x:f>
      </x:c>
      <x:c r="Q38" s="32" t="str">
        <x:f>IF($H38="","",'03_Functionalities'!$L38)</x:f>
      </x:c>
      <x:c r="R38" s="32" t="str">
        <x:f>IF($H38="","",'03_Functionalities'!$M38)</x:f>
      </x:c>
      <x:c r="S38" s="32" t="str">
        <x:f>IF($H38="","",'03_Functionalities'!$N38)</x:f>
      </x:c>
      <x:c r="T38" s="32" t="str">
        <x:f>IF($H38="","",'03_Functionalities'!$O38)</x:f>
      </x:c>
      <x:c r="U38" s="32" t="str">
        <x:f>IF($A38="","",IFERROR(XLOOKUP($A38,'01_Products'!$A$5:$A$500,'01_Products'!$G$5:$G$500),""))</x:f>
      </x:c>
      <x:c r="V38" s="32" t="str">
        <x:f>IF($D38="","",IFERROR(XLOOKUP($D38,'02_Features'!$A$5:$A$1000,'02_Features'!$J$5:$J$1000),""))</x:f>
      </x:c>
      <x:c r="W38" s="32" t="str">
        <x:f>IF($H38="","",'03_Functionalities'!$P38)</x:f>
      </x:c>
      <x:c r="X38" s="32" t="str">
        <x:f>IF($H38="","",'03_Functionalities'!$Q38)</x:f>
      </x:c>
      <x:c r="Y38" s="38"/>
      <x:c r="Z38" s="38"/>
    </x:row>
    <x:row r="39" ht="18" customHeight="1">
      <x:c r="A39" s="32" t="str">
        <x:f>IF('03_Functionalities'!$A39="","",'03_Functionalities'!$C39)</x:f>
      </x:c>
      <x:c r="B39" s="32" t="str">
        <x:f>IF($A39="","",IFERROR(XLOOKUP($A39,'01_Products'!$A$5:$A$500,'01_Products'!$B$5:$B$500),""))</x:f>
      </x:c>
      <x:c r="C39" s="32" t="str">
        <x:f>IF($A39="","",IFERROR(XLOOKUP($A39,'01_Products'!$A$5:$A$500,'01_Products'!$C$5:$C$500),""))</x:f>
      </x:c>
      <x:c r="D39" s="32" t="str">
        <x:f>IF('03_Functionalities'!$A39="","",'03_Functionalities'!$B39)</x:f>
      </x:c>
      <x:c r="E39" s="32" t="str">
        <x:f>IF($D39="","",IFERROR(XLOOKUP($D39,'02_Features'!$A$5:$A$1000,'02_Features'!$C$5:$C$1000),""))</x:f>
      </x:c>
      <x:c r="F39" s="32" t="str">
        <x:f>IF($D39="","",IFERROR(XLOOKUP($D39,'02_Features'!$A$5:$A$1000,'02_Features'!$D$5:$D$1000),""))</x:f>
      </x:c>
      <x:c r="G39" s="32" t="str">
        <x:f>IF($D39="","",IFERROR(XLOOKUP($D39,'02_Features'!$A$5:$A$1000,'02_Features'!$E$5:$E$1000),""))</x:f>
      </x:c>
      <x:c r="H39" s="32" t="str">
        <x:f>IF('03_Functionalities'!$A39="","",'03_Functionalities'!$A39)</x:f>
      </x:c>
      <x:c r="I39" s="32" t="str">
        <x:f>IF($H39="","",'03_Functionalities'!$D39)</x:f>
      </x:c>
      <x:c r="J39" s="32" t="str">
        <x:f>IF($H39="","",'03_Functionalities'!$E39)</x:f>
      </x:c>
      <x:c r="K39" s="32" t="str">
        <x:f>IF($H39="","",'03_Functionalities'!$F39)</x:f>
      </x:c>
      <x:c r="L39" s="32" t="str">
        <x:f>IF($H39="","",'03_Functionalities'!$G39)</x:f>
      </x:c>
      <x:c r="M39" s="32" t="str">
        <x:f>IF($H39="","",'03_Functionalities'!$H39)</x:f>
      </x:c>
      <x:c r="N39" s="32" t="str">
        <x:f>IF($H39="","",'03_Functionalities'!$I39)</x:f>
      </x:c>
      <x:c r="O39" s="32" t="str">
        <x:f>IF($H39="","",'03_Functionalities'!$J39)</x:f>
      </x:c>
      <x:c r="P39" s="32" t="str">
        <x:f>IF($H39="","",'03_Functionalities'!$K39)</x:f>
      </x:c>
      <x:c r="Q39" s="32" t="str">
        <x:f>IF($H39="","",'03_Functionalities'!$L39)</x:f>
      </x:c>
      <x:c r="R39" s="32" t="str">
        <x:f>IF($H39="","",'03_Functionalities'!$M39)</x:f>
      </x:c>
      <x:c r="S39" s="32" t="str">
        <x:f>IF($H39="","",'03_Functionalities'!$N39)</x:f>
      </x:c>
      <x:c r="T39" s="32" t="str">
        <x:f>IF($H39="","",'03_Functionalities'!$O39)</x:f>
      </x:c>
      <x:c r="U39" s="32" t="str">
        <x:f>IF($A39="","",IFERROR(XLOOKUP($A39,'01_Products'!$A$5:$A$500,'01_Products'!$G$5:$G$500),""))</x:f>
      </x:c>
      <x:c r="V39" s="32" t="str">
        <x:f>IF($D39="","",IFERROR(XLOOKUP($D39,'02_Features'!$A$5:$A$1000,'02_Features'!$J$5:$J$1000),""))</x:f>
      </x:c>
      <x:c r="W39" s="32" t="str">
        <x:f>IF($H39="","",'03_Functionalities'!$P39)</x:f>
      </x:c>
      <x:c r="X39" s="32" t="str">
        <x:f>IF($H39="","",'03_Functionalities'!$Q39)</x:f>
      </x:c>
      <x:c r="Y39" s="38"/>
      <x:c r="Z39" s="38"/>
    </x:row>
    <x:row r="40" ht="18" customHeight="1">
      <x:c r="A40" s="32" t="str">
        <x:f>IF('03_Functionalities'!$A40="","",'03_Functionalities'!$C40)</x:f>
      </x:c>
      <x:c r="B40" s="32" t="str">
        <x:f>IF($A40="","",IFERROR(XLOOKUP($A40,'01_Products'!$A$5:$A$500,'01_Products'!$B$5:$B$500),""))</x:f>
      </x:c>
      <x:c r="C40" s="32" t="str">
        <x:f>IF($A40="","",IFERROR(XLOOKUP($A40,'01_Products'!$A$5:$A$500,'01_Products'!$C$5:$C$500),""))</x:f>
      </x:c>
      <x:c r="D40" s="32" t="str">
        <x:f>IF('03_Functionalities'!$A40="","",'03_Functionalities'!$B40)</x:f>
      </x:c>
      <x:c r="E40" s="32" t="str">
        <x:f>IF($D40="","",IFERROR(XLOOKUP($D40,'02_Features'!$A$5:$A$1000,'02_Features'!$C$5:$C$1000),""))</x:f>
      </x:c>
      <x:c r="F40" s="32" t="str">
        <x:f>IF($D40="","",IFERROR(XLOOKUP($D40,'02_Features'!$A$5:$A$1000,'02_Features'!$D$5:$D$1000),""))</x:f>
      </x:c>
      <x:c r="G40" s="32" t="str">
        <x:f>IF($D40="","",IFERROR(XLOOKUP($D40,'02_Features'!$A$5:$A$1000,'02_Features'!$E$5:$E$1000),""))</x:f>
      </x:c>
      <x:c r="H40" s="32" t="str">
        <x:f>IF('03_Functionalities'!$A40="","",'03_Functionalities'!$A40)</x:f>
      </x:c>
      <x:c r="I40" s="32" t="str">
        <x:f>IF($H40="","",'03_Functionalities'!$D40)</x:f>
      </x:c>
      <x:c r="J40" s="32" t="str">
        <x:f>IF($H40="","",'03_Functionalities'!$E40)</x:f>
      </x:c>
      <x:c r="K40" s="32" t="str">
        <x:f>IF($H40="","",'03_Functionalities'!$F40)</x:f>
      </x:c>
      <x:c r="L40" s="32" t="str">
        <x:f>IF($H40="","",'03_Functionalities'!$G40)</x:f>
      </x:c>
      <x:c r="M40" s="32" t="str">
        <x:f>IF($H40="","",'03_Functionalities'!$H40)</x:f>
      </x:c>
      <x:c r="N40" s="32" t="str">
        <x:f>IF($H40="","",'03_Functionalities'!$I40)</x:f>
      </x:c>
      <x:c r="O40" s="32" t="str">
        <x:f>IF($H40="","",'03_Functionalities'!$J40)</x:f>
      </x:c>
      <x:c r="P40" s="32" t="str">
        <x:f>IF($H40="","",'03_Functionalities'!$K40)</x:f>
      </x:c>
      <x:c r="Q40" s="32" t="str">
        <x:f>IF($H40="","",'03_Functionalities'!$L40)</x:f>
      </x:c>
      <x:c r="R40" s="32" t="str">
        <x:f>IF($H40="","",'03_Functionalities'!$M40)</x:f>
      </x:c>
      <x:c r="S40" s="32" t="str">
        <x:f>IF($H40="","",'03_Functionalities'!$N40)</x:f>
      </x:c>
      <x:c r="T40" s="32" t="str">
        <x:f>IF($H40="","",'03_Functionalities'!$O40)</x:f>
      </x:c>
      <x:c r="U40" s="32" t="str">
        <x:f>IF($A40="","",IFERROR(XLOOKUP($A40,'01_Products'!$A$5:$A$500,'01_Products'!$G$5:$G$500),""))</x:f>
      </x:c>
      <x:c r="V40" s="32" t="str">
        <x:f>IF($D40="","",IFERROR(XLOOKUP($D40,'02_Features'!$A$5:$A$1000,'02_Features'!$J$5:$J$1000),""))</x:f>
      </x:c>
      <x:c r="W40" s="32" t="str">
        <x:f>IF($H40="","",'03_Functionalities'!$P40)</x:f>
      </x:c>
      <x:c r="X40" s="32" t="str">
        <x:f>IF($H40="","",'03_Functionalities'!$Q40)</x:f>
      </x:c>
      <x:c r="Y40" s="38"/>
      <x:c r="Z40" s="38"/>
    </x:row>
    <x:row r="41" ht="18" customHeight="1">
      <x:c r="A41" s="32" t="str">
        <x:f>IF('03_Functionalities'!$A41="","",'03_Functionalities'!$C41)</x:f>
      </x:c>
      <x:c r="B41" s="32" t="str">
        <x:f>IF($A41="","",IFERROR(XLOOKUP($A41,'01_Products'!$A$5:$A$500,'01_Products'!$B$5:$B$500),""))</x:f>
      </x:c>
      <x:c r="C41" s="32" t="str">
        <x:f>IF($A41="","",IFERROR(XLOOKUP($A41,'01_Products'!$A$5:$A$500,'01_Products'!$C$5:$C$500),""))</x:f>
      </x:c>
      <x:c r="D41" s="32" t="str">
        <x:f>IF('03_Functionalities'!$A41="","",'03_Functionalities'!$B41)</x:f>
      </x:c>
      <x:c r="E41" s="32" t="str">
        <x:f>IF($D41="","",IFERROR(XLOOKUP($D41,'02_Features'!$A$5:$A$1000,'02_Features'!$C$5:$C$1000),""))</x:f>
      </x:c>
      <x:c r="F41" s="32" t="str">
        <x:f>IF($D41="","",IFERROR(XLOOKUP($D41,'02_Features'!$A$5:$A$1000,'02_Features'!$D$5:$D$1000),""))</x:f>
      </x:c>
      <x:c r="G41" s="32" t="str">
        <x:f>IF($D41="","",IFERROR(XLOOKUP($D41,'02_Features'!$A$5:$A$1000,'02_Features'!$E$5:$E$1000),""))</x:f>
      </x:c>
      <x:c r="H41" s="32" t="str">
        <x:f>IF('03_Functionalities'!$A41="","",'03_Functionalities'!$A41)</x:f>
      </x:c>
      <x:c r="I41" s="32" t="str">
        <x:f>IF($H41="","",'03_Functionalities'!$D41)</x:f>
      </x:c>
      <x:c r="J41" s="32" t="str">
        <x:f>IF($H41="","",'03_Functionalities'!$E41)</x:f>
      </x:c>
      <x:c r="K41" s="32" t="str">
        <x:f>IF($H41="","",'03_Functionalities'!$F41)</x:f>
      </x:c>
      <x:c r="L41" s="32" t="str">
        <x:f>IF($H41="","",'03_Functionalities'!$G41)</x:f>
      </x:c>
      <x:c r="M41" s="32" t="str">
        <x:f>IF($H41="","",'03_Functionalities'!$H41)</x:f>
      </x:c>
      <x:c r="N41" s="32" t="str">
        <x:f>IF($H41="","",'03_Functionalities'!$I41)</x:f>
      </x:c>
      <x:c r="O41" s="32" t="str">
        <x:f>IF($H41="","",'03_Functionalities'!$J41)</x:f>
      </x:c>
      <x:c r="P41" s="32" t="str">
        <x:f>IF($H41="","",'03_Functionalities'!$K41)</x:f>
      </x:c>
      <x:c r="Q41" s="32" t="str">
        <x:f>IF($H41="","",'03_Functionalities'!$L41)</x:f>
      </x:c>
      <x:c r="R41" s="32" t="str">
        <x:f>IF($H41="","",'03_Functionalities'!$M41)</x:f>
      </x:c>
      <x:c r="S41" s="32" t="str">
        <x:f>IF($H41="","",'03_Functionalities'!$N41)</x:f>
      </x:c>
      <x:c r="T41" s="32" t="str">
        <x:f>IF($H41="","",'03_Functionalities'!$O41)</x:f>
      </x:c>
      <x:c r="U41" s="32" t="str">
        <x:f>IF($A41="","",IFERROR(XLOOKUP($A41,'01_Products'!$A$5:$A$500,'01_Products'!$G$5:$G$500),""))</x:f>
      </x:c>
      <x:c r="V41" s="32" t="str">
        <x:f>IF($D41="","",IFERROR(XLOOKUP($D41,'02_Features'!$A$5:$A$1000,'02_Features'!$J$5:$J$1000),""))</x:f>
      </x:c>
      <x:c r="W41" s="32" t="str">
        <x:f>IF($H41="","",'03_Functionalities'!$P41)</x:f>
      </x:c>
      <x:c r="X41" s="32" t="str">
        <x:f>IF($H41="","",'03_Functionalities'!$Q41)</x:f>
      </x:c>
      <x:c r="Y41" s="38"/>
      <x:c r="Z41" s="38"/>
    </x:row>
    <x:row r="42" ht="18" customHeight="1">
      <x:c r="A42" s="32" t="str">
        <x:f>IF('03_Functionalities'!$A42="","",'03_Functionalities'!$C42)</x:f>
      </x:c>
      <x:c r="B42" s="32" t="str">
        <x:f>IF($A42="","",IFERROR(XLOOKUP($A42,'01_Products'!$A$5:$A$500,'01_Products'!$B$5:$B$500),""))</x:f>
      </x:c>
      <x:c r="C42" s="32" t="str">
        <x:f>IF($A42="","",IFERROR(XLOOKUP($A42,'01_Products'!$A$5:$A$500,'01_Products'!$C$5:$C$500),""))</x:f>
      </x:c>
      <x:c r="D42" s="32" t="str">
        <x:f>IF('03_Functionalities'!$A42="","",'03_Functionalities'!$B42)</x:f>
      </x:c>
      <x:c r="E42" s="32" t="str">
        <x:f>IF($D42="","",IFERROR(XLOOKUP($D42,'02_Features'!$A$5:$A$1000,'02_Features'!$C$5:$C$1000),""))</x:f>
      </x:c>
      <x:c r="F42" s="32" t="str">
        <x:f>IF($D42="","",IFERROR(XLOOKUP($D42,'02_Features'!$A$5:$A$1000,'02_Features'!$D$5:$D$1000),""))</x:f>
      </x:c>
      <x:c r="G42" s="32" t="str">
        <x:f>IF($D42="","",IFERROR(XLOOKUP($D42,'02_Features'!$A$5:$A$1000,'02_Features'!$E$5:$E$1000),""))</x:f>
      </x:c>
      <x:c r="H42" s="32" t="str">
        <x:f>IF('03_Functionalities'!$A42="","",'03_Functionalities'!$A42)</x:f>
      </x:c>
      <x:c r="I42" s="32" t="str">
        <x:f>IF($H42="","",'03_Functionalities'!$D42)</x:f>
      </x:c>
      <x:c r="J42" s="32" t="str">
        <x:f>IF($H42="","",'03_Functionalities'!$E42)</x:f>
      </x:c>
      <x:c r="K42" s="32" t="str">
        <x:f>IF($H42="","",'03_Functionalities'!$F42)</x:f>
      </x:c>
      <x:c r="L42" s="32" t="str">
        <x:f>IF($H42="","",'03_Functionalities'!$G42)</x:f>
      </x:c>
      <x:c r="M42" s="32" t="str">
        <x:f>IF($H42="","",'03_Functionalities'!$H42)</x:f>
      </x:c>
      <x:c r="N42" s="32" t="str">
        <x:f>IF($H42="","",'03_Functionalities'!$I42)</x:f>
      </x:c>
      <x:c r="O42" s="32" t="str">
        <x:f>IF($H42="","",'03_Functionalities'!$J42)</x:f>
      </x:c>
      <x:c r="P42" s="32" t="str">
        <x:f>IF($H42="","",'03_Functionalities'!$K42)</x:f>
      </x:c>
      <x:c r="Q42" s="32" t="str">
        <x:f>IF($H42="","",'03_Functionalities'!$L42)</x:f>
      </x:c>
      <x:c r="R42" s="32" t="str">
        <x:f>IF($H42="","",'03_Functionalities'!$M42)</x:f>
      </x:c>
      <x:c r="S42" s="32" t="str">
        <x:f>IF($H42="","",'03_Functionalities'!$N42)</x:f>
      </x:c>
      <x:c r="T42" s="32" t="str">
        <x:f>IF($H42="","",'03_Functionalities'!$O42)</x:f>
      </x:c>
      <x:c r="U42" s="32" t="str">
        <x:f>IF($A42="","",IFERROR(XLOOKUP($A42,'01_Products'!$A$5:$A$500,'01_Products'!$G$5:$G$500),""))</x:f>
      </x:c>
      <x:c r="V42" s="32" t="str">
        <x:f>IF($D42="","",IFERROR(XLOOKUP($D42,'02_Features'!$A$5:$A$1000,'02_Features'!$J$5:$J$1000),""))</x:f>
      </x:c>
      <x:c r="W42" s="32" t="str">
        <x:f>IF($H42="","",'03_Functionalities'!$P42)</x:f>
      </x:c>
      <x:c r="X42" s="32" t="str">
        <x:f>IF($H42="","",'03_Functionalities'!$Q42)</x:f>
      </x:c>
      <x:c r="Y42" s="38"/>
      <x:c r="Z42" s="38"/>
    </x:row>
    <x:row r="43" ht="18" customHeight="1">
      <x:c r="A43" s="32" t="str">
        <x:f>IF('03_Functionalities'!$A43="","",'03_Functionalities'!$C43)</x:f>
      </x:c>
      <x:c r="B43" s="32" t="str">
        <x:f>IF($A43="","",IFERROR(XLOOKUP($A43,'01_Products'!$A$5:$A$500,'01_Products'!$B$5:$B$500),""))</x:f>
      </x:c>
      <x:c r="C43" s="32" t="str">
        <x:f>IF($A43="","",IFERROR(XLOOKUP($A43,'01_Products'!$A$5:$A$500,'01_Products'!$C$5:$C$500),""))</x:f>
      </x:c>
      <x:c r="D43" s="32" t="str">
        <x:f>IF('03_Functionalities'!$A43="","",'03_Functionalities'!$B43)</x:f>
      </x:c>
      <x:c r="E43" s="32" t="str">
        <x:f>IF($D43="","",IFERROR(XLOOKUP($D43,'02_Features'!$A$5:$A$1000,'02_Features'!$C$5:$C$1000),""))</x:f>
      </x:c>
      <x:c r="F43" s="32" t="str">
        <x:f>IF($D43="","",IFERROR(XLOOKUP($D43,'02_Features'!$A$5:$A$1000,'02_Features'!$D$5:$D$1000),""))</x:f>
      </x:c>
      <x:c r="G43" s="32" t="str">
        <x:f>IF($D43="","",IFERROR(XLOOKUP($D43,'02_Features'!$A$5:$A$1000,'02_Features'!$E$5:$E$1000),""))</x:f>
      </x:c>
      <x:c r="H43" s="32" t="str">
        <x:f>IF('03_Functionalities'!$A43="","",'03_Functionalities'!$A43)</x:f>
      </x:c>
      <x:c r="I43" s="32" t="str">
        <x:f>IF($H43="","",'03_Functionalities'!$D43)</x:f>
      </x:c>
      <x:c r="J43" s="32" t="str">
        <x:f>IF($H43="","",'03_Functionalities'!$E43)</x:f>
      </x:c>
      <x:c r="K43" s="32" t="str">
        <x:f>IF($H43="","",'03_Functionalities'!$F43)</x:f>
      </x:c>
      <x:c r="L43" s="32" t="str">
        <x:f>IF($H43="","",'03_Functionalities'!$G43)</x:f>
      </x:c>
      <x:c r="M43" s="32" t="str">
        <x:f>IF($H43="","",'03_Functionalities'!$H43)</x:f>
      </x:c>
      <x:c r="N43" s="32" t="str">
        <x:f>IF($H43="","",'03_Functionalities'!$I43)</x:f>
      </x:c>
      <x:c r="O43" s="32" t="str">
        <x:f>IF($H43="","",'03_Functionalities'!$J43)</x:f>
      </x:c>
      <x:c r="P43" s="32" t="str">
        <x:f>IF($H43="","",'03_Functionalities'!$K43)</x:f>
      </x:c>
      <x:c r="Q43" s="32" t="str">
        <x:f>IF($H43="","",'03_Functionalities'!$L43)</x:f>
      </x:c>
      <x:c r="R43" s="32" t="str">
        <x:f>IF($H43="","",'03_Functionalities'!$M43)</x:f>
      </x:c>
      <x:c r="S43" s="32" t="str">
        <x:f>IF($H43="","",'03_Functionalities'!$N43)</x:f>
      </x:c>
      <x:c r="T43" s="32" t="str">
        <x:f>IF($H43="","",'03_Functionalities'!$O43)</x:f>
      </x:c>
      <x:c r="U43" s="32" t="str">
        <x:f>IF($A43="","",IFERROR(XLOOKUP($A43,'01_Products'!$A$5:$A$500,'01_Products'!$G$5:$G$500),""))</x:f>
      </x:c>
      <x:c r="V43" s="32" t="str">
        <x:f>IF($D43="","",IFERROR(XLOOKUP($D43,'02_Features'!$A$5:$A$1000,'02_Features'!$J$5:$J$1000),""))</x:f>
      </x:c>
      <x:c r="W43" s="32" t="str">
        <x:f>IF($H43="","",'03_Functionalities'!$P43)</x:f>
      </x:c>
      <x:c r="X43" s="32" t="str">
        <x:f>IF($H43="","",'03_Functionalities'!$Q43)</x:f>
      </x:c>
      <x:c r="Y43" s="38"/>
      <x:c r="Z43" s="38"/>
    </x:row>
    <x:row r="44" ht="18" customHeight="1">
      <x:c r="A44" s="32" t="str">
        <x:f>IF('03_Functionalities'!$A44="","",'03_Functionalities'!$C44)</x:f>
      </x:c>
      <x:c r="B44" s="32" t="str">
        <x:f>IF($A44="","",IFERROR(XLOOKUP($A44,'01_Products'!$A$5:$A$500,'01_Products'!$B$5:$B$500),""))</x:f>
      </x:c>
      <x:c r="C44" s="32" t="str">
        <x:f>IF($A44="","",IFERROR(XLOOKUP($A44,'01_Products'!$A$5:$A$500,'01_Products'!$C$5:$C$500),""))</x:f>
      </x:c>
      <x:c r="D44" s="32" t="str">
        <x:f>IF('03_Functionalities'!$A44="","",'03_Functionalities'!$B44)</x:f>
      </x:c>
      <x:c r="E44" s="32" t="str">
        <x:f>IF($D44="","",IFERROR(XLOOKUP($D44,'02_Features'!$A$5:$A$1000,'02_Features'!$C$5:$C$1000),""))</x:f>
      </x:c>
      <x:c r="F44" s="32" t="str">
        <x:f>IF($D44="","",IFERROR(XLOOKUP($D44,'02_Features'!$A$5:$A$1000,'02_Features'!$D$5:$D$1000),""))</x:f>
      </x:c>
      <x:c r="G44" s="32" t="str">
        <x:f>IF($D44="","",IFERROR(XLOOKUP($D44,'02_Features'!$A$5:$A$1000,'02_Features'!$E$5:$E$1000),""))</x:f>
      </x:c>
      <x:c r="H44" s="32" t="str">
        <x:f>IF('03_Functionalities'!$A44="","",'03_Functionalities'!$A44)</x:f>
      </x:c>
      <x:c r="I44" s="32" t="str">
        <x:f>IF($H44="","",'03_Functionalities'!$D44)</x:f>
      </x:c>
      <x:c r="J44" s="32" t="str">
        <x:f>IF($H44="","",'03_Functionalities'!$E44)</x:f>
      </x:c>
      <x:c r="K44" s="32" t="str">
        <x:f>IF($H44="","",'03_Functionalities'!$F44)</x:f>
      </x:c>
      <x:c r="L44" s="32" t="str">
        <x:f>IF($H44="","",'03_Functionalities'!$G44)</x:f>
      </x:c>
      <x:c r="M44" s="32" t="str">
        <x:f>IF($H44="","",'03_Functionalities'!$H44)</x:f>
      </x:c>
      <x:c r="N44" s="32" t="str">
        <x:f>IF($H44="","",'03_Functionalities'!$I44)</x:f>
      </x:c>
      <x:c r="O44" s="32" t="str">
        <x:f>IF($H44="","",'03_Functionalities'!$J44)</x:f>
      </x:c>
      <x:c r="P44" s="32" t="str">
        <x:f>IF($H44="","",'03_Functionalities'!$K44)</x:f>
      </x:c>
      <x:c r="Q44" s="32" t="str">
        <x:f>IF($H44="","",'03_Functionalities'!$L44)</x:f>
      </x:c>
      <x:c r="R44" s="32" t="str">
        <x:f>IF($H44="","",'03_Functionalities'!$M44)</x:f>
      </x:c>
      <x:c r="S44" s="32" t="str">
        <x:f>IF($H44="","",'03_Functionalities'!$N44)</x:f>
      </x:c>
      <x:c r="T44" s="32" t="str">
        <x:f>IF($H44="","",'03_Functionalities'!$O44)</x:f>
      </x:c>
      <x:c r="U44" s="32" t="str">
        <x:f>IF($A44="","",IFERROR(XLOOKUP($A44,'01_Products'!$A$5:$A$500,'01_Products'!$G$5:$G$500),""))</x:f>
      </x:c>
      <x:c r="V44" s="32" t="str">
        <x:f>IF($D44="","",IFERROR(XLOOKUP($D44,'02_Features'!$A$5:$A$1000,'02_Features'!$J$5:$J$1000),""))</x:f>
      </x:c>
      <x:c r="W44" s="32" t="str">
        <x:f>IF($H44="","",'03_Functionalities'!$P44)</x:f>
      </x:c>
      <x:c r="X44" s="32" t="str">
        <x:f>IF($H44="","",'03_Functionalities'!$Q44)</x:f>
      </x:c>
      <x:c r="Y44" s="38"/>
      <x:c r="Z44" s="38"/>
    </x:row>
    <x:row r="45" ht="18" customHeight="1">
      <x:c r="A45" s="32" t="str">
        <x:f>IF('03_Functionalities'!$A45="","",'03_Functionalities'!$C45)</x:f>
      </x:c>
      <x:c r="B45" s="32" t="str">
        <x:f>IF($A45="","",IFERROR(XLOOKUP($A45,'01_Products'!$A$5:$A$500,'01_Products'!$B$5:$B$500),""))</x:f>
      </x:c>
      <x:c r="C45" s="32" t="str">
        <x:f>IF($A45="","",IFERROR(XLOOKUP($A45,'01_Products'!$A$5:$A$500,'01_Products'!$C$5:$C$500),""))</x:f>
      </x:c>
      <x:c r="D45" s="32" t="str">
        <x:f>IF('03_Functionalities'!$A45="","",'03_Functionalities'!$B45)</x:f>
      </x:c>
      <x:c r="E45" s="32" t="str">
        <x:f>IF($D45="","",IFERROR(XLOOKUP($D45,'02_Features'!$A$5:$A$1000,'02_Features'!$C$5:$C$1000),""))</x:f>
      </x:c>
      <x:c r="F45" s="32" t="str">
        <x:f>IF($D45="","",IFERROR(XLOOKUP($D45,'02_Features'!$A$5:$A$1000,'02_Features'!$D$5:$D$1000),""))</x:f>
      </x:c>
      <x:c r="G45" s="32" t="str">
        <x:f>IF($D45="","",IFERROR(XLOOKUP($D45,'02_Features'!$A$5:$A$1000,'02_Features'!$E$5:$E$1000),""))</x:f>
      </x:c>
      <x:c r="H45" s="32" t="str">
        <x:f>IF('03_Functionalities'!$A45="","",'03_Functionalities'!$A45)</x:f>
      </x:c>
      <x:c r="I45" s="32" t="str">
        <x:f>IF($H45="","",'03_Functionalities'!$D45)</x:f>
      </x:c>
      <x:c r="J45" s="32" t="str">
        <x:f>IF($H45="","",'03_Functionalities'!$E45)</x:f>
      </x:c>
      <x:c r="K45" s="32" t="str">
        <x:f>IF($H45="","",'03_Functionalities'!$F45)</x:f>
      </x:c>
      <x:c r="L45" s="32" t="str">
        <x:f>IF($H45="","",'03_Functionalities'!$G45)</x:f>
      </x:c>
      <x:c r="M45" s="32" t="str">
        <x:f>IF($H45="","",'03_Functionalities'!$H45)</x:f>
      </x:c>
      <x:c r="N45" s="32" t="str">
        <x:f>IF($H45="","",'03_Functionalities'!$I45)</x:f>
      </x:c>
      <x:c r="O45" s="32" t="str">
        <x:f>IF($H45="","",'03_Functionalities'!$J45)</x:f>
      </x:c>
      <x:c r="P45" s="32" t="str">
        <x:f>IF($H45="","",'03_Functionalities'!$K45)</x:f>
      </x:c>
      <x:c r="Q45" s="32" t="str">
        <x:f>IF($H45="","",'03_Functionalities'!$L45)</x:f>
      </x:c>
      <x:c r="R45" s="32" t="str">
        <x:f>IF($H45="","",'03_Functionalities'!$M45)</x:f>
      </x:c>
      <x:c r="S45" s="32" t="str">
        <x:f>IF($H45="","",'03_Functionalities'!$N45)</x:f>
      </x:c>
      <x:c r="T45" s="32" t="str">
        <x:f>IF($H45="","",'03_Functionalities'!$O45)</x:f>
      </x:c>
      <x:c r="U45" s="32" t="str">
        <x:f>IF($A45="","",IFERROR(XLOOKUP($A45,'01_Products'!$A$5:$A$500,'01_Products'!$G$5:$G$500),""))</x:f>
      </x:c>
      <x:c r="V45" s="32" t="str">
        <x:f>IF($D45="","",IFERROR(XLOOKUP($D45,'02_Features'!$A$5:$A$1000,'02_Features'!$J$5:$J$1000),""))</x:f>
      </x:c>
      <x:c r="W45" s="32" t="str">
        <x:f>IF($H45="","",'03_Functionalities'!$P45)</x:f>
      </x:c>
      <x:c r="X45" s="32" t="str">
        <x:f>IF($H45="","",'03_Functionalities'!$Q45)</x:f>
      </x:c>
      <x:c r="Y45" s="38"/>
      <x:c r="Z45" s="38"/>
    </x:row>
    <x:row r="46" ht="18" customHeight="1">
      <x:c r="A46" s="32" t="str">
        <x:f>IF('03_Functionalities'!$A46="","",'03_Functionalities'!$C46)</x:f>
      </x:c>
      <x:c r="B46" s="32" t="str">
        <x:f>IF($A46="","",IFERROR(XLOOKUP($A46,'01_Products'!$A$5:$A$500,'01_Products'!$B$5:$B$500),""))</x:f>
      </x:c>
      <x:c r="C46" s="32" t="str">
        <x:f>IF($A46="","",IFERROR(XLOOKUP($A46,'01_Products'!$A$5:$A$500,'01_Products'!$C$5:$C$500),""))</x:f>
      </x:c>
      <x:c r="D46" s="32" t="str">
        <x:f>IF('03_Functionalities'!$A46="","",'03_Functionalities'!$B46)</x:f>
      </x:c>
      <x:c r="E46" s="32" t="str">
        <x:f>IF($D46="","",IFERROR(XLOOKUP($D46,'02_Features'!$A$5:$A$1000,'02_Features'!$C$5:$C$1000),""))</x:f>
      </x:c>
      <x:c r="F46" s="32" t="str">
        <x:f>IF($D46="","",IFERROR(XLOOKUP($D46,'02_Features'!$A$5:$A$1000,'02_Features'!$D$5:$D$1000),""))</x:f>
      </x:c>
      <x:c r="G46" s="32" t="str">
        <x:f>IF($D46="","",IFERROR(XLOOKUP($D46,'02_Features'!$A$5:$A$1000,'02_Features'!$E$5:$E$1000),""))</x:f>
      </x:c>
      <x:c r="H46" s="32" t="str">
        <x:f>IF('03_Functionalities'!$A46="","",'03_Functionalities'!$A46)</x:f>
      </x:c>
      <x:c r="I46" s="32" t="str">
        <x:f>IF($H46="","",'03_Functionalities'!$D46)</x:f>
      </x:c>
      <x:c r="J46" s="32" t="str">
        <x:f>IF($H46="","",'03_Functionalities'!$E46)</x:f>
      </x:c>
      <x:c r="K46" s="32" t="str">
        <x:f>IF($H46="","",'03_Functionalities'!$F46)</x:f>
      </x:c>
      <x:c r="L46" s="32" t="str">
        <x:f>IF($H46="","",'03_Functionalities'!$G46)</x:f>
      </x:c>
      <x:c r="M46" s="32" t="str">
        <x:f>IF($H46="","",'03_Functionalities'!$H46)</x:f>
      </x:c>
      <x:c r="N46" s="32" t="str">
        <x:f>IF($H46="","",'03_Functionalities'!$I46)</x:f>
      </x:c>
      <x:c r="O46" s="32" t="str">
        <x:f>IF($H46="","",'03_Functionalities'!$J46)</x:f>
      </x:c>
      <x:c r="P46" s="32" t="str">
        <x:f>IF($H46="","",'03_Functionalities'!$K46)</x:f>
      </x:c>
      <x:c r="Q46" s="32" t="str">
        <x:f>IF($H46="","",'03_Functionalities'!$L46)</x:f>
      </x:c>
      <x:c r="R46" s="32" t="str">
        <x:f>IF($H46="","",'03_Functionalities'!$M46)</x:f>
      </x:c>
      <x:c r="S46" s="32" t="str">
        <x:f>IF($H46="","",'03_Functionalities'!$N46)</x:f>
      </x:c>
      <x:c r="T46" s="32" t="str">
        <x:f>IF($H46="","",'03_Functionalities'!$O46)</x:f>
      </x:c>
      <x:c r="U46" s="32" t="str">
        <x:f>IF($A46="","",IFERROR(XLOOKUP($A46,'01_Products'!$A$5:$A$500,'01_Products'!$G$5:$G$500),""))</x:f>
      </x:c>
      <x:c r="V46" s="32" t="str">
        <x:f>IF($D46="","",IFERROR(XLOOKUP($D46,'02_Features'!$A$5:$A$1000,'02_Features'!$J$5:$J$1000),""))</x:f>
      </x:c>
      <x:c r="W46" s="32" t="str">
        <x:f>IF($H46="","",'03_Functionalities'!$P46)</x:f>
      </x:c>
      <x:c r="X46" s="32" t="str">
        <x:f>IF($H46="","",'03_Functionalities'!$Q46)</x:f>
      </x:c>
      <x:c r="Y46" s="38"/>
      <x:c r="Z46" s="38"/>
    </x:row>
    <x:row r="47" ht="18" customHeight="1">
      <x:c r="A47" s="32" t="str">
        <x:f>IF('03_Functionalities'!$A47="","",'03_Functionalities'!$C47)</x:f>
      </x:c>
      <x:c r="B47" s="32" t="str">
        <x:f>IF($A47="","",IFERROR(XLOOKUP($A47,'01_Products'!$A$5:$A$500,'01_Products'!$B$5:$B$500),""))</x:f>
      </x:c>
      <x:c r="C47" s="32" t="str">
        <x:f>IF($A47="","",IFERROR(XLOOKUP($A47,'01_Products'!$A$5:$A$500,'01_Products'!$C$5:$C$500),""))</x:f>
      </x:c>
      <x:c r="D47" s="32" t="str">
        <x:f>IF('03_Functionalities'!$A47="","",'03_Functionalities'!$B47)</x:f>
      </x:c>
      <x:c r="E47" s="32" t="str">
        <x:f>IF($D47="","",IFERROR(XLOOKUP($D47,'02_Features'!$A$5:$A$1000,'02_Features'!$C$5:$C$1000),""))</x:f>
      </x:c>
      <x:c r="F47" s="32" t="str">
        <x:f>IF($D47="","",IFERROR(XLOOKUP($D47,'02_Features'!$A$5:$A$1000,'02_Features'!$D$5:$D$1000),""))</x:f>
      </x:c>
      <x:c r="G47" s="32" t="str">
        <x:f>IF($D47="","",IFERROR(XLOOKUP($D47,'02_Features'!$A$5:$A$1000,'02_Features'!$E$5:$E$1000),""))</x:f>
      </x:c>
      <x:c r="H47" s="32" t="str">
        <x:f>IF('03_Functionalities'!$A47="","",'03_Functionalities'!$A47)</x:f>
      </x:c>
      <x:c r="I47" s="32" t="str">
        <x:f>IF($H47="","",'03_Functionalities'!$D47)</x:f>
      </x:c>
      <x:c r="J47" s="32" t="str">
        <x:f>IF($H47="","",'03_Functionalities'!$E47)</x:f>
      </x:c>
      <x:c r="K47" s="32" t="str">
        <x:f>IF($H47="","",'03_Functionalities'!$F47)</x:f>
      </x:c>
      <x:c r="L47" s="32" t="str">
        <x:f>IF($H47="","",'03_Functionalities'!$G47)</x:f>
      </x:c>
      <x:c r="M47" s="32" t="str">
        <x:f>IF($H47="","",'03_Functionalities'!$H47)</x:f>
      </x:c>
      <x:c r="N47" s="32" t="str">
        <x:f>IF($H47="","",'03_Functionalities'!$I47)</x:f>
      </x:c>
      <x:c r="O47" s="32" t="str">
        <x:f>IF($H47="","",'03_Functionalities'!$J47)</x:f>
      </x:c>
      <x:c r="P47" s="32" t="str">
        <x:f>IF($H47="","",'03_Functionalities'!$K47)</x:f>
      </x:c>
      <x:c r="Q47" s="32" t="str">
        <x:f>IF($H47="","",'03_Functionalities'!$L47)</x:f>
      </x:c>
      <x:c r="R47" s="32" t="str">
        <x:f>IF($H47="","",'03_Functionalities'!$M47)</x:f>
      </x:c>
      <x:c r="S47" s="32" t="str">
        <x:f>IF($H47="","",'03_Functionalities'!$N47)</x:f>
      </x:c>
      <x:c r="T47" s="32" t="str">
        <x:f>IF($H47="","",'03_Functionalities'!$O47)</x:f>
      </x:c>
      <x:c r="U47" s="32" t="str">
        <x:f>IF($A47="","",IFERROR(XLOOKUP($A47,'01_Products'!$A$5:$A$500,'01_Products'!$G$5:$G$500),""))</x:f>
      </x:c>
      <x:c r="V47" s="32" t="str">
        <x:f>IF($D47="","",IFERROR(XLOOKUP($D47,'02_Features'!$A$5:$A$1000,'02_Features'!$J$5:$J$1000),""))</x:f>
      </x:c>
      <x:c r="W47" s="32" t="str">
        <x:f>IF($H47="","",'03_Functionalities'!$P47)</x:f>
      </x:c>
      <x:c r="X47" s="32" t="str">
        <x:f>IF($H47="","",'03_Functionalities'!$Q47)</x:f>
      </x:c>
      <x:c r="Y47" s="38"/>
      <x:c r="Z47" s="38"/>
    </x:row>
    <x:row r="48" ht="18" customHeight="1">
      <x:c r="A48" s="32" t="str">
        <x:f>IF('03_Functionalities'!$A48="","",'03_Functionalities'!$C48)</x:f>
      </x:c>
      <x:c r="B48" s="32" t="str">
        <x:f>IF($A48="","",IFERROR(XLOOKUP($A48,'01_Products'!$A$5:$A$500,'01_Products'!$B$5:$B$500),""))</x:f>
      </x:c>
      <x:c r="C48" s="32" t="str">
        <x:f>IF($A48="","",IFERROR(XLOOKUP($A48,'01_Products'!$A$5:$A$500,'01_Products'!$C$5:$C$500),""))</x:f>
      </x:c>
      <x:c r="D48" s="32" t="str">
        <x:f>IF('03_Functionalities'!$A48="","",'03_Functionalities'!$B48)</x:f>
      </x:c>
      <x:c r="E48" s="32" t="str">
        <x:f>IF($D48="","",IFERROR(XLOOKUP($D48,'02_Features'!$A$5:$A$1000,'02_Features'!$C$5:$C$1000),""))</x:f>
      </x:c>
      <x:c r="F48" s="32" t="str">
        <x:f>IF($D48="","",IFERROR(XLOOKUP($D48,'02_Features'!$A$5:$A$1000,'02_Features'!$D$5:$D$1000),""))</x:f>
      </x:c>
      <x:c r="G48" s="32" t="str">
        <x:f>IF($D48="","",IFERROR(XLOOKUP($D48,'02_Features'!$A$5:$A$1000,'02_Features'!$E$5:$E$1000),""))</x:f>
      </x:c>
      <x:c r="H48" s="32" t="str">
        <x:f>IF('03_Functionalities'!$A48="","",'03_Functionalities'!$A48)</x:f>
      </x:c>
      <x:c r="I48" s="32" t="str">
        <x:f>IF($H48="","",'03_Functionalities'!$D48)</x:f>
      </x:c>
      <x:c r="J48" s="32" t="str">
        <x:f>IF($H48="","",'03_Functionalities'!$E48)</x:f>
      </x:c>
      <x:c r="K48" s="32" t="str">
        <x:f>IF($H48="","",'03_Functionalities'!$F48)</x:f>
      </x:c>
      <x:c r="L48" s="32" t="str">
        <x:f>IF($H48="","",'03_Functionalities'!$G48)</x:f>
      </x:c>
      <x:c r="M48" s="32" t="str">
        <x:f>IF($H48="","",'03_Functionalities'!$H48)</x:f>
      </x:c>
      <x:c r="N48" s="32" t="str">
        <x:f>IF($H48="","",'03_Functionalities'!$I48)</x:f>
      </x:c>
      <x:c r="O48" s="32" t="str">
        <x:f>IF($H48="","",'03_Functionalities'!$J48)</x:f>
      </x:c>
      <x:c r="P48" s="32" t="str">
        <x:f>IF($H48="","",'03_Functionalities'!$K48)</x:f>
      </x:c>
      <x:c r="Q48" s="32" t="str">
        <x:f>IF($H48="","",'03_Functionalities'!$L48)</x:f>
      </x:c>
      <x:c r="R48" s="32" t="str">
        <x:f>IF($H48="","",'03_Functionalities'!$M48)</x:f>
      </x:c>
      <x:c r="S48" s="32" t="str">
        <x:f>IF($H48="","",'03_Functionalities'!$N48)</x:f>
      </x:c>
      <x:c r="T48" s="32" t="str">
        <x:f>IF($H48="","",'03_Functionalities'!$O48)</x:f>
      </x:c>
      <x:c r="U48" s="32" t="str">
        <x:f>IF($A48="","",IFERROR(XLOOKUP($A48,'01_Products'!$A$5:$A$500,'01_Products'!$G$5:$G$500),""))</x:f>
      </x:c>
      <x:c r="V48" s="32" t="str">
        <x:f>IF($D48="","",IFERROR(XLOOKUP($D48,'02_Features'!$A$5:$A$1000,'02_Features'!$J$5:$J$1000),""))</x:f>
      </x:c>
      <x:c r="W48" s="32" t="str">
        <x:f>IF($H48="","",'03_Functionalities'!$P48)</x:f>
      </x:c>
      <x:c r="X48" s="32" t="str">
        <x:f>IF($H48="","",'03_Functionalities'!$Q48)</x:f>
      </x:c>
      <x:c r="Y48" s="38"/>
      <x:c r="Z48" s="38"/>
    </x:row>
    <x:row r="49" ht="18" customHeight="1">
      <x:c r="A49" s="32" t="str">
        <x:f>IF('03_Functionalities'!$A49="","",'03_Functionalities'!$C49)</x:f>
      </x:c>
      <x:c r="B49" s="32" t="str">
        <x:f>IF($A49="","",IFERROR(XLOOKUP($A49,'01_Products'!$A$5:$A$500,'01_Products'!$B$5:$B$500),""))</x:f>
      </x:c>
      <x:c r="C49" s="32" t="str">
        <x:f>IF($A49="","",IFERROR(XLOOKUP($A49,'01_Products'!$A$5:$A$500,'01_Products'!$C$5:$C$500),""))</x:f>
      </x:c>
      <x:c r="D49" s="32" t="str">
        <x:f>IF('03_Functionalities'!$A49="","",'03_Functionalities'!$B49)</x:f>
      </x:c>
      <x:c r="E49" s="32" t="str">
        <x:f>IF($D49="","",IFERROR(XLOOKUP($D49,'02_Features'!$A$5:$A$1000,'02_Features'!$C$5:$C$1000),""))</x:f>
      </x:c>
      <x:c r="F49" s="32" t="str">
        <x:f>IF($D49="","",IFERROR(XLOOKUP($D49,'02_Features'!$A$5:$A$1000,'02_Features'!$D$5:$D$1000),""))</x:f>
      </x:c>
      <x:c r="G49" s="32" t="str">
        <x:f>IF($D49="","",IFERROR(XLOOKUP($D49,'02_Features'!$A$5:$A$1000,'02_Features'!$E$5:$E$1000),""))</x:f>
      </x:c>
      <x:c r="H49" s="32" t="str">
        <x:f>IF('03_Functionalities'!$A49="","",'03_Functionalities'!$A49)</x:f>
      </x:c>
      <x:c r="I49" s="32" t="str">
        <x:f>IF($H49="","",'03_Functionalities'!$D49)</x:f>
      </x:c>
      <x:c r="J49" s="32" t="str">
        <x:f>IF($H49="","",'03_Functionalities'!$E49)</x:f>
      </x:c>
      <x:c r="K49" s="32" t="str">
        <x:f>IF($H49="","",'03_Functionalities'!$F49)</x:f>
      </x:c>
      <x:c r="L49" s="32" t="str">
        <x:f>IF($H49="","",'03_Functionalities'!$G49)</x:f>
      </x:c>
      <x:c r="M49" s="32" t="str">
        <x:f>IF($H49="","",'03_Functionalities'!$H49)</x:f>
      </x:c>
      <x:c r="N49" s="32" t="str">
        <x:f>IF($H49="","",'03_Functionalities'!$I49)</x:f>
      </x:c>
      <x:c r="O49" s="32" t="str">
        <x:f>IF($H49="","",'03_Functionalities'!$J49)</x:f>
      </x:c>
      <x:c r="P49" s="32" t="str">
        <x:f>IF($H49="","",'03_Functionalities'!$K49)</x:f>
      </x:c>
      <x:c r="Q49" s="32" t="str">
        <x:f>IF($H49="","",'03_Functionalities'!$L49)</x:f>
      </x:c>
      <x:c r="R49" s="32" t="str">
        <x:f>IF($H49="","",'03_Functionalities'!$M49)</x:f>
      </x:c>
      <x:c r="S49" s="32" t="str">
        <x:f>IF($H49="","",'03_Functionalities'!$N49)</x:f>
      </x:c>
      <x:c r="T49" s="32" t="str">
        <x:f>IF($H49="","",'03_Functionalities'!$O49)</x:f>
      </x:c>
      <x:c r="U49" s="32" t="str">
        <x:f>IF($A49="","",IFERROR(XLOOKUP($A49,'01_Products'!$A$5:$A$500,'01_Products'!$G$5:$G$500),""))</x:f>
      </x:c>
      <x:c r="V49" s="32" t="str">
        <x:f>IF($D49="","",IFERROR(XLOOKUP($D49,'02_Features'!$A$5:$A$1000,'02_Features'!$J$5:$J$1000),""))</x:f>
      </x:c>
      <x:c r="W49" s="32" t="str">
        <x:f>IF($H49="","",'03_Functionalities'!$P49)</x:f>
      </x:c>
      <x:c r="X49" s="32" t="str">
        <x:f>IF($H49="","",'03_Functionalities'!$Q49)</x:f>
      </x:c>
      <x:c r="Y49" s="38"/>
      <x:c r="Z49" s="38"/>
    </x:row>
    <x:row r="50" ht="18" customHeight="1">
      <x:c r="A50" s="32" t="str">
        <x:f>IF('03_Functionalities'!$A50="","",'03_Functionalities'!$C50)</x:f>
      </x:c>
      <x:c r="B50" s="32" t="str">
        <x:f>IF($A50="","",IFERROR(XLOOKUP($A50,'01_Products'!$A$5:$A$500,'01_Products'!$B$5:$B$500),""))</x:f>
      </x:c>
      <x:c r="C50" s="32" t="str">
        <x:f>IF($A50="","",IFERROR(XLOOKUP($A50,'01_Products'!$A$5:$A$500,'01_Products'!$C$5:$C$500),""))</x:f>
      </x:c>
      <x:c r="D50" s="32" t="str">
        <x:f>IF('03_Functionalities'!$A50="","",'03_Functionalities'!$B50)</x:f>
      </x:c>
      <x:c r="E50" s="32" t="str">
        <x:f>IF($D50="","",IFERROR(XLOOKUP($D50,'02_Features'!$A$5:$A$1000,'02_Features'!$C$5:$C$1000),""))</x:f>
      </x:c>
      <x:c r="F50" s="32" t="str">
        <x:f>IF($D50="","",IFERROR(XLOOKUP($D50,'02_Features'!$A$5:$A$1000,'02_Features'!$D$5:$D$1000),""))</x:f>
      </x:c>
      <x:c r="G50" s="32" t="str">
        <x:f>IF($D50="","",IFERROR(XLOOKUP($D50,'02_Features'!$A$5:$A$1000,'02_Features'!$E$5:$E$1000),""))</x:f>
      </x:c>
      <x:c r="H50" s="32" t="str">
        <x:f>IF('03_Functionalities'!$A50="","",'03_Functionalities'!$A50)</x:f>
      </x:c>
      <x:c r="I50" s="32" t="str">
        <x:f>IF($H50="","",'03_Functionalities'!$D50)</x:f>
      </x:c>
      <x:c r="J50" s="32" t="str">
        <x:f>IF($H50="","",'03_Functionalities'!$E50)</x:f>
      </x:c>
      <x:c r="K50" s="32" t="str">
        <x:f>IF($H50="","",'03_Functionalities'!$F50)</x:f>
      </x:c>
      <x:c r="L50" s="32" t="str">
        <x:f>IF($H50="","",'03_Functionalities'!$G50)</x:f>
      </x:c>
      <x:c r="M50" s="32" t="str">
        <x:f>IF($H50="","",'03_Functionalities'!$H50)</x:f>
      </x:c>
      <x:c r="N50" s="32" t="str">
        <x:f>IF($H50="","",'03_Functionalities'!$I50)</x:f>
      </x:c>
      <x:c r="O50" s="32" t="str">
        <x:f>IF($H50="","",'03_Functionalities'!$J50)</x:f>
      </x:c>
      <x:c r="P50" s="32" t="str">
        <x:f>IF($H50="","",'03_Functionalities'!$K50)</x:f>
      </x:c>
      <x:c r="Q50" s="32" t="str">
        <x:f>IF($H50="","",'03_Functionalities'!$L50)</x:f>
      </x:c>
      <x:c r="R50" s="32" t="str">
        <x:f>IF($H50="","",'03_Functionalities'!$M50)</x:f>
      </x:c>
      <x:c r="S50" s="32" t="str">
        <x:f>IF($H50="","",'03_Functionalities'!$N50)</x:f>
      </x:c>
      <x:c r="T50" s="32" t="str">
        <x:f>IF($H50="","",'03_Functionalities'!$O50)</x:f>
      </x:c>
      <x:c r="U50" s="32" t="str">
        <x:f>IF($A50="","",IFERROR(XLOOKUP($A50,'01_Products'!$A$5:$A$500,'01_Products'!$G$5:$G$500),""))</x:f>
      </x:c>
      <x:c r="V50" s="32" t="str">
        <x:f>IF($D50="","",IFERROR(XLOOKUP($D50,'02_Features'!$A$5:$A$1000,'02_Features'!$J$5:$J$1000),""))</x:f>
      </x:c>
      <x:c r="W50" s="32" t="str">
        <x:f>IF($H50="","",'03_Functionalities'!$P50)</x:f>
      </x:c>
      <x:c r="X50" s="32" t="str">
        <x:f>IF($H50="","",'03_Functionalities'!$Q50)</x:f>
      </x:c>
      <x:c r="Y50" s="38"/>
      <x:c r="Z50" s="38"/>
    </x:row>
    <x:row r="51" ht="18" customHeight="1">
      <x:c r="A51" s="32" t="str">
        <x:f>IF('03_Functionalities'!$A51="","",'03_Functionalities'!$C51)</x:f>
      </x:c>
      <x:c r="B51" s="32" t="str">
        <x:f>IF($A51="","",IFERROR(XLOOKUP($A51,'01_Products'!$A$5:$A$500,'01_Products'!$B$5:$B$500),""))</x:f>
      </x:c>
      <x:c r="C51" s="32" t="str">
        <x:f>IF($A51="","",IFERROR(XLOOKUP($A51,'01_Products'!$A$5:$A$500,'01_Products'!$C$5:$C$500),""))</x:f>
      </x:c>
      <x:c r="D51" s="32" t="str">
        <x:f>IF('03_Functionalities'!$A51="","",'03_Functionalities'!$B51)</x:f>
      </x:c>
      <x:c r="E51" s="32" t="str">
        <x:f>IF($D51="","",IFERROR(XLOOKUP($D51,'02_Features'!$A$5:$A$1000,'02_Features'!$C$5:$C$1000),""))</x:f>
      </x:c>
      <x:c r="F51" s="32" t="str">
        <x:f>IF($D51="","",IFERROR(XLOOKUP($D51,'02_Features'!$A$5:$A$1000,'02_Features'!$D$5:$D$1000),""))</x:f>
      </x:c>
      <x:c r="G51" s="32" t="str">
        <x:f>IF($D51="","",IFERROR(XLOOKUP($D51,'02_Features'!$A$5:$A$1000,'02_Features'!$E$5:$E$1000),""))</x:f>
      </x:c>
      <x:c r="H51" s="32" t="str">
        <x:f>IF('03_Functionalities'!$A51="","",'03_Functionalities'!$A51)</x:f>
      </x:c>
      <x:c r="I51" s="32" t="str">
        <x:f>IF($H51="","",'03_Functionalities'!$D51)</x:f>
      </x:c>
      <x:c r="J51" s="32" t="str">
        <x:f>IF($H51="","",'03_Functionalities'!$E51)</x:f>
      </x:c>
      <x:c r="K51" s="32" t="str">
        <x:f>IF($H51="","",'03_Functionalities'!$F51)</x:f>
      </x:c>
      <x:c r="L51" s="32" t="str">
        <x:f>IF($H51="","",'03_Functionalities'!$G51)</x:f>
      </x:c>
      <x:c r="M51" s="32" t="str">
        <x:f>IF($H51="","",'03_Functionalities'!$H51)</x:f>
      </x:c>
      <x:c r="N51" s="32" t="str">
        <x:f>IF($H51="","",'03_Functionalities'!$I51)</x:f>
      </x:c>
      <x:c r="O51" s="32" t="str">
        <x:f>IF($H51="","",'03_Functionalities'!$J51)</x:f>
      </x:c>
      <x:c r="P51" s="32" t="str">
        <x:f>IF($H51="","",'03_Functionalities'!$K51)</x:f>
      </x:c>
      <x:c r="Q51" s="32" t="str">
        <x:f>IF($H51="","",'03_Functionalities'!$L51)</x:f>
      </x:c>
      <x:c r="R51" s="32" t="str">
        <x:f>IF($H51="","",'03_Functionalities'!$M51)</x:f>
      </x:c>
      <x:c r="S51" s="32" t="str">
        <x:f>IF($H51="","",'03_Functionalities'!$N51)</x:f>
      </x:c>
      <x:c r="T51" s="32" t="str">
        <x:f>IF($H51="","",'03_Functionalities'!$O51)</x:f>
      </x:c>
      <x:c r="U51" s="32" t="str">
        <x:f>IF($A51="","",IFERROR(XLOOKUP($A51,'01_Products'!$A$5:$A$500,'01_Products'!$G$5:$G$500),""))</x:f>
      </x:c>
      <x:c r="V51" s="32" t="str">
        <x:f>IF($D51="","",IFERROR(XLOOKUP($D51,'02_Features'!$A$5:$A$1000,'02_Features'!$J$5:$J$1000),""))</x:f>
      </x:c>
      <x:c r="W51" s="32" t="str">
        <x:f>IF($H51="","",'03_Functionalities'!$P51)</x:f>
      </x:c>
      <x:c r="X51" s="32" t="str">
        <x:f>IF($H51="","",'03_Functionalities'!$Q51)</x:f>
      </x:c>
      <x:c r="Y51" s="38"/>
      <x:c r="Z51" s="38"/>
    </x:row>
    <x:row r="52" ht="18" customHeight="1">
      <x:c r="A52" s="32" t="str">
        <x:f>IF('03_Functionalities'!$A52="","",'03_Functionalities'!$C52)</x:f>
      </x:c>
      <x:c r="B52" s="32" t="str">
        <x:f>IF($A52="","",IFERROR(XLOOKUP($A52,'01_Products'!$A$5:$A$500,'01_Products'!$B$5:$B$500),""))</x:f>
      </x:c>
      <x:c r="C52" s="32" t="str">
        <x:f>IF($A52="","",IFERROR(XLOOKUP($A52,'01_Products'!$A$5:$A$500,'01_Products'!$C$5:$C$500),""))</x:f>
      </x:c>
      <x:c r="D52" s="32" t="str">
        <x:f>IF('03_Functionalities'!$A52="","",'03_Functionalities'!$B52)</x:f>
      </x:c>
      <x:c r="E52" s="32" t="str">
        <x:f>IF($D52="","",IFERROR(XLOOKUP($D52,'02_Features'!$A$5:$A$1000,'02_Features'!$C$5:$C$1000),""))</x:f>
      </x:c>
      <x:c r="F52" s="32" t="str">
        <x:f>IF($D52="","",IFERROR(XLOOKUP($D52,'02_Features'!$A$5:$A$1000,'02_Features'!$D$5:$D$1000),""))</x:f>
      </x:c>
      <x:c r="G52" s="32" t="str">
        <x:f>IF($D52="","",IFERROR(XLOOKUP($D52,'02_Features'!$A$5:$A$1000,'02_Features'!$E$5:$E$1000),""))</x:f>
      </x:c>
      <x:c r="H52" s="32" t="str">
        <x:f>IF('03_Functionalities'!$A52="","",'03_Functionalities'!$A52)</x:f>
      </x:c>
      <x:c r="I52" s="32" t="str">
        <x:f>IF($H52="","",'03_Functionalities'!$D52)</x:f>
      </x:c>
      <x:c r="J52" s="32" t="str">
        <x:f>IF($H52="","",'03_Functionalities'!$E52)</x:f>
      </x:c>
      <x:c r="K52" s="32" t="str">
        <x:f>IF($H52="","",'03_Functionalities'!$F52)</x:f>
      </x:c>
      <x:c r="L52" s="32" t="str">
        <x:f>IF($H52="","",'03_Functionalities'!$G52)</x:f>
      </x:c>
      <x:c r="M52" s="32" t="str">
        <x:f>IF($H52="","",'03_Functionalities'!$H52)</x:f>
      </x:c>
      <x:c r="N52" s="32" t="str">
        <x:f>IF($H52="","",'03_Functionalities'!$I52)</x:f>
      </x:c>
      <x:c r="O52" s="32" t="str">
        <x:f>IF($H52="","",'03_Functionalities'!$J52)</x:f>
      </x:c>
      <x:c r="P52" s="32" t="str">
        <x:f>IF($H52="","",'03_Functionalities'!$K52)</x:f>
      </x:c>
      <x:c r="Q52" s="32" t="str">
        <x:f>IF($H52="","",'03_Functionalities'!$L52)</x:f>
      </x:c>
      <x:c r="R52" s="32" t="str">
        <x:f>IF($H52="","",'03_Functionalities'!$M52)</x:f>
      </x:c>
      <x:c r="S52" s="32" t="str">
        <x:f>IF($H52="","",'03_Functionalities'!$N52)</x:f>
      </x:c>
      <x:c r="T52" s="32" t="str">
        <x:f>IF($H52="","",'03_Functionalities'!$O52)</x:f>
      </x:c>
      <x:c r="U52" s="32" t="str">
        <x:f>IF($A52="","",IFERROR(XLOOKUP($A52,'01_Products'!$A$5:$A$500,'01_Products'!$G$5:$G$500),""))</x:f>
      </x:c>
      <x:c r="V52" s="32" t="str">
        <x:f>IF($D52="","",IFERROR(XLOOKUP($D52,'02_Features'!$A$5:$A$1000,'02_Features'!$J$5:$J$1000),""))</x:f>
      </x:c>
      <x:c r="W52" s="32" t="str">
        <x:f>IF($H52="","",'03_Functionalities'!$P52)</x:f>
      </x:c>
      <x:c r="X52" s="32" t="str">
        <x:f>IF($H52="","",'03_Functionalities'!$Q52)</x:f>
      </x:c>
      <x:c r="Y52" s="38"/>
      <x:c r="Z52" s="38"/>
    </x:row>
    <x:row r="53" ht="18" customHeight="1">
      <x:c r="A53" s="32" t="str">
        <x:f>IF('03_Functionalities'!$A53="","",'03_Functionalities'!$C53)</x:f>
      </x:c>
      <x:c r="B53" s="32" t="str">
        <x:f>IF($A53="","",IFERROR(XLOOKUP($A53,'01_Products'!$A$5:$A$500,'01_Products'!$B$5:$B$500),""))</x:f>
      </x:c>
      <x:c r="C53" s="32" t="str">
        <x:f>IF($A53="","",IFERROR(XLOOKUP($A53,'01_Products'!$A$5:$A$500,'01_Products'!$C$5:$C$500),""))</x:f>
      </x:c>
      <x:c r="D53" s="32" t="str">
        <x:f>IF('03_Functionalities'!$A53="","",'03_Functionalities'!$B53)</x:f>
      </x:c>
      <x:c r="E53" s="32" t="str">
        <x:f>IF($D53="","",IFERROR(XLOOKUP($D53,'02_Features'!$A$5:$A$1000,'02_Features'!$C$5:$C$1000),""))</x:f>
      </x:c>
      <x:c r="F53" s="32" t="str">
        <x:f>IF($D53="","",IFERROR(XLOOKUP($D53,'02_Features'!$A$5:$A$1000,'02_Features'!$D$5:$D$1000),""))</x:f>
      </x:c>
      <x:c r="G53" s="32" t="str">
        <x:f>IF($D53="","",IFERROR(XLOOKUP($D53,'02_Features'!$A$5:$A$1000,'02_Features'!$E$5:$E$1000),""))</x:f>
      </x:c>
      <x:c r="H53" s="32" t="str">
        <x:f>IF('03_Functionalities'!$A53="","",'03_Functionalities'!$A53)</x:f>
      </x:c>
      <x:c r="I53" s="32" t="str">
        <x:f>IF($H53="","",'03_Functionalities'!$D53)</x:f>
      </x:c>
      <x:c r="J53" s="32" t="str">
        <x:f>IF($H53="","",'03_Functionalities'!$E53)</x:f>
      </x:c>
      <x:c r="K53" s="32" t="str">
        <x:f>IF($H53="","",'03_Functionalities'!$F53)</x:f>
      </x:c>
      <x:c r="L53" s="32" t="str">
        <x:f>IF($H53="","",'03_Functionalities'!$G53)</x:f>
      </x:c>
      <x:c r="M53" s="32" t="str">
        <x:f>IF($H53="","",'03_Functionalities'!$H53)</x:f>
      </x:c>
      <x:c r="N53" s="32" t="str">
        <x:f>IF($H53="","",'03_Functionalities'!$I53)</x:f>
      </x:c>
      <x:c r="O53" s="32" t="str">
        <x:f>IF($H53="","",'03_Functionalities'!$J53)</x:f>
      </x:c>
      <x:c r="P53" s="32" t="str">
        <x:f>IF($H53="","",'03_Functionalities'!$K53)</x:f>
      </x:c>
      <x:c r="Q53" s="32" t="str">
        <x:f>IF($H53="","",'03_Functionalities'!$L53)</x:f>
      </x:c>
      <x:c r="R53" s="32" t="str">
        <x:f>IF($H53="","",'03_Functionalities'!$M53)</x:f>
      </x:c>
      <x:c r="S53" s="32" t="str">
        <x:f>IF($H53="","",'03_Functionalities'!$N53)</x:f>
      </x:c>
      <x:c r="T53" s="32" t="str">
        <x:f>IF($H53="","",'03_Functionalities'!$O53)</x:f>
      </x:c>
      <x:c r="U53" s="32" t="str">
        <x:f>IF($A53="","",IFERROR(XLOOKUP($A53,'01_Products'!$A$5:$A$500,'01_Products'!$G$5:$G$500),""))</x:f>
      </x:c>
      <x:c r="V53" s="32" t="str">
        <x:f>IF($D53="","",IFERROR(XLOOKUP($D53,'02_Features'!$A$5:$A$1000,'02_Features'!$J$5:$J$1000),""))</x:f>
      </x:c>
      <x:c r="W53" s="32" t="str">
        <x:f>IF($H53="","",'03_Functionalities'!$P53)</x:f>
      </x:c>
      <x:c r="X53" s="32" t="str">
        <x:f>IF($H53="","",'03_Functionalities'!$Q53)</x:f>
      </x:c>
      <x:c r="Y53" s="38"/>
      <x:c r="Z53" s="38"/>
    </x:row>
    <x:row r="54" ht="18" customHeight="1">
      <x:c r="A54" s="32" t="str">
        <x:f>IF('03_Functionalities'!$A54="","",'03_Functionalities'!$C54)</x:f>
      </x:c>
      <x:c r="B54" s="32" t="str">
        <x:f>IF($A54="","",IFERROR(XLOOKUP($A54,'01_Products'!$A$5:$A$500,'01_Products'!$B$5:$B$500),""))</x:f>
      </x:c>
      <x:c r="C54" s="32" t="str">
        <x:f>IF($A54="","",IFERROR(XLOOKUP($A54,'01_Products'!$A$5:$A$500,'01_Products'!$C$5:$C$500),""))</x:f>
      </x:c>
      <x:c r="D54" s="32" t="str">
        <x:f>IF('03_Functionalities'!$A54="","",'03_Functionalities'!$B54)</x:f>
      </x:c>
      <x:c r="E54" s="32" t="str">
        <x:f>IF($D54="","",IFERROR(XLOOKUP($D54,'02_Features'!$A$5:$A$1000,'02_Features'!$C$5:$C$1000),""))</x:f>
      </x:c>
      <x:c r="F54" s="32" t="str">
        <x:f>IF($D54="","",IFERROR(XLOOKUP($D54,'02_Features'!$A$5:$A$1000,'02_Features'!$D$5:$D$1000),""))</x:f>
      </x:c>
      <x:c r="G54" s="32" t="str">
        <x:f>IF($D54="","",IFERROR(XLOOKUP($D54,'02_Features'!$A$5:$A$1000,'02_Features'!$E$5:$E$1000),""))</x:f>
      </x:c>
      <x:c r="H54" s="32" t="str">
        <x:f>IF('03_Functionalities'!$A54="","",'03_Functionalities'!$A54)</x:f>
      </x:c>
      <x:c r="I54" s="32" t="str">
        <x:f>IF($H54="","",'03_Functionalities'!$D54)</x:f>
      </x:c>
      <x:c r="J54" s="32" t="str">
        <x:f>IF($H54="","",'03_Functionalities'!$E54)</x:f>
      </x:c>
      <x:c r="K54" s="32" t="str">
        <x:f>IF($H54="","",'03_Functionalities'!$F54)</x:f>
      </x:c>
      <x:c r="L54" s="32" t="str">
        <x:f>IF($H54="","",'03_Functionalities'!$G54)</x:f>
      </x:c>
      <x:c r="M54" s="32" t="str">
        <x:f>IF($H54="","",'03_Functionalities'!$H54)</x:f>
      </x:c>
      <x:c r="N54" s="32" t="str">
        <x:f>IF($H54="","",'03_Functionalities'!$I54)</x:f>
      </x:c>
      <x:c r="O54" s="32" t="str">
        <x:f>IF($H54="","",'03_Functionalities'!$J54)</x:f>
      </x:c>
      <x:c r="P54" s="32" t="str">
        <x:f>IF($H54="","",'03_Functionalities'!$K54)</x:f>
      </x:c>
      <x:c r="Q54" s="32" t="str">
        <x:f>IF($H54="","",'03_Functionalities'!$L54)</x:f>
      </x:c>
      <x:c r="R54" s="32" t="str">
        <x:f>IF($H54="","",'03_Functionalities'!$M54)</x:f>
      </x:c>
      <x:c r="S54" s="32" t="str">
        <x:f>IF($H54="","",'03_Functionalities'!$N54)</x:f>
      </x:c>
      <x:c r="T54" s="32" t="str">
        <x:f>IF($H54="","",'03_Functionalities'!$O54)</x:f>
      </x:c>
      <x:c r="U54" s="32" t="str">
        <x:f>IF($A54="","",IFERROR(XLOOKUP($A54,'01_Products'!$A$5:$A$500,'01_Products'!$G$5:$G$500),""))</x:f>
      </x:c>
      <x:c r="V54" s="32" t="str">
        <x:f>IF($D54="","",IFERROR(XLOOKUP($D54,'02_Features'!$A$5:$A$1000,'02_Features'!$J$5:$J$1000),""))</x:f>
      </x:c>
      <x:c r="W54" s="32" t="str">
        <x:f>IF($H54="","",'03_Functionalities'!$P54)</x:f>
      </x:c>
      <x:c r="X54" s="32" t="str">
        <x:f>IF($H54="","",'03_Functionalities'!$Q54)</x:f>
      </x:c>
      <x:c r="Y54" s="38"/>
      <x:c r="Z54" s="38"/>
    </x:row>
    <x:row r="55" ht="18" customHeight="1">
      <x:c r="A55" s="32" t="str">
        <x:f>IF('03_Functionalities'!$A55="","",'03_Functionalities'!$C55)</x:f>
      </x:c>
      <x:c r="B55" s="32" t="str">
        <x:f>IF($A55="","",IFERROR(XLOOKUP($A55,'01_Products'!$A$5:$A$500,'01_Products'!$B$5:$B$500),""))</x:f>
      </x:c>
      <x:c r="C55" s="32" t="str">
        <x:f>IF($A55="","",IFERROR(XLOOKUP($A55,'01_Products'!$A$5:$A$500,'01_Products'!$C$5:$C$500),""))</x:f>
      </x:c>
      <x:c r="D55" s="32" t="str">
        <x:f>IF('03_Functionalities'!$A55="","",'03_Functionalities'!$B55)</x:f>
      </x:c>
      <x:c r="E55" s="32" t="str">
        <x:f>IF($D55="","",IFERROR(XLOOKUP($D55,'02_Features'!$A$5:$A$1000,'02_Features'!$C$5:$C$1000),""))</x:f>
      </x:c>
      <x:c r="F55" s="32" t="str">
        <x:f>IF($D55="","",IFERROR(XLOOKUP($D55,'02_Features'!$A$5:$A$1000,'02_Features'!$D$5:$D$1000),""))</x:f>
      </x:c>
      <x:c r="G55" s="32" t="str">
        <x:f>IF($D55="","",IFERROR(XLOOKUP($D55,'02_Features'!$A$5:$A$1000,'02_Features'!$E$5:$E$1000),""))</x:f>
      </x:c>
      <x:c r="H55" s="32" t="str">
        <x:f>IF('03_Functionalities'!$A55="","",'03_Functionalities'!$A55)</x:f>
      </x:c>
      <x:c r="I55" s="32" t="str">
        <x:f>IF($H55="","",'03_Functionalities'!$D55)</x:f>
      </x:c>
      <x:c r="J55" s="32" t="str">
        <x:f>IF($H55="","",'03_Functionalities'!$E55)</x:f>
      </x:c>
      <x:c r="K55" s="32" t="str">
        <x:f>IF($H55="","",'03_Functionalities'!$F55)</x:f>
      </x:c>
      <x:c r="L55" s="32" t="str">
        <x:f>IF($H55="","",'03_Functionalities'!$G55)</x:f>
      </x:c>
      <x:c r="M55" s="32" t="str">
        <x:f>IF($H55="","",'03_Functionalities'!$H55)</x:f>
      </x:c>
      <x:c r="N55" s="32" t="str">
        <x:f>IF($H55="","",'03_Functionalities'!$I55)</x:f>
      </x:c>
      <x:c r="O55" s="32" t="str">
        <x:f>IF($H55="","",'03_Functionalities'!$J55)</x:f>
      </x:c>
      <x:c r="P55" s="32" t="str">
        <x:f>IF($H55="","",'03_Functionalities'!$K55)</x:f>
      </x:c>
      <x:c r="Q55" s="32" t="str">
        <x:f>IF($H55="","",'03_Functionalities'!$L55)</x:f>
      </x:c>
      <x:c r="R55" s="32" t="str">
        <x:f>IF($H55="","",'03_Functionalities'!$M55)</x:f>
      </x:c>
      <x:c r="S55" s="32" t="str">
        <x:f>IF($H55="","",'03_Functionalities'!$N55)</x:f>
      </x:c>
      <x:c r="T55" s="32" t="str">
        <x:f>IF($H55="","",'03_Functionalities'!$O55)</x:f>
      </x:c>
      <x:c r="U55" s="32" t="str">
        <x:f>IF($A55="","",IFERROR(XLOOKUP($A55,'01_Products'!$A$5:$A$500,'01_Products'!$G$5:$G$500),""))</x:f>
      </x:c>
      <x:c r="V55" s="32" t="str">
        <x:f>IF($D55="","",IFERROR(XLOOKUP($D55,'02_Features'!$A$5:$A$1000,'02_Features'!$J$5:$J$1000),""))</x:f>
      </x:c>
      <x:c r="W55" s="32" t="str">
        <x:f>IF($H55="","",'03_Functionalities'!$P55)</x:f>
      </x:c>
      <x:c r="X55" s="32" t="str">
        <x:f>IF($H55="","",'03_Functionalities'!$Q55)</x:f>
      </x:c>
      <x:c r="Y55" s="38"/>
      <x:c r="Z55" s="38"/>
    </x:row>
    <x:row r="56" ht="18" customHeight="1">
      <x:c r="A56" s="32" t="str">
        <x:f>IF('03_Functionalities'!$A56="","",'03_Functionalities'!$C56)</x:f>
      </x:c>
      <x:c r="B56" s="32" t="str">
        <x:f>IF($A56="","",IFERROR(XLOOKUP($A56,'01_Products'!$A$5:$A$500,'01_Products'!$B$5:$B$500),""))</x:f>
      </x:c>
      <x:c r="C56" s="32" t="str">
        <x:f>IF($A56="","",IFERROR(XLOOKUP($A56,'01_Products'!$A$5:$A$500,'01_Products'!$C$5:$C$500),""))</x:f>
      </x:c>
      <x:c r="D56" s="32" t="str">
        <x:f>IF('03_Functionalities'!$A56="","",'03_Functionalities'!$B56)</x:f>
      </x:c>
      <x:c r="E56" s="32" t="str">
        <x:f>IF($D56="","",IFERROR(XLOOKUP($D56,'02_Features'!$A$5:$A$1000,'02_Features'!$C$5:$C$1000),""))</x:f>
      </x:c>
      <x:c r="F56" s="32" t="str">
        <x:f>IF($D56="","",IFERROR(XLOOKUP($D56,'02_Features'!$A$5:$A$1000,'02_Features'!$D$5:$D$1000),""))</x:f>
      </x:c>
      <x:c r="G56" s="32" t="str">
        <x:f>IF($D56="","",IFERROR(XLOOKUP($D56,'02_Features'!$A$5:$A$1000,'02_Features'!$E$5:$E$1000),""))</x:f>
      </x:c>
      <x:c r="H56" s="32" t="str">
        <x:f>IF('03_Functionalities'!$A56="","",'03_Functionalities'!$A56)</x:f>
      </x:c>
      <x:c r="I56" s="32" t="str">
        <x:f>IF($H56="","",'03_Functionalities'!$D56)</x:f>
      </x:c>
      <x:c r="J56" s="32" t="str">
        <x:f>IF($H56="","",'03_Functionalities'!$E56)</x:f>
      </x:c>
      <x:c r="K56" s="32" t="str">
        <x:f>IF($H56="","",'03_Functionalities'!$F56)</x:f>
      </x:c>
      <x:c r="L56" s="32" t="str">
        <x:f>IF($H56="","",'03_Functionalities'!$G56)</x:f>
      </x:c>
      <x:c r="M56" s="32" t="str">
        <x:f>IF($H56="","",'03_Functionalities'!$H56)</x:f>
      </x:c>
      <x:c r="N56" s="32" t="str">
        <x:f>IF($H56="","",'03_Functionalities'!$I56)</x:f>
      </x:c>
      <x:c r="O56" s="32" t="str">
        <x:f>IF($H56="","",'03_Functionalities'!$J56)</x:f>
      </x:c>
      <x:c r="P56" s="32" t="str">
        <x:f>IF($H56="","",'03_Functionalities'!$K56)</x:f>
      </x:c>
      <x:c r="Q56" s="32" t="str">
        <x:f>IF($H56="","",'03_Functionalities'!$L56)</x:f>
      </x:c>
      <x:c r="R56" s="32" t="str">
        <x:f>IF($H56="","",'03_Functionalities'!$M56)</x:f>
      </x:c>
      <x:c r="S56" s="32" t="str">
        <x:f>IF($H56="","",'03_Functionalities'!$N56)</x:f>
      </x:c>
      <x:c r="T56" s="32" t="str">
        <x:f>IF($H56="","",'03_Functionalities'!$O56)</x:f>
      </x:c>
      <x:c r="U56" s="32" t="str">
        <x:f>IF($A56="","",IFERROR(XLOOKUP($A56,'01_Products'!$A$5:$A$500,'01_Products'!$G$5:$G$500),""))</x:f>
      </x:c>
      <x:c r="V56" s="32" t="str">
        <x:f>IF($D56="","",IFERROR(XLOOKUP($D56,'02_Features'!$A$5:$A$1000,'02_Features'!$J$5:$J$1000),""))</x:f>
      </x:c>
      <x:c r="W56" s="32" t="str">
        <x:f>IF($H56="","",'03_Functionalities'!$P56)</x:f>
      </x:c>
      <x:c r="X56" s="32" t="str">
        <x:f>IF($H56="","",'03_Functionalities'!$Q56)</x:f>
      </x:c>
      <x:c r="Y56" s="38"/>
      <x:c r="Z56" s="38"/>
    </x:row>
    <x:row r="57" ht="18" customHeight="1">
      <x:c r="A57" s="32" t="str">
        <x:f>IF('03_Functionalities'!$A57="","",'03_Functionalities'!$C57)</x:f>
      </x:c>
      <x:c r="B57" s="32" t="str">
        <x:f>IF($A57="","",IFERROR(XLOOKUP($A57,'01_Products'!$A$5:$A$500,'01_Products'!$B$5:$B$500),""))</x:f>
      </x:c>
      <x:c r="C57" s="32" t="str">
        <x:f>IF($A57="","",IFERROR(XLOOKUP($A57,'01_Products'!$A$5:$A$500,'01_Products'!$C$5:$C$500),""))</x:f>
      </x:c>
      <x:c r="D57" s="32" t="str">
        <x:f>IF('03_Functionalities'!$A57="","",'03_Functionalities'!$B57)</x:f>
      </x:c>
      <x:c r="E57" s="32" t="str">
        <x:f>IF($D57="","",IFERROR(XLOOKUP($D57,'02_Features'!$A$5:$A$1000,'02_Features'!$C$5:$C$1000),""))</x:f>
      </x:c>
      <x:c r="F57" s="32" t="str">
        <x:f>IF($D57="","",IFERROR(XLOOKUP($D57,'02_Features'!$A$5:$A$1000,'02_Features'!$D$5:$D$1000),""))</x:f>
      </x:c>
      <x:c r="G57" s="32" t="str">
        <x:f>IF($D57="","",IFERROR(XLOOKUP($D57,'02_Features'!$A$5:$A$1000,'02_Features'!$E$5:$E$1000),""))</x:f>
      </x:c>
      <x:c r="H57" s="32" t="str">
        <x:f>IF('03_Functionalities'!$A57="","",'03_Functionalities'!$A57)</x:f>
      </x:c>
      <x:c r="I57" s="32" t="str">
        <x:f>IF($H57="","",'03_Functionalities'!$D57)</x:f>
      </x:c>
      <x:c r="J57" s="32" t="str">
        <x:f>IF($H57="","",'03_Functionalities'!$E57)</x:f>
      </x:c>
      <x:c r="K57" s="32" t="str">
        <x:f>IF($H57="","",'03_Functionalities'!$F57)</x:f>
      </x:c>
      <x:c r="L57" s="32" t="str">
        <x:f>IF($H57="","",'03_Functionalities'!$G57)</x:f>
      </x:c>
      <x:c r="M57" s="32" t="str">
        <x:f>IF($H57="","",'03_Functionalities'!$H57)</x:f>
      </x:c>
      <x:c r="N57" s="32" t="str">
        <x:f>IF($H57="","",'03_Functionalities'!$I57)</x:f>
      </x:c>
      <x:c r="O57" s="32" t="str">
        <x:f>IF($H57="","",'03_Functionalities'!$J57)</x:f>
      </x:c>
      <x:c r="P57" s="32" t="str">
        <x:f>IF($H57="","",'03_Functionalities'!$K57)</x:f>
      </x:c>
      <x:c r="Q57" s="32" t="str">
        <x:f>IF($H57="","",'03_Functionalities'!$L57)</x:f>
      </x:c>
      <x:c r="R57" s="32" t="str">
        <x:f>IF($H57="","",'03_Functionalities'!$M57)</x:f>
      </x:c>
      <x:c r="S57" s="32" t="str">
        <x:f>IF($H57="","",'03_Functionalities'!$N57)</x:f>
      </x:c>
      <x:c r="T57" s="32" t="str">
        <x:f>IF($H57="","",'03_Functionalities'!$O57)</x:f>
      </x:c>
      <x:c r="U57" s="32" t="str">
        <x:f>IF($A57="","",IFERROR(XLOOKUP($A57,'01_Products'!$A$5:$A$500,'01_Products'!$G$5:$G$500),""))</x:f>
      </x:c>
      <x:c r="V57" s="32" t="str">
        <x:f>IF($D57="","",IFERROR(XLOOKUP($D57,'02_Features'!$A$5:$A$1000,'02_Features'!$J$5:$J$1000),""))</x:f>
      </x:c>
      <x:c r="W57" s="32" t="str">
        <x:f>IF($H57="","",'03_Functionalities'!$P57)</x:f>
      </x:c>
      <x:c r="X57" s="32" t="str">
        <x:f>IF($H57="","",'03_Functionalities'!$Q57)</x:f>
      </x:c>
      <x:c r="Y57" s="38"/>
      <x:c r="Z57" s="38"/>
    </x:row>
    <x:row r="58" ht="18" customHeight="1">
      <x:c r="A58" s="32" t="str">
        <x:f>IF('03_Functionalities'!$A58="","",'03_Functionalities'!$C58)</x:f>
      </x:c>
      <x:c r="B58" s="32" t="str">
        <x:f>IF($A58="","",IFERROR(XLOOKUP($A58,'01_Products'!$A$5:$A$500,'01_Products'!$B$5:$B$500),""))</x:f>
      </x:c>
      <x:c r="C58" s="32" t="str">
        <x:f>IF($A58="","",IFERROR(XLOOKUP($A58,'01_Products'!$A$5:$A$500,'01_Products'!$C$5:$C$500),""))</x:f>
      </x:c>
      <x:c r="D58" s="32" t="str">
        <x:f>IF('03_Functionalities'!$A58="","",'03_Functionalities'!$B58)</x:f>
      </x:c>
      <x:c r="E58" s="32" t="str">
        <x:f>IF($D58="","",IFERROR(XLOOKUP($D58,'02_Features'!$A$5:$A$1000,'02_Features'!$C$5:$C$1000),""))</x:f>
      </x:c>
      <x:c r="F58" s="32" t="str">
        <x:f>IF($D58="","",IFERROR(XLOOKUP($D58,'02_Features'!$A$5:$A$1000,'02_Features'!$D$5:$D$1000),""))</x:f>
      </x:c>
      <x:c r="G58" s="32" t="str">
        <x:f>IF($D58="","",IFERROR(XLOOKUP($D58,'02_Features'!$A$5:$A$1000,'02_Features'!$E$5:$E$1000),""))</x:f>
      </x:c>
      <x:c r="H58" s="32" t="str">
        <x:f>IF('03_Functionalities'!$A58="","",'03_Functionalities'!$A58)</x:f>
      </x:c>
      <x:c r="I58" s="32" t="str">
        <x:f>IF($H58="","",'03_Functionalities'!$D58)</x:f>
      </x:c>
      <x:c r="J58" s="32" t="str">
        <x:f>IF($H58="","",'03_Functionalities'!$E58)</x:f>
      </x:c>
      <x:c r="K58" s="32" t="str">
        <x:f>IF($H58="","",'03_Functionalities'!$F58)</x:f>
      </x:c>
      <x:c r="L58" s="32" t="str">
        <x:f>IF($H58="","",'03_Functionalities'!$G58)</x:f>
      </x:c>
      <x:c r="M58" s="32" t="str">
        <x:f>IF($H58="","",'03_Functionalities'!$H58)</x:f>
      </x:c>
      <x:c r="N58" s="32" t="str">
        <x:f>IF($H58="","",'03_Functionalities'!$I58)</x:f>
      </x:c>
      <x:c r="O58" s="32" t="str">
        <x:f>IF($H58="","",'03_Functionalities'!$J58)</x:f>
      </x:c>
      <x:c r="P58" s="32" t="str">
        <x:f>IF($H58="","",'03_Functionalities'!$K58)</x:f>
      </x:c>
      <x:c r="Q58" s="32" t="str">
        <x:f>IF($H58="","",'03_Functionalities'!$L58)</x:f>
      </x:c>
      <x:c r="R58" s="32" t="str">
        <x:f>IF($H58="","",'03_Functionalities'!$M58)</x:f>
      </x:c>
      <x:c r="S58" s="32" t="str">
        <x:f>IF($H58="","",'03_Functionalities'!$N58)</x:f>
      </x:c>
      <x:c r="T58" s="32" t="str">
        <x:f>IF($H58="","",'03_Functionalities'!$O58)</x:f>
      </x:c>
      <x:c r="U58" s="32" t="str">
        <x:f>IF($A58="","",IFERROR(XLOOKUP($A58,'01_Products'!$A$5:$A$500,'01_Products'!$G$5:$G$500),""))</x:f>
      </x:c>
      <x:c r="V58" s="32" t="str">
        <x:f>IF($D58="","",IFERROR(XLOOKUP($D58,'02_Features'!$A$5:$A$1000,'02_Features'!$J$5:$J$1000),""))</x:f>
      </x:c>
      <x:c r="W58" s="32" t="str">
        <x:f>IF($H58="","",'03_Functionalities'!$P58)</x:f>
      </x:c>
      <x:c r="X58" s="32" t="str">
        <x:f>IF($H58="","",'03_Functionalities'!$Q58)</x:f>
      </x:c>
      <x:c r="Y58" s="38"/>
      <x:c r="Z58" s="38"/>
    </x:row>
    <x:row r="59" ht="18" customHeight="1">
      <x:c r="A59" s="32" t="str">
        <x:f>IF('03_Functionalities'!$A59="","",'03_Functionalities'!$C59)</x:f>
      </x:c>
      <x:c r="B59" s="32" t="str">
        <x:f>IF($A59="","",IFERROR(XLOOKUP($A59,'01_Products'!$A$5:$A$500,'01_Products'!$B$5:$B$500),""))</x:f>
      </x:c>
      <x:c r="C59" s="32" t="str">
        <x:f>IF($A59="","",IFERROR(XLOOKUP($A59,'01_Products'!$A$5:$A$500,'01_Products'!$C$5:$C$500),""))</x:f>
      </x:c>
      <x:c r="D59" s="32" t="str">
        <x:f>IF('03_Functionalities'!$A59="","",'03_Functionalities'!$B59)</x:f>
      </x:c>
      <x:c r="E59" s="32" t="str">
        <x:f>IF($D59="","",IFERROR(XLOOKUP($D59,'02_Features'!$A$5:$A$1000,'02_Features'!$C$5:$C$1000),""))</x:f>
      </x:c>
      <x:c r="F59" s="32" t="str">
        <x:f>IF($D59="","",IFERROR(XLOOKUP($D59,'02_Features'!$A$5:$A$1000,'02_Features'!$D$5:$D$1000),""))</x:f>
      </x:c>
      <x:c r="G59" s="32" t="str">
        <x:f>IF($D59="","",IFERROR(XLOOKUP($D59,'02_Features'!$A$5:$A$1000,'02_Features'!$E$5:$E$1000),""))</x:f>
      </x:c>
      <x:c r="H59" s="32" t="str">
        <x:f>IF('03_Functionalities'!$A59="","",'03_Functionalities'!$A59)</x:f>
      </x:c>
      <x:c r="I59" s="32" t="str">
        <x:f>IF($H59="","",'03_Functionalities'!$D59)</x:f>
      </x:c>
      <x:c r="J59" s="32" t="str">
        <x:f>IF($H59="","",'03_Functionalities'!$E59)</x:f>
      </x:c>
      <x:c r="K59" s="32" t="str">
        <x:f>IF($H59="","",'03_Functionalities'!$F59)</x:f>
      </x:c>
      <x:c r="L59" s="32" t="str">
        <x:f>IF($H59="","",'03_Functionalities'!$G59)</x:f>
      </x:c>
      <x:c r="M59" s="32" t="str">
        <x:f>IF($H59="","",'03_Functionalities'!$H59)</x:f>
      </x:c>
      <x:c r="N59" s="32" t="str">
        <x:f>IF($H59="","",'03_Functionalities'!$I59)</x:f>
      </x:c>
      <x:c r="O59" s="32" t="str">
        <x:f>IF($H59="","",'03_Functionalities'!$J59)</x:f>
      </x:c>
      <x:c r="P59" s="32" t="str">
        <x:f>IF($H59="","",'03_Functionalities'!$K59)</x:f>
      </x:c>
      <x:c r="Q59" s="32" t="str">
        <x:f>IF($H59="","",'03_Functionalities'!$L59)</x:f>
      </x:c>
      <x:c r="R59" s="32" t="str">
        <x:f>IF($H59="","",'03_Functionalities'!$M59)</x:f>
      </x:c>
      <x:c r="S59" s="32" t="str">
        <x:f>IF($H59="","",'03_Functionalities'!$N59)</x:f>
      </x:c>
      <x:c r="T59" s="32" t="str">
        <x:f>IF($H59="","",'03_Functionalities'!$O59)</x:f>
      </x:c>
      <x:c r="U59" s="32" t="str">
        <x:f>IF($A59="","",IFERROR(XLOOKUP($A59,'01_Products'!$A$5:$A$500,'01_Products'!$G$5:$G$500),""))</x:f>
      </x:c>
      <x:c r="V59" s="32" t="str">
        <x:f>IF($D59="","",IFERROR(XLOOKUP($D59,'02_Features'!$A$5:$A$1000,'02_Features'!$J$5:$J$1000),""))</x:f>
      </x:c>
      <x:c r="W59" s="32" t="str">
        <x:f>IF($H59="","",'03_Functionalities'!$P59)</x:f>
      </x:c>
      <x:c r="X59" s="32" t="str">
        <x:f>IF($H59="","",'03_Functionalities'!$Q59)</x:f>
      </x:c>
      <x:c r="Y59" s="38"/>
      <x:c r="Z59" s="38"/>
    </x:row>
    <x:row r="60" ht="18" customHeight="1">
      <x:c r="A60" s="32" t="str">
        <x:f>IF('03_Functionalities'!$A60="","",'03_Functionalities'!$C60)</x:f>
      </x:c>
      <x:c r="B60" s="32" t="str">
        <x:f>IF($A60="","",IFERROR(XLOOKUP($A60,'01_Products'!$A$5:$A$500,'01_Products'!$B$5:$B$500),""))</x:f>
      </x:c>
      <x:c r="C60" s="32" t="str">
        <x:f>IF($A60="","",IFERROR(XLOOKUP($A60,'01_Products'!$A$5:$A$500,'01_Products'!$C$5:$C$500),""))</x:f>
      </x:c>
      <x:c r="D60" s="32" t="str">
        <x:f>IF('03_Functionalities'!$A60="","",'03_Functionalities'!$B60)</x:f>
      </x:c>
      <x:c r="E60" s="32" t="str">
        <x:f>IF($D60="","",IFERROR(XLOOKUP($D60,'02_Features'!$A$5:$A$1000,'02_Features'!$C$5:$C$1000),""))</x:f>
      </x:c>
      <x:c r="F60" s="32" t="str">
        <x:f>IF($D60="","",IFERROR(XLOOKUP($D60,'02_Features'!$A$5:$A$1000,'02_Features'!$D$5:$D$1000),""))</x:f>
      </x:c>
      <x:c r="G60" s="32" t="str">
        <x:f>IF($D60="","",IFERROR(XLOOKUP($D60,'02_Features'!$A$5:$A$1000,'02_Features'!$E$5:$E$1000),""))</x:f>
      </x:c>
      <x:c r="H60" s="32" t="str">
        <x:f>IF('03_Functionalities'!$A60="","",'03_Functionalities'!$A60)</x:f>
      </x:c>
      <x:c r="I60" s="32" t="str">
        <x:f>IF($H60="","",'03_Functionalities'!$D60)</x:f>
      </x:c>
      <x:c r="J60" s="32" t="str">
        <x:f>IF($H60="","",'03_Functionalities'!$E60)</x:f>
      </x:c>
      <x:c r="K60" s="32" t="str">
        <x:f>IF($H60="","",'03_Functionalities'!$F60)</x:f>
      </x:c>
      <x:c r="L60" s="32" t="str">
        <x:f>IF($H60="","",'03_Functionalities'!$G60)</x:f>
      </x:c>
      <x:c r="M60" s="32" t="str">
        <x:f>IF($H60="","",'03_Functionalities'!$H60)</x:f>
      </x:c>
      <x:c r="N60" s="32" t="str">
        <x:f>IF($H60="","",'03_Functionalities'!$I60)</x:f>
      </x:c>
      <x:c r="O60" s="32" t="str">
        <x:f>IF($H60="","",'03_Functionalities'!$J60)</x:f>
      </x:c>
      <x:c r="P60" s="32" t="str">
        <x:f>IF($H60="","",'03_Functionalities'!$K60)</x:f>
      </x:c>
      <x:c r="Q60" s="32" t="str">
        <x:f>IF($H60="","",'03_Functionalities'!$L60)</x:f>
      </x:c>
      <x:c r="R60" s="32" t="str">
        <x:f>IF($H60="","",'03_Functionalities'!$M60)</x:f>
      </x:c>
      <x:c r="S60" s="32" t="str">
        <x:f>IF($H60="","",'03_Functionalities'!$N60)</x:f>
      </x:c>
      <x:c r="T60" s="32" t="str">
        <x:f>IF($H60="","",'03_Functionalities'!$O60)</x:f>
      </x:c>
      <x:c r="U60" s="32" t="str">
        <x:f>IF($A60="","",IFERROR(XLOOKUP($A60,'01_Products'!$A$5:$A$500,'01_Products'!$G$5:$G$500),""))</x:f>
      </x:c>
      <x:c r="V60" s="32" t="str">
        <x:f>IF($D60="","",IFERROR(XLOOKUP($D60,'02_Features'!$A$5:$A$1000,'02_Features'!$J$5:$J$1000),""))</x:f>
      </x:c>
      <x:c r="W60" s="32" t="str">
        <x:f>IF($H60="","",'03_Functionalities'!$P60)</x:f>
      </x:c>
      <x:c r="X60" s="32" t="str">
        <x:f>IF($H60="","",'03_Functionalities'!$Q60)</x:f>
      </x:c>
      <x:c r="Y60" s="38"/>
      <x:c r="Z60" s="38"/>
    </x:row>
    <x:row r="61" ht="18" customHeight="1">
      <x:c r="A61" s="32" t="str">
        <x:f>IF('03_Functionalities'!$A61="","",'03_Functionalities'!$C61)</x:f>
      </x:c>
      <x:c r="B61" s="32" t="str">
        <x:f>IF($A61="","",IFERROR(XLOOKUP($A61,'01_Products'!$A$5:$A$500,'01_Products'!$B$5:$B$500),""))</x:f>
      </x:c>
      <x:c r="C61" s="32" t="str">
        <x:f>IF($A61="","",IFERROR(XLOOKUP($A61,'01_Products'!$A$5:$A$500,'01_Products'!$C$5:$C$500),""))</x:f>
      </x:c>
      <x:c r="D61" s="32" t="str">
        <x:f>IF('03_Functionalities'!$A61="","",'03_Functionalities'!$B61)</x:f>
      </x:c>
      <x:c r="E61" s="32" t="str">
        <x:f>IF($D61="","",IFERROR(XLOOKUP($D61,'02_Features'!$A$5:$A$1000,'02_Features'!$C$5:$C$1000),""))</x:f>
      </x:c>
      <x:c r="F61" s="32" t="str">
        <x:f>IF($D61="","",IFERROR(XLOOKUP($D61,'02_Features'!$A$5:$A$1000,'02_Features'!$D$5:$D$1000),""))</x:f>
      </x:c>
      <x:c r="G61" s="32" t="str">
        <x:f>IF($D61="","",IFERROR(XLOOKUP($D61,'02_Features'!$A$5:$A$1000,'02_Features'!$E$5:$E$1000),""))</x:f>
      </x:c>
      <x:c r="H61" s="32" t="str">
        <x:f>IF('03_Functionalities'!$A61="","",'03_Functionalities'!$A61)</x:f>
      </x:c>
      <x:c r="I61" s="32" t="str">
        <x:f>IF($H61="","",'03_Functionalities'!$D61)</x:f>
      </x:c>
      <x:c r="J61" s="32" t="str">
        <x:f>IF($H61="","",'03_Functionalities'!$E61)</x:f>
      </x:c>
      <x:c r="K61" s="32" t="str">
        <x:f>IF($H61="","",'03_Functionalities'!$F61)</x:f>
      </x:c>
      <x:c r="L61" s="32" t="str">
        <x:f>IF($H61="","",'03_Functionalities'!$G61)</x:f>
      </x:c>
      <x:c r="M61" s="32" t="str">
        <x:f>IF($H61="","",'03_Functionalities'!$H61)</x:f>
      </x:c>
      <x:c r="N61" s="32" t="str">
        <x:f>IF($H61="","",'03_Functionalities'!$I61)</x:f>
      </x:c>
      <x:c r="O61" s="32" t="str">
        <x:f>IF($H61="","",'03_Functionalities'!$J61)</x:f>
      </x:c>
      <x:c r="P61" s="32" t="str">
        <x:f>IF($H61="","",'03_Functionalities'!$K61)</x:f>
      </x:c>
      <x:c r="Q61" s="32" t="str">
        <x:f>IF($H61="","",'03_Functionalities'!$L61)</x:f>
      </x:c>
      <x:c r="R61" s="32" t="str">
        <x:f>IF($H61="","",'03_Functionalities'!$M61)</x:f>
      </x:c>
      <x:c r="S61" s="32" t="str">
        <x:f>IF($H61="","",'03_Functionalities'!$N61)</x:f>
      </x:c>
      <x:c r="T61" s="32" t="str">
        <x:f>IF($H61="","",'03_Functionalities'!$O61)</x:f>
      </x:c>
      <x:c r="U61" s="32" t="str">
        <x:f>IF($A61="","",IFERROR(XLOOKUP($A61,'01_Products'!$A$5:$A$500,'01_Products'!$G$5:$G$500),""))</x:f>
      </x:c>
      <x:c r="V61" s="32" t="str">
        <x:f>IF($D61="","",IFERROR(XLOOKUP($D61,'02_Features'!$A$5:$A$1000,'02_Features'!$J$5:$J$1000),""))</x:f>
      </x:c>
      <x:c r="W61" s="32" t="str">
        <x:f>IF($H61="","",'03_Functionalities'!$P61)</x:f>
      </x:c>
      <x:c r="X61" s="32" t="str">
        <x:f>IF($H61="","",'03_Functionalities'!$Q61)</x:f>
      </x:c>
      <x:c r="Y61" s="38"/>
      <x:c r="Z61" s="38"/>
    </x:row>
    <x:row r="62" ht="18" customHeight="1">
      <x:c r="A62" s="32" t="str">
        <x:f>IF('03_Functionalities'!$A62="","",'03_Functionalities'!$C62)</x:f>
      </x:c>
      <x:c r="B62" s="32" t="str">
        <x:f>IF($A62="","",IFERROR(XLOOKUP($A62,'01_Products'!$A$5:$A$500,'01_Products'!$B$5:$B$500),""))</x:f>
      </x:c>
      <x:c r="C62" s="32" t="str">
        <x:f>IF($A62="","",IFERROR(XLOOKUP($A62,'01_Products'!$A$5:$A$500,'01_Products'!$C$5:$C$500),""))</x:f>
      </x:c>
      <x:c r="D62" s="32" t="str">
        <x:f>IF('03_Functionalities'!$A62="","",'03_Functionalities'!$B62)</x:f>
      </x:c>
      <x:c r="E62" s="32" t="str">
        <x:f>IF($D62="","",IFERROR(XLOOKUP($D62,'02_Features'!$A$5:$A$1000,'02_Features'!$C$5:$C$1000),""))</x:f>
      </x:c>
      <x:c r="F62" s="32" t="str">
        <x:f>IF($D62="","",IFERROR(XLOOKUP($D62,'02_Features'!$A$5:$A$1000,'02_Features'!$D$5:$D$1000),""))</x:f>
      </x:c>
      <x:c r="G62" s="32" t="str">
        <x:f>IF($D62="","",IFERROR(XLOOKUP($D62,'02_Features'!$A$5:$A$1000,'02_Features'!$E$5:$E$1000),""))</x:f>
      </x:c>
      <x:c r="H62" s="32" t="str">
        <x:f>IF('03_Functionalities'!$A62="","",'03_Functionalities'!$A62)</x:f>
      </x:c>
      <x:c r="I62" s="32" t="str">
        <x:f>IF($H62="","",'03_Functionalities'!$D62)</x:f>
      </x:c>
      <x:c r="J62" s="32" t="str">
        <x:f>IF($H62="","",'03_Functionalities'!$E62)</x:f>
      </x:c>
      <x:c r="K62" s="32" t="str">
        <x:f>IF($H62="","",'03_Functionalities'!$F62)</x:f>
      </x:c>
      <x:c r="L62" s="32" t="str">
        <x:f>IF($H62="","",'03_Functionalities'!$G62)</x:f>
      </x:c>
      <x:c r="M62" s="32" t="str">
        <x:f>IF($H62="","",'03_Functionalities'!$H62)</x:f>
      </x:c>
      <x:c r="N62" s="32" t="str">
        <x:f>IF($H62="","",'03_Functionalities'!$I62)</x:f>
      </x:c>
      <x:c r="O62" s="32" t="str">
        <x:f>IF($H62="","",'03_Functionalities'!$J62)</x:f>
      </x:c>
      <x:c r="P62" s="32" t="str">
        <x:f>IF($H62="","",'03_Functionalities'!$K62)</x:f>
      </x:c>
      <x:c r="Q62" s="32" t="str">
        <x:f>IF($H62="","",'03_Functionalities'!$L62)</x:f>
      </x:c>
      <x:c r="R62" s="32" t="str">
        <x:f>IF($H62="","",'03_Functionalities'!$M62)</x:f>
      </x:c>
      <x:c r="S62" s="32" t="str">
        <x:f>IF($H62="","",'03_Functionalities'!$N62)</x:f>
      </x:c>
      <x:c r="T62" s="32" t="str">
        <x:f>IF($H62="","",'03_Functionalities'!$O62)</x:f>
      </x:c>
      <x:c r="U62" s="32" t="str">
        <x:f>IF($A62="","",IFERROR(XLOOKUP($A62,'01_Products'!$A$5:$A$500,'01_Products'!$G$5:$G$500),""))</x:f>
      </x:c>
      <x:c r="V62" s="32" t="str">
        <x:f>IF($D62="","",IFERROR(XLOOKUP($D62,'02_Features'!$A$5:$A$1000,'02_Features'!$J$5:$J$1000),""))</x:f>
      </x:c>
      <x:c r="W62" s="32" t="str">
        <x:f>IF($H62="","",'03_Functionalities'!$P62)</x:f>
      </x:c>
      <x:c r="X62" s="32" t="str">
        <x:f>IF($H62="","",'03_Functionalities'!$Q62)</x:f>
      </x:c>
      <x:c r="Y62" s="38"/>
      <x:c r="Z62" s="38"/>
    </x:row>
    <x:row r="63" ht="18" customHeight="1">
      <x:c r="A63" s="32" t="str">
        <x:f>IF('03_Functionalities'!$A63="","",'03_Functionalities'!$C63)</x:f>
      </x:c>
      <x:c r="B63" s="32" t="str">
        <x:f>IF($A63="","",IFERROR(XLOOKUP($A63,'01_Products'!$A$5:$A$500,'01_Products'!$B$5:$B$500),""))</x:f>
      </x:c>
      <x:c r="C63" s="32" t="str">
        <x:f>IF($A63="","",IFERROR(XLOOKUP($A63,'01_Products'!$A$5:$A$500,'01_Products'!$C$5:$C$500),""))</x:f>
      </x:c>
      <x:c r="D63" s="32" t="str">
        <x:f>IF('03_Functionalities'!$A63="","",'03_Functionalities'!$B63)</x:f>
      </x:c>
      <x:c r="E63" s="32" t="str">
        <x:f>IF($D63="","",IFERROR(XLOOKUP($D63,'02_Features'!$A$5:$A$1000,'02_Features'!$C$5:$C$1000),""))</x:f>
      </x:c>
      <x:c r="F63" s="32" t="str">
        <x:f>IF($D63="","",IFERROR(XLOOKUP($D63,'02_Features'!$A$5:$A$1000,'02_Features'!$D$5:$D$1000),""))</x:f>
      </x:c>
      <x:c r="G63" s="32" t="str">
        <x:f>IF($D63="","",IFERROR(XLOOKUP($D63,'02_Features'!$A$5:$A$1000,'02_Features'!$E$5:$E$1000),""))</x:f>
      </x:c>
      <x:c r="H63" s="32" t="str">
        <x:f>IF('03_Functionalities'!$A63="","",'03_Functionalities'!$A63)</x:f>
      </x:c>
      <x:c r="I63" s="32" t="str">
        <x:f>IF($H63="","",'03_Functionalities'!$D63)</x:f>
      </x:c>
      <x:c r="J63" s="32" t="str">
        <x:f>IF($H63="","",'03_Functionalities'!$E63)</x:f>
      </x:c>
      <x:c r="K63" s="32" t="str">
        <x:f>IF($H63="","",'03_Functionalities'!$F63)</x:f>
      </x:c>
      <x:c r="L63" s="32" t="str">
        <x:f>IF($H63="","",'03_Functionalities'!$G63)</x:f>
      </x:c>
      <x:c r="M63" s="32" t="str">
        <x:f>IF($H63="","",'03_Functionalities'!$H63)</x:f>
      </x:c>
      <x:c r="N63" s="32" t="str">
        <x:f>IF($H63="","",'03_Functionalities'!$I63)</x:f>
      </x:c>
      <x:c r="O63" s="32" t="str">
        <x:f>IF($H63="","",'03_Functionalities'!$J63)</x:f>
      </x:c>
      <x:c r="P63" s="32" t="str">
        <x:f>IF($H63="","",'03_Functionalities'!$K63)</x:f>
      </x:c>
      <x:c r="Q63" s="32" t="str">
        <x:f>IF($H63="","",'03_Functionalities'!$L63)</x:f>
      </x:c>
      <x:c r="R63" s="32" t="str">
        <x:f>IF($H63="","",'03_Functionalities'!$M63)</x:f>
      </x:c>
      <x:c r="S63" s="32" t="str">
        <x:f>IF($H63="","",'03_Functionalities'!$N63)</x:f>
      </x:c>
      <x:c r="T63" s="32" t="str">
        <x:f>IF($H63="","",'03_Functionalities'!$O63)</x:f>
      </x:c>
      <x:c r="U63" s="32" t="str">
        <x:f>IF($A63="","",IFERROR(XLOOKUP($A63,'01_Products'!$A$5:$A$500,'01_Products'!$G$5:$G$500),""))</x:f>
      </x:c>
      <x:c r="V63" s="32" t="str">
        <x:f>IF($D63="","",IFERROR(XLOOKUP($D63,'02_Features'!$A$5:$A$1000,'02_Features'!$J$5:$J$1000),""))</x:f>
      </x:c>
      <x:c r="W63" s="32" t="str">
        <x:f>IF($H63="","",'03_Functionalities'!$P63)</x:f>
      </x:c>
      <x:c r="X63" s="32" t="str">
        <x:f>IF($H63="","",'03_Functionalities'!$Q63)</x:f>
      </x:c>
      <x:c r="Y63" s="38"/>
      <x:c r="Z63" s="38"/>
    </x:row>
    <x:row r="64" ht="18" customHeight="1">
      <x:c r="A64" s="32" t="str">
        <x:f>IF('03_Functionalities'!$A64="","",'03_Functionalities'!$C64)</x:f>
      </x:c>
      <x:c r="B64" s="32" t="str">
        <x:f>IF($A64="","",IFERROR(XLOOKUP($A64,'01_Products'!$A$5:$A$500,'01_Products'!$B$5:$B$500),""))</x:f>
      </x:c>
      <x:c r="C64" s="32" t="str">
        <x:f>IF($A64="","",IFERROR(XLOOKUP($A64,'01_Products'!$A$5:$A$500,'01_Products'!$C$5:$C$500),""))</x:f>
      </x:c>
      <x:c r="D64" s="32" t="str">
        <x:f>IF('03_Functionalities'!$A64="","",'03_Functionalities'!$B64)</x:f>
      </x:c>
      <x:c r="E64" s="32" t="str">
        <x:f>IF($D64="","",IFERROR(XLOOKUP($D64,'02_Features'!$A$5:$A$1000,'02_Features'!$C$5:$C$1000),""))</x:f>
      </x:c>
      <x:c r="F64" s="32" t="str">
        <x:f>IF($D64="","",IFERROR(XLOOKUP($D64,'02_Features'!$A$5:$A$1000,'02_Features'!$D$5:$D$1000),""))</x:f>
      </x:c>
      <x:c r="G64" s="32" t="str">
        <x:f>IF($D64="","",IFERROR(XLOOKUP($D64,'02_Features'!$A$5:$A$1000,'02_Features'!$E$5:$E$1000),""))</x:f>
      </x:c>
      <x:c r="H64" s="32" t="str">
        <x:f>IF('03_Functionalities'!$A64="","",'03_Functionalities'!$A64)</x:f>
      </x:c>
      <x:c r="I64" s="32" t="str">
        <x:f>IF($H64="","",'03_Functionalities'!$D64)</x:f>
      </x:c>
      <x:c r="J64" s="32" t="str">
        <x:f>IF($H64="","",'03_Functionalities'!$E64)</x:f>
      </x:c>
      <x:c r="K64" s="32" t="str">
        <x:f>IF($H64="","",'03_Functionalities'!$F64)</x:f>
      </x:c>
      <x:c r="L64" s="32" t="str">
        <x:f>IF($H64="","",'03_Functionalities'!$G64)</x:f>
      </x:c>
      <x:c r="M64" s="32" t="str">
        <x:f>IF($H64="","",'03_Functionalities'!$H64)</x:f>
      </x:c>
      <x:c r="N64" s="32" t="str">
        <x:f>IF($H64="","",'03_Functionalities'!$I64)</x:f>
      </x:c>
      <x:c r="O64" s="32" t="str">
        <x:f>IF($H64="","",'03_Functionalities'!$J64)</x:f>
      </x:c>
      <x:c r="P64" s="32" t="str">
        <x:f>IF($H64="","",'03_Functionalities'!$K64)</x:f>
      </x:c>
      <x:c r="Q64" s="32" t="str">
        <x:f>IF($H64="","",'03_Functionalities'!$L64)</x:f>
      </x:c>
      <x:c r="R64" s="32" t="str">
        <x:f>IF($H64="","",'03_Functionalities'!$M64)</x:f>
      </x:c>
      <x:c r="S64" s="32" t="str">
        <x:f>IF($H64="","",'03_Functionalities'!$N64)</x:f>
      </x:c>
      <x:c r="T64" s="32" t="str">
        <x:f>IF($H64="","",'03_Functionalities'!$O64)</x:f>
      </x:c>
      <x:c r="U64" s="32" t="str">
        <x:f>IF($A64="","",IFERROR(XLOOKUP($A64,'01_Products'!$A$5:$A$500,'01_Products'!$G$5:$G$500),""))</x:f>
      </x:c>
      <x:c r="V64" s="32" t="str">
        <x:f>IF($D64="","",IFERROR(XLOOKUP($D64,'02_Features'!$A$5:$A$1000,'02_Features'!$J$5:$J$1000),""))</x:f>
      </x:c>
      <x:c r="W64" s="32" t="str">
        <x:f>IF($H64="","",'03_Functionalities'!$P64)</x:f>
      </x:c>
      <x:c r="X64" s="32" t="str">
        <x:f>IF($H64="","",'03_Functionalities'!$Q64)</x:f>
      </x:c>
      <x:c r="Y64" s="38"/>
      <x:c r="Z64" s="38"/>
    </x:row>
    <x:row r="65" ht="18" customHeight="1">
      <x:c r="A65" s="32" t="str">
        <x:f>IF('03_Functionalities'!$A65="","",'03_Functionalities'!$C65)</x:f>
      </x:c>
      <x:c r="B65" s="32" t="str">
        <x:f>IF($A65="","",IFERROR(XLOOKUP($A65,'01_Products'!$A$5:$A$500,'01_Products'!$B$5:$B$500),""))</x:f>
      </x:c>
      <x:c r="C65" s="32" t="str">
        <x:f>IF($A65="","",IFERROR(XLOOKUP($A65,'01_Products'!$A$5:$A$500,'01_Products'!$C$5:$C$500),""))</x:f>
      </x:c>
      <x:c r="D65" s="32" t="str">
        <x:f>IF('03_Functionalities'!$A65="","",'03_Functionalities'!$B65)</x:f>
      </x:c>
      <x:c r="E65" s="32" t="str">
        <x:f>IF($D65="","",IFERROR(XLOOKUP($D65,'02_Features'!$A$5:$A$1000,'02_Features'!$C$5:$C$1000),""))</x:f>
      </x:c>
      <x:c r="F65" s="32" t="str">
        <x:f>IF($D65="","",IFERROR(XLOOKUP($D65,'02_Features'!$A$5:$A$1000,'02_Features'!$D$5:$D$1000),""))</x:f>
      </x:c>
      <x:c r="G65" s="32" t="str">
        <x:f>IF($D65="","",IFERROR(XLOOKUP($D65,'02_Features'!$A$5:$A$1000,'02_Features'!$E$5:$E$1000),""))</x:f>
      </x:c>
      <x:c r="H65" s="32" t="str">
        <x:f>IF('03_Functionalities'!$A65="","",'03_Functionalities'!$A65)</x:f>
      </x:c>
      <x:c r="I65" s="32" t="str">
        <x:f>IF($H65="","",'03_Functionalities'!$D65)</x:f>
      </x:c>
      <x:c r="J65" s="32" t="str">
        <x:f>IF($H65="","",'03_Functionalities'!$E65)</x:f>
      </x:c>
      <x:c r="K65" s="32" t="str">
        <x:f>IF($H65="","",'03_Functionalities'!$F65)</x:f>
      </x:c>
      <x:c r="L65" s="32" t="str">
        <x:f>IF($H65="","",'03_Functionalities'!$G65)</x:f>
      </x:c>
      <x:c r="M65" s="32" t="str">
        <x:f>IF($H65="","",'03_Functionalities'!$H65)</x:f>
      </x:c>
      <x:c r="N65" s="32" t="str">
        <x:f>IF($H65="","",'03_Functionalities'!$I65)</x:f>
      </x:c>
      <x:c r="O65" s="32" t="str">
        <x:f>IF($H65="","",'03_Functionalities'!$J65)</x:f>
      </x:c>
      <x:c r="P65" s="32" t="str">
        <x:f>IF($H65="","",'03_Functionalities'!$K65)</x:f>
      </x:c>
      <x:c r="Q65" s="32" t="str">
        <x:f>IF($H65="","",'03_Functionalities'!$L65)</x:f>
      </x:c>
      <x:c r="R65" s="32" t="str">
        <x:f>IF($H65="","",'03_Functionalities'!$M65)</x:f>
      </x:c>
      <x:c r="S65" s="32" t="str">
        <x:f>IF($H65="","",'03_Functionalities'!$N65)</x:f>
      </x:c>
      <x:c r="T65" s="32" t="str">
        <x:f>IF($H65="","",'03_Functionalities'!$O65)</x:f>
      </x:c>
      <x:c r="U65" s="32" t="str">
        <x:f>IF($A65="","",IFERROR(XLOOKUP($A65,'01_Products'!$A$5:$A$500,'01_Products'!$G$5:$G$500),""))</x:f>
      </x:c>
      <x:c r="V65" s="32" t="str">
        <x:f>IF($D65="","",IFERROR(XLOOKUP($D65,'02_Features'!$A$5:$A$1000,'02_Features'!$J$5:$J$1000),""))</x:f>
      </x:c>
      <x:c r="W65" s="32" t="str">
        <x:f>IF($H65="","",'03_Functionalities'!$P65)</x:f>
      </x:c>
      <x:c r="X65" s="32" t="str">
        <x:f>IF($H65="","",'03_Functionalities'!$Q65)</x:f>
      </x:c>
      <x:c r="Y65" s="38"/>
      <x:c r="Z65" s="38"/>
    </x:row>
    <x:row r="66" ht="18" customHeight="1">
      <x:c r="A66" s="32" t="str">
        <x:f>IF('03_Functionalities'!$A66="","",'03_Functionalities'!$C66)</x:f>
      </x:c>
      <x:c r="B66" s="32" t="str">
        <x:f>IF($A66="","",IFERROR(XLOOKUP($A66,'01_Products'!$A$5:$A$500,'01_Products'!$B$5:$B$500),""))</x:f>
      </x:c>
      <x:c r="C66" s="32" t="str">
        <x:f>IF($A66="","",IFERROR(XLOOKUP($A66,'01_Products'!$A$5:$A$500,'01_Products'!$C$5:$C$500),""))</x:f>
      </x:c>
      <x:c r="D66" s="32" t="str">
        <x:f>IF('03_Functionalities'!$A66="","",'03_Functionalities'!$B66)</x:f>
      </x:c>
      <x:c r="E66" s="32" t="str">
        <x:f>IF($D66="","",IFERROR(XLOOKUP($D66,'02_Features'!$A$5:$A$1000,'02_Features'!$C$5:$C$1000),""))</x:f>
      </x:c>
      <x:c r="F66" s="32" t="str">
        <x:f>IF($D66="","",IFERROR(XLOOKUP($D66,'02_Features'!$A$5:$A$1000,'02_Features'!$D$5:$D$1000),""))</x:f>
      </x:c>
      <x:c r="G66" s="32" t="str">
        <x:f>IF($D66="","",IFERROR(XLOOKUP($D66,'02_Features'!$A$5:$A$1000,'02_Features'!$E$5:$E$1000),""))</x:f>
      </x:c>
      <x:c r="H66" s="32" t="str">
        <x:f>IF('03_Functionalities'!$A66="","",'03_Functionalities'!$A66)</x:f>
      </x:c>
      <x:c r="I66" s="32" t="str">
        <x:f>IF($H66="","",'03_Functionalities'!$D66)</x:f>
      </x:c>
      <x:c r="J66" s="32" t="str">
        <x:f>IF($H66="","",'03_Functionalities'!$E66)</x:f>
      </x:c>
      <x:c r="K66" s="32" t="str">
        <x:f>IF($H66="","",'03_Functionalities'!$F66)</x:f>
      </x:c>
      <x:c r="L66" s="32" t="str">
        <x:f>IF($H66="","",'03_Functionalities'!$G66)</x:f>
      </x:c>
      <x:c r="M66" s="32" t="str">
        <x:f>IF($H66="","",'03_Functionalities'!$H66)</x:f>
      </x:c>
      <x:c r="N66" s="32" t="str">
        <x:f>IF($H66="","",'03_Functionalities'!$I66)</x:f>
      </x:c>
      <x:c r="O66" s="32" t="str">
        <x:f>IF($H66="","",'03_Functionalities'!$J66)</x:f>
      </x:c>
      <x:c r="P66" s="32" t="str">
        <x:f>IF($H66="","",'03_Functionalities'!$K66)</x:f>
      </x:c>
      <x:c r="Q66" s="32" t="str">
        <x:f>IF($H66="","",'03_Functionalities'!$L66)</x:f>
      </x:c>
      <x:c r="R66" s="32" t="str">
        <x:f>IF($H66="","",'03_Functionalities'!$M66)</x:f>
      </x:c>
      <x:c r="S66" s="32" t="str">
        <x:f>IF($H66="","",'03_Functionalities'!$N66)</x:f>
      </x:c>
      <x:c r="T66" s="32" t="str">
        <x:f>IF($H66="","",'03_Functionalities'!$O66)</x:f>
      </x:c>
      <x:c r="U66" s="32" t="str">
        <x:f>IF($A66="","",IFERROR(XLOOKUP($A66,'01_Products'!$A$5:$A$500,'01_Products'!$G$5:$G$500),""))</x:f>
      </x:c>
      <x:c r="V66" s="32" t="str">
        <x:f>IF($D66="","",IFERROR(XLOOKUP($D66,'02_Features'!$A$5:$A$1000,'02_Features'!$J$5:$J$1000),""))</x:f>
      </x:c>
      <x:c r="W66" s="32" t="str">
        <x:f>IF($H66="","",'03_Functionalities'!$P66)</x:f>
      </x:c>
      <x:c r="X66" s="32" t="str">
        <x:f>IF($H66="","",'03_Functionalities'!$Q66)</x:f>
      </x:c>
      <x:c r="Y66" s="38"/>
      <x:c r="Z66" s="38"/>
    </x:row>
    <x:row r="67" ht="18" customHeight="1">
      <x:c r="A67" s="32" t="str">
        <x:f>IF('03_Functionalities'!$A67="","",'03_Functionalities'!$C67)</x:f>
      </x:c>
      <x:c r="B67" s="32" t="str">
        <x:f>IF($A67="","",IFERROR(XLOOKUP($A67,'01_Products'!$A$5:$A$500,'01_Products'!$B$5:$B$500),""))</x:f>
      </x:c>
      <x:c r="C67" s="32" t="str">
        <x:f>IF($A67="","",IFERROR(XLOOKUP($A67,'01_Products'!$A$5:$A$500,'01_Products'!$C$5:$C$500),""))</x:f>
      </x:c>
      <x:c r="D67" s="32" t="str">
        <x:f>IF('03_Functionalities'!$A67="","",'03_Functionalities'!$B67)</x:f>
      </x:c>
      <x:c r="E67" s="32" t="str">
        <x:f>IF($D67="","",IFERROR(XLOOKUP($D67,'02_Features'!$A$5:$A$1000,'02_Features'!$C$5:$C$1000),""))</x:f>
      </x:c>
      <x:c r="F67" s="32" t="str">
        <x:f>IF($D67="","",IFERROR(XLOOKUP($D67,'02_Features'!$A$5:$A$1000,'02_Features'!$D$5:$D$1000),""))</x:f>
      </x:c>
      <x:c r="G67" s="32" t="str">
        <x:f>IF($D67="","",IFERROR(XLOOKUP($D67,'02_Features'!$A$5:$A$1000,'02_Features'!$E$5:$E$1000),""))</x:f>
      </x:c>
      <x:c r="H67" s="32" t="str">
        <x:f>IF('03_Functionalities'!$A67="","",'03_Functionalities'!$A67)</x:f>
      </x:c>
      <x:c r="I67" s="32" t="str">
        <x:f>IF($H67="","",'03_Functionalities'!$D67)</x:f>
      </x:c>
      <x:c r="J67" s="32" t="str">
        <x:f>IF($H67="","",'03_Functionalities'!$E67)</x:f>
      </x:c>
      <x:c r="K67" s="32" t="str">
        <x:f>IF($H67="","",'03_Functionalities'!$F67)</x:f>
      </x:c>
      <x:c r="L67" s="32" t="str">
        <x:f>IF($H67="","",'03_Functionalities'!$G67)</x:f>
      </x:c>
      <x:c r="M67" s="32" t="str">
        <x:f>IF($H67="","",'03_Functionalities'!$H67)</x:f>
      </x:c>
      <x:c r="N67" s="32" t="str">
        <x:f>IF($H67="","",'03_Functionalities'!$I67)</x:f>
      </x:c>
      <x:c r="O67" s="32" t="str">
        <x:f>IF($H67="","",'03_Functionalities'!$J67)</x:f>
      </x:c>
      <x:c r="P67" s="32" t="str">
        <x:f>IF($H67="","",'03_Functionalities'!$K67)</x:f>
      </x:c>
      <x:c r="Q67" s="32" t="str">
        <x:f>IF($H67="","",'03_Functionalities'!$L67)</x:f>
      </x:c>
      <x:c r="R67" s="32" t="str">
        <x:f>IF($H67="","",'03_Functionalities'!$M67)</x:f>
      </x:c>
      <x:c r="S67" s="32" t="str">
        <x:f>IF($H67="","",'03_Functionalities'!$N67)</x:f>
      </x:c>
      <x:c r="T67" s="32" t="str">
        <x:f>IF($H67="","",'03_Functionalities'!$O67)</x:f>
      </x:c>
      <x:c r="U67" s="32" t="str">
        <x:f>IF($A67="","",IFERROR(XLOOKUP($A67,'01_Products'!$A$5:$A$500,'01_Products'!$G$5:$G$500),""))</x:f>
      </x:c>
      <x:c r="V67" s="32" t="str">
        <x:f>IF($D67="","",IFERROR(XLOOKUP($D67,'02_Features'!$A$5:$A$1000,'02_Features'!$J$5:$J$1000),""))</x:f>
      </x:c>
      <x:c r="W67" s="32" t="str">
        <x:f>IF($H67="","",'03_Functionalities'!$P67)</x:f>
      </x:c>
      <x:c r="X67" s="32" t="str">
        <x:f>IF($H67="","",'03_Functionalities'!$Q67)</x:f>
      </x:c>
      <x:c r="Y67" s="38"/>
      <x:c r="Z67" s="38"/>
    </x:row>
    <x:row r="68" ht="18" customHeight="1">
      <x:c r="A68" s="32" t="str">
        <x:f>IF('03_Functionalities'!$A68="","",'03_Functionalities'!$C68)</x:f>
      </x:c>
      <x:c r="B68" s="32" t="str">
        <x:f>IF($A68="","",IFERROR(XLOOKUP($A68,'01_Products'!$A$5:$A$500,'01_Products'!$B$5:$B$500),""))</x:f>
      </x:c>
      <x:c r="C68" s="32" t="str">
        <x:f>IF($A68="","",IFERROR(XLOOKUP($A68,'01_Products'!$A$5:$A$500,'01_Products'!$C$5:$C$500),""))</x:f>
      </x:c>
      <x:c r="D68" s="32" t="str">
        <x:f>IF('03_Functionalities'!$A68="","",'03_Functionalities'!$B68)</x:f>
      </x:c>
      <x:c r="E68" s="32" t="str">
        <x:f>IF($D68="","",IFERROR(XLOOKUP($D68,'02_Features'!$A$5:$A$1000,'02_Features'!$C$5:$C$1000),""))</x:f>
      </x:c>
      <x:c r="F68" s="32" t="str">
        <x:f>IF($D68="","",IFERROR(XLOOKUP($D68,'02_Features'!$A$5:$A$1000,'02_Features'!$D$5:$D$1000),""))</x:f>
      </x:c>
      <x:c r="G68" s="32" t="str">
        <x:f>IF($D68="","",IFERROR(XLOOKUP($D68,'02_Features'!$A$5:$A$1000,'02_Features'!$E$5:$E$1000),""))</x:f>
      </x:c>
      <x:c r="H68" s="32" t="str">
        <x:f>IF('03_Functionalities'!$A68="","",'03_Functionalities'!$A68)</x:f>
      </x:c>
      <x:c r="I68" s="32" t="str">
        <x:f>IF($H68="","",'03_Functionalities'!$D68)</x:f>
      </x:c>
      <x:c r="J68" s="32" t="str">
        <x:f>IF($H68="","",'03_Functionalities'!$E68)</x:f>
      </x:c>
      <x:c r="K68" s="32" t="str">
        <x:f>IF($H68="","",'03_Functionalities'!$F68)</x:f>
      </x:c>
      <x:c r="L68" s="32" t="str">
        <x:f>IF($H68="","",'03_Functionalities'!$G68)</x:f>
      </x:c>
      <x:c r="M68" s="32" t="str">
        <x:f>IF($H68="","",'03_Functionalities'!$H68)</x:f>
      </x:c>
      <x:c r="N68" s="32" t="str">
        <x:f>IF($H68="","",'03_Functionalities'!$I68)</x:f>
      </x:c>
      <x:c r="O68" s="32" t="str">
        <x:f>IF($H68="","",'03_Functionalities'!$J68)</x:f>
      </x:c>
      <x:c r="P68" s="32" t="str">
        <x:f>IF($H68="","",'03_Functionalities'!$K68)</x:f>
      </x:c>
      <x:c r="Q68" s="32" t="str">
        <x:f>IF($H68="","",'03_Functionalities'!$L68)</x:f>
      </x:c>
      <x:c r="R68" s="32" t="str">
        <x:f>IF($H68="","",'03_Functionalities'!$M68)</x:f>
      </x:c>
      <x:c r="S68" s="32" t="str">
        <x:f>IF($H68="","",'03_Functionalities'!$N68)</x:f>
      </x:c>
      <x:c r="T68" s="32" t="str">
        <x:f>IF($H68="","",'03_Functionalities'!$O68)</x:f>
      </x:c>
      <x:c r="U68" s="32" t="str">
        <x:f>IF($A68="","",IFERROR(XLOOKUP($A68,'01_Products'!$A$5:$A$500,'01_Products'!$G$5:$G$500),""))</x:f>
      </x:c>
      <x:c r="V68" s="32" t="str">
        <x:f>IF($D68="","",IFERROR(XLOOKUP($D68,'02_Features'!$A$5:$A$1000,'02_Features'!$J$5:$J$1000),""))</x:f>
      </x:c>
      <x:c r="W68" s="32" t="str">
        <x:f>IF($H68="","",'03_Functionalities'!$P68)</x:f>
      </x:c>
      <x:c r="X68" s="32" t="str">
        <x:f>IF($H68="","",'03_Functionalities'!$Q68)</x:f>
      </x:c>
      <x:c r="Y68" s="38"/>
      <x:c r="Z68" s="38"/>
    </x:row>
    <x:row r="69" ht="18" customHeight="1">
      <x:c r="A69" s="32" t="str">
        <x:f>IF('03_Functionalities'!$A69="","",'03_Functionalities'!$C69)</x:f>
      </x:c>
      <x:c r="B69" s="32" t="str">
        <x:f>IF($A69="","",IFERROR(XLOOKUP($A69,'01_Products'!$A$5:$A$500,'01_Products'!$B$5:$B$500),""))</x:f>
      </x:c>
      <x:c r="C69" s="32" t="str">
        <x:f>IF($A69="","",IFERROR(XLOOKUP($A69,'01_Products'!$A$5:$A$500,'01_Products'!$C$5:$C$500),""))</x:f>
      </x:c>
      <x:c r="D69" s="32" t="str">
        <x:f>IF('03_Functionalities'!$A69="","",'03_Functionalities'!$B69)</x:f>
      </x:c>
      <x:c r="E69" s="32" t="str">
        <x:f>IF($D69="","",IFERROR(XLOOKUP($D69,'02_Features'!$A$5:$A$1000,'02_Features'!$C$5:$C$1000),""))</x:f>
      </x:c>
      <x:c r="F69" s="32" t="str">
        <x:f>IF($D69="","",IFERROR(XLOOKUP($D69,'02_Features'!$A$5:$A$1000,'02_Features'!$D$5:$D$1000),""))</x:f>
      </x:c>
      <x:c r="G69" s="32" t="str">
        <x:f>IF($D69="","",IFERROR(XLOOKUP($D69,'02_Features'!$A$5:$A$1000,'02_Features'!$E$5:$E$1000),""))</x:f>
      </x:c>
      <x:c r="H69" s="32" t="str">
        <x:f>IF('03_Functionalities'!$A69="","",'03_Functionalities'!$A69)</x:f>
      </x:c>
      <x:c r="I69" s="32" t="str">
        <x:f>IF($H69="","",'03_Functionalities'!$D69)</x:f>
      </x:c>
      <x:c r="J69" s="32" t="str">
        <x:f>IF($H69="","",'03_Functionalities'!$E69)</x:f>
      </x:c>
      <x:c r="K69" s="32" t="str">
        <x:f>IF($H69="","",'03_Functionalities'!$F69)</x:f>
      </x:c>
      <x:c r="L69" s="32" t="str">
        <x:f>IF($H69="","",'03_Functionalities'!$G69)</x:f>
      </x:c>
      <x:c r="M69" s="32" t="str">
        <x:f>IF($H69="","",'03_Functionalities'!$H69)</x:f>
      </x:c>
      <x:c r="N69" s="32" t="str">
        <x:f>IF($H69="","",'03_Functionalities'!$I69)</x:f>
      </x:c>
      <x:c r="O69" s="32" t="str">
        <x:f>IF($H69="","",'03_Functionalities'!$J69)</x:f>
      </x:c>
      <x:c r="P69" s="32" t="str">
        <x:f>IF($H69="","",'03_Functionalities'!$K69)</x:f>
      </x:c>
      <x:c r="Q69" s="32" t="str">
        <x:f>IF($H69="","",'03_Functionalities'!$L69)</x:f>
      </x:c>
      <x:c r="R69" s="32" t="str">
        <x:f>IF($H69="","",'03_Functionalities'!$M69)</x:f>
      </x:c>
      <x:c r="S69" s="32" t="str">
        <x:f>IF($H69="","",'03_Functionalities'!$N69)</x:f>
      </x:c>
      <x:c r="T69" s="32" t="str">
        <x:f>IF($H69="","",'03_Functionalities'!$O69)</x:f>
      </x:c>
      <x:c r="U69" s="32" t="str">
        <x:f>IF($A69="","",IFERROR(XLOOKUP($A69,'01_Products'!$A$5:$A$500,'01_Products'!$G$5:$G$500),""))</x:f>
      </x:c>
      <x:c r="V69" s="32" t="str">
        <x:f>IF($D69="","",IFERROR(XLOOKUP($D69,'02_Features'!$A$5:$A$1000,'02_Features'!$J$5:$J$1000),""))</x:f>
      </x:c>
      <x:c r="W69" s="32" t="str">
        <x:f>IF($H69="","",'03_Functionalities'!$P69)</x:f>
      </x:c>
      <x:c r="X69" s="32" t="str">
        <x:f>IF($H69="","",'03_Functionalities'!$Q69)</x:f>
      </x:c>
      <x:c r="Y69" s="38"/>
      <x:c r="Z69" s="38"/>
    </x:row>
    <x:row r="70" ht="18" customHeight="1">
      <x:c r="A70" s="32" t="str">
        <x:f>IF('03_Functionalities'!$A70="","",'03_Functionalities'!$C70)</x:f>
      </x:c>
      <x:c r="B70" s="32" t="str">
        <x:f>IF($A70="","",IFERROR(XLOOKUP($A70,'01_Products'!$A$5:$A$500,'01_Products'!$B$5:$B$500),""))</x:f>
      </x:c>
      <x:c r="C70" s="32" t="str">
        <x:f>IF($A70="","",IFERROR(XLOOKUP($A70,'01_Products'!$A$5:$A$500,'01_Products'!$C$5:$C$500),""))</x:f>
      </x:c>
      <x:c r="D70" s="32" t="str">
        <x:f>IF('03_Functionalities'!$A70="","",'03_Functionalities'!$B70)</x:f>
      </x:c>
      <x:c r="E70" s="32" t="str">
        <x:f>IF($D70="","",IFERROR(XLOOKUP($D70,'02_Features'!$A$5:$A$1000,'02_Features'!$C$5:$C$1000),""))</x:f>
      </x:c>
      <x:c r="F70" s="32" t="str">
        <x:f>IF($D70="","",IFERROR(XLOOKUP($D70,'02_Features'!$A$5:$A$1000,'02_Features'!$D$5:$D$1000),""))</x:f>
      </x:c>
      <x:c r="G70" s="32" t="str">
        <x:f>IF($D70="","",IFERROR(XLOOKUP($D70,'02_Features'!$A$5:$A$1000,'02_Features'!$E$5:$E$1000),""))</x:f>
      </x:c>
      <x:c r="H70" s="32" t="str">
        <x:f>IF('03_Functionalities'!$A70="","",'03_Functionalities'!$A70)</x:f>
      </x:c>
      <x:c r="I70" s="32" t="str">
        <x:f>IF($H70="","",'03_Functionalities'!$D70)</x:f>
      </x:c>
      <x:c r="J70" s="32" t="str">
        <x:f>IF($H70="","",'03_Functionalities'!$E70)</x:f>
      </x:c>
      <x:c r="K70" s="32" t="str">
        <x:f>IF($H70="","",'03_Functionalities'!$F70)</x:f>
      </x:c>
      <x:c r="L70" s="32" t="str">
        <x:f>IF($H70="","",'03_Functionalities'!$G70)</x:f>
      </x:c>
      <x:c r="M70" s="32" t="str">
        <x:f>IF($H70="","",'03_Functionalities'!$H70)</x:f>
      </x:c>
      <x:c r="N70" s="32" t="str">
        <x:f>IF($H70="","",'03_Functionalities'!$I70)</x:f>
      </x:c>
      <x:c r="O70" s="32" t="str">
        <x:f>IF($H70="","",'03_Functionalities'!$J70)</x:f>
      </x:c>
      <x:c r="P70" s="32" t="str">
        <x:f>IF($H70="","",'03_Functionalities'!$K70)</x:f>
      </x:c>
      <x:c r="Q70" s="32" t="str">
        <x:f>IF($H70="","",'03_Functionalities'!$L70)</x:f>
      </x:c>
      <x:c r="R70" s="32" t="str">
        <x:f>IF($H70="","",'03_Functionalities'!$M70)</x:f>
      </x:c>
      <x:c r="S70" s="32" t="str">
        <x:f>IF($H70="","",'03_Functionalities'!$N70)</x:f>
      </x:c>
      <x:c r="T70" s="32" t="str">
        <x:f>IF($H70="","",'03_Functionalities'!$O70)</x:f>
      </x:c>
      <x:c r="U70" s="32" t="str">
        <x:f>IF($A70="","",IFERROR(XLOOKUP($A70,'01_Products'!$A$5:$A$500,'01_Products'!$G$5:$G$500),""))</x:f>
      </x:c>
      <x:c r="V70" s="32" t="str">
        <x:f>IF($D70="","",IFERROR(XLOOKUP($D70,'02_Features'!$A$5:$A$1000,'02_Features'!$J$5:$J$1000),""))</x:f>
      </x:c>
      <x:c r="W70" s="32" t="str">
        <x:f>IF($H70="","",'03_Functionalities'!$P70)</x:f>
      </x:c>
      <x:c r="X70" s="32" t="str">
        <x:f>IF($H70="","",'03_Functionalities'!$Q70)</x:f>
      </x:c>
      <x:c r="Y70" s="38"/>
      <x:c r="Z70" s="38"/>
    </x:row>
    <x:row r="71" ht="18" customHeight="1">
      <x:c r="A71" s="32" t="str">
        <x:f>IF('03_Functionalities'!$A71="","",'03_Functionalities'!$C71)</x:f>
      </x:c>
      <x:c r="B71" s="32" t="str">
        <x:f>IF($A71="","",IFERROR(XLOOKUP($A71,'01_Products'!$A$5:$A$500,'01_Products'!$B$5:$B$500),""))</x:f>
      </x:c>
      <x:c r="C71" s="32" t="str">
        <x:f>IF($A71="","",IFERROR(XLOOKUP($A71,'01_Products'!$A$5:$A$500,'01_Products'!$C$5:$C$500),""))</x:f>
      </x:c>
      <x:c r="D71" s="32" t="str">
        <x:f>IF('03_Functionalities'!$A71="","",'03_Functionalities'!$B71)</x:f>
      </x:c>
      <x:c r="E71" s="32" t="str">
        <x:f>IF($D71="","",IFERROR(XLOOKUP($D71,'02_Features'!$A$5:$A$1000,'02_Features'!$C$5:$C$1000),""))</x:f>
      </x:c>
      <x:c r="F71" s="32" t="str">
        <x:f>IF($D71="","",IFERROR(XLOOKUP($D71,'02_Features'!$A$5:$A$1000,'02_Features'!$D$5:$D$1000),""))</x:f>
      </x:c>
      <x:c r="G71" s="32" t="str">
        <x:f>IF($D71="","",IFERROR(XLOOKUP($D71,'02_Features'!$A$5:$A$1000,'02_Features'!$E$5:$E$1000),""))</x:f>
      </x:c>
      <x:c r="H71" s="32" t="str">
        <x:f>IF('03_Functionalities'!$A71="","",'03_Functionalities'!$A71)</x:f>
      </x:c>
      <x:c r="I71" s="32" t="str">
        <x:f>IF($H71="","",'03_Functionalities'!$D71)</x:f>
      </x:c>
      <x:c r="J71" s="32" t="str">
        <x:f>IF($H71="","",'03_Functionalities'!$E71)</x:f>
      </x:c>
      <x:c r="K71" s="32" t="str">
        <x:f>IF($H71="","",'03_Functionalities'!$F71)</x:f>
      </x:c>
      <x:c r="L71" s="32" t="str">
        <x:f>IF($H71="","",'03_Functionalities'!$G71)</x:f>
      </x:c>
      <x:c r="M71" s="32" t="str">
        <x:f>IF($H71="","",'03_Functionalities'!$H71)</x:f>
      </x:c>
      <x:c r="N71" s="32" t="str">
        <x:f>IF($H71="","",'03_Functionalities'!$I71)</x:f>
      </x:c>
      <x:c r="O71" s="32" t="str">
        <x:f>IF($H71="","",'03_Functionalities'!$J71)</x:f>
      </x:c>
      <x:c r="P71" s="32" t="str">
        <x:f>IF($H71="","",'03_Functionalities'!$K71)</x:f>
      </x:c>
      <x:c r="Q71" s="32" t="str">
        <x:f>IF($H71="","",'03_Functionalities'!$L71)</x:f>
      </x:c>
      <x:c r="R71" s="32" t="str">
        <x:f>IF($H71="","",'03_Functionalities'!$M71)</x:f>
      </x:c>
      <x:c r="S71" s="32" t="str">
        <x:f>IF($H71="","",'03_Functionalities'!$N71)</x:f>
      </x:c>
      <x:c r="T71" s="32" t="str">
        <x:f>IF($H71="","",'03_Functionalities'!$O71)</x:f>
      </x:c>
      <x:c r="U71" s="32" t="str">
        <x:f>IF($A71="","",IFERROR(XLOOKUP($A71,'01_Products'!$A$5:$A$500,'01_Products'!$G$5:$G$500),""))</x:f>
      </x:c>
      <x:c r="V71" s="32" t="str">
        <x:f>IF($D71="","",IFERROR(XLOOKUP($D71,'02_Features'!$A$5:$A$1000,'02_Features'!$J$5:$J$1000),""))</x:f>
      </x:c>
      <x:c r="W71" s="32" t="str">
        <x:f>IF($H71="","",'03_Functionalities'!$P71)</x:f>
      </x:c>
      <x:c r="X71" s="32" t="str">
        <x:f>IF($H71="","",'03_Functionalities'!$Q71)</x:f>
      </x:c>
      <x:c r="Y71" s="38"/>
      <x:c r="Z71" s="38"/>
    </x:row>
    <x:row r="72" ht="18" customHeight="1">
      <x:c r="A72" s="32" t="str">
        <x:f>IF('03_Functionalities'!$A72="","",'03_Functionalities'!$C72)</x:f>
      </x:c>
      <x:c r="B72" s="32" t="str">
        <x:f>IF($A72="","",IFERROR(XLOOKUP($A72,'01_Products'!$A$5:$A$500,'01_Products'!$B$5:$B$500),""))</x:f>
      </x:c>
      <x:c r="C72" s="32" t="str">
        <x:f>IF($A72="","",IFERROR(XLOOKUP($A72,'01_Products'!$A$5:$A$500,'01_Products'!$C$5:$C$500),""))</x:f>
      </x:c>
      <x:c r="D72" s="32" t="str">
        <x:f>IF('03_Functionalities'!$A72="","",'03_Functionalities'!$B72)</x:f>
      </x:c>
      <x:c r="E72" s="32" t="str">
        <x:f>IF($D72="","",IFERROR(XLOOKUP($D72,'02_Features'!$A$5:$A$1000,'02_Features'!$C$5:$C$1000),""))</x:f>
      </x:c>
      <x:c r="F72" s="32" t="str">
        <x:f>IF($D72="","",IFERROR(XLOOKUP($D72,'02_Features'!$A$5:$A$1000,'02_Features'!$D$5:$D$1000),""))</x:f>
      </x:c>
      <x:c r="G72" s="32" t="str">
        <x:f>IF($D72="","",IFERROR(XLOOKUP($D72,'02_Features'!$A$5:$A$1000,'02_Features'!$E$5:$E$1000),""))</x:f>
      </x:c>
      <x:c r="H72" s="32" t="str">
        <x:f>IF('03_Functionalities'!$A72="","",'03_Functionalities'!$A72)</x:f>
      </x:c>
      <x:c r="I72" s="32" t="str">
        <x:f>IF($H72="","",'03_Functionalities'!$D72)</x:f>
      </x:c>
      <x:c r="J72" s="32" t="str">
        <x:f>IF($H72="","",'03_Functionalities'!$E72)</x:f>
      </x:c>
      <x:c r="K72" s="32" t="str">
        <x:f>IF($H72="","",'03_Functionalities'!$F72)</x:f>
      </x:c>
      <x:c r="L72" s="32" t="str">
        <x:f>IF($H72="","",'03_Functionalities'!$G72)</x:f>
      </x:c>
      <x:c r="M72" s="32" t="str">
        <x:f>IF($H72="","",'03_Functionalities'!$H72)</x:f>
      </x:c>
      <x:c r="N72" s="32" t="str">
        <x:f>IF($H72="","",'03_Functionalities'!$I72)</x:f>
      </x:c>
      <x:c r="O72" s="32" t="str">
        <x:f>IF($H72="","",'03_Functionalities'!$J72)</x:f>
      </x:c>
      <x:c r="P72" s="32" t="str">
        <x:f>IF($H72="","",'03_Functionalities'!$K72)</x:f>
      </x:c>
      <x:c r="Q72" s="32" t="str">
        <x:f>IF($H72="","",'03_Functionalities'!$L72)</x:f>
      </x:c>
      <x:c r="R72" s="32" t="str">
        <x:f>IF($H72="","",'03_Functionalities'!$M72)</x:f>
      </x:c>
      <x:c r="S72" s="32" t="str">
        <x:f>IF($H72="","",'03_Functionalities'!$N72)</x:f>
      </x:c>
      <x:c r="T72" s="32" t="str">
        <x:f>IF($H72="","",'03_Functionalities'!$O72)</x:f>
      </x:c>
      <x:c r="U72" s="32" t="str">
        <x:f>IF($A72="","",IFERROR(XLOOKUP($A72,'01_Products'!$A$5:$A$500,'01_Products'!$G$5:$G$500),""))</x:f>
      </x:c>
      <x:c r="V72" s="32" t="str">
        <x:f>IF($D72="","",IFERROR(XLOOKUP($D72,'02_Features'!$A$5:$A$1000,'02_Features'!$J$5:$J$1000),""))</x:f>
      </x:c>
      <x:c r="W72" s="32" t="str">
        <x:f>IF($H72="","",'03_Functionalities'!$P72)</x:f>
      </x:c>
      <x:c r="X72" s="32" t="str">
        <x:f>IF($H72="","",'03_Functionalities'!$Q72)</x:f>
      </x:c>
      <x:c r="Y72" s="38"/>
      <x:c r="Z72" s="38"/>
    </x:row>
    <x:row r="73" ht="18" customHeight="1">
      <x:c r="A73" s="32" t="str">
        <x:f>IF('03_Functionalities'!$A73="","",'03_Functionalities'!$C73)</x:f>
      </x:c>
      <x:c r="B73" s="32" t="str">
        <x:f>IF($A73="","",IFERROR(XLOOKUP($A73,'01_Products'!$A$5:$A$500,'01_Products'!$B$5:$B$500),""))</x:f>
      </x:c>
      <x:c r="C73" s="32" t="str">
        <x:f>IF($A73="","",IFERROR(XLOOKUP($A73,'01_Products'!$A$5:$A$500,'01_Products'!$C$5:$C$500),""))</x:f>
      </x:c>
      <x:c r="D73" s="32" t="str">
        <x:f>IF('03_Functionalities'!$A73="","",'03_Functionalities'!$B73)</x:f>
      </x:c>
      <x:c r="E73" s="32" t="str">
        <x:f>IF($D73="","",IFERROR(XLOOKUP($D73,'02_Features'!$A$5:$A$1000,'02_Features'!$C$5:$C$1000),""))</x:f>
      </x:c>
      <x:c r="F73" s="32" t="str">
        <x:f>IF($D73="","",IFERROR(XLOOKUP($D73,'02_Features'!$A$5:$A$1000,'02_Features'!$D$5:$D$1000),""))</x:f>
      </x:c>
      <x:c r="G73" s="32" t="str">
        <x:f>IF($D73="","",IFERROR(XLOOKUP($D73,'02_Features'!$A$5:$A$1000,'02_Features'!$E$5:$E$1000),""))</x:f>
      </x:c>
      <x:c r="H73" s="32" t="str">
        <x:f>IF('03_Functionalities'!$A73="","",'03_Functionalities'!$A73)</x:f>
      </x:c>
      <x:c r="I73" s="32" t="str">
        <x:f>IF($H73="","",'03_Functionalities'!$D73)</x:f>
      </x:c>
      <x:c r="J73" s="32" t="str">
        <x:f>IF($H73="","",'03_Functionalities'!$E73)</x:f>
      </x:c>
      <x:c r="K73" s="32" t="str">
        <x:f>IF($H73="","",'03_Functionalities'!$F73)</x:f>
      </x:c>
      <x:c r="L73" s="32" t="str">
        <x:f>IF($H73="","",'03_Functionalities'!$G73)</x:f>
      </x:c>
      <x:c r="M73" s="32" t="str">
        <x:f>IF($H73="","",'03_Functionalities'!$H73)</x:f>
      </x:c>
      <x:c r="N73" s="32" t="str">
        <x:f>IF($H73="","",'03_Functionalities'!$I73)</x:f>
      </x:c>
      <x:c r="O73" s="32" t="str">
        <x:f>IF($H73="","",'03_Functionalities'!$J73)</x:f>
      </x:c>
      <x:c r="P73" s="32" t="str">
        <x:f>IF($H73="","",'03_Functionalities'!$K73)</x:f>
      </x:c>
      <x:c r="Q73" s="32" t="str">
        <x:f>IF($H73="","",'03_Functionalities'!$L73)</x:f>
      </x:c>
      <x:c r="R73" s="32" t="str">
        <x:f>IF($H73="","",'03_Functionalities'!$M73)</x:f>
      </x:c>
      <x:c r="S73" s="32" t="str">
        <x:f>IF($H73="","",'03_Functionalities'!$N73)</x:f>
      </x:c>
      <x:c r="T73" s="32" t="str">
        <x:f>IF($H73="","",'03_Functionalities'!$O73)</x:f>
      </x:c>
      <x:c r="U73" s="32" t="str">
        <x:f>IF($A73="","",IFERROR(XLOOKUP($A73,'01_Products'!$A$5:$A$500,'01_Products'!$G$5:$G$500),""))</x:f>
      </x:c>
      <x:c r="V73" s="32" t="str">
        <x:f>IF($D73="","",IFERROR(XLOOKUP($D73,'02_Features'!$A$5:$A$1000,'02_Features'!$J$5:$J$1000),""))</x:f>
      </x:c>
      <x:c r="W73" s="32" t="str">
        <x:f>IF($H73="","",'03_Functionalities'!$P73)</x:f>
      </x:c>
      <x:c r="X73" s="32" t="str">
        <x:f>IF($H73="","",'03_Functionalities'!$Q73)</x:f>
      </x:c>
      <x:c r="Y73" s="38"/>
      <x:c r="Z73" s="38"/>
    </x:row>
    <x:row r="74" ht="18" customHeight="1">
      <x:c r="A74" s="32" t="str">
        <x:f>IF('03_Functionalities'!$A74="","",'03_Functionalities'!$C74)</x:f>
      </x:c>
      <x:c r="B74" s="32" t="str">
        <x:f>IF($A74="","",IFERROR(XLOOKUP($A74,'01_Products'!$A$5:$A$500,'01_Products'!$B$5:$B$500),""))</x:f>
      </x:c>
      <x:c r="C74" s="32" t="str">
        <x:f>IF($A74="","",IFERROR(XLOOKUP($A74,'01_Products'!$A$5:$A$500,'01_Products'!$C$5:$C$500),""))</x:f>
      </x:c>
      <x:c r="D74" s="32" t="str">
        <x:f>IF('03_Functionalities'!$A74="","",'03_Functionalities'!$B74)</x:f>
      </x:c>
      <x:c r="E74" s="32" t="str">
        <x:f>IF($D74="","",IFERROR(XLOOKUP($D74,'02_Features'!$A$5:$A$1000,'02_Features'!$C$5:$C$1000),""))</x:f>
      </x:c>
      <x:c r="F74" s="32" t="str">
        <x:f>IF($D74="","",IFERROR(XLOOKUP($D74,'02_Features'!$A$5:$A$1000,'02_Features'!$D$5:$D$1000),""))</x:f>
      </x:c>
      <x:c r="G74" s="32" t="str">
        <x:f>IF($D74="","",IFERROR(XLOOKUP($D74,'02_Features'!$A$5:$A$1000,'02_Features'!$E$5:$E$1000),""))</x:f>
      </x:c>
      <x:c r="H74" s="32" t="str">
        <x:f>IF('03_Functionalities'!$A74="","",'03_Functionalities'!$A74)</x:f>
      </x:c>
      <x:c r="I74" s="32" t="str">
        <x:f>IF($H74="","",'03_Functionalities'!$D74)</x:f>
      </x:c>
      <x:c r="J74" s="32" t="str">
        <x:f>IF($H74="","",'03_Functionalities'!$E74)</x:f>
      </x:c>
      <x:c r="K74" s="32" t="str">
        <x:f>IF($H74="","",'03_Functionalities'!$F74)</x:f>
      </x:c>
      <x:c r="L74" s="32" t="str">
        <x:f>IF($H74="","",'03_Functionalities'!$G74)</x:f>
      </x:c>
      <x:c r="M74" s="32" t="str">
        <x:f>IF($H74="","",'03_Functionalities'!$H74)</x:f>
      </x:c>
      <x:c r="N74" s="32" t="str">
        <x:f>IF($H74="","",'03_Functionalities'!$I74)</x:f>
      </x:c>
      <x:c r="O74" s="32" t="str">
        <x:f>IF($H74="","",'03_Functionalities'!$J74)</x:f>
      </x:c>
      <x:c r="P74" s="32" t="str">
        <x:f>IF($H74="","",'03_Functionalities'!$K74)</x:f>
      </x:c>
      <x:c r="Q74" s="32" t="str">
        <x:f>IF($H74="","",'03_Functionalities'!$L74)</x:f>
      </x:c>
      <x:c r="R74" s="32" t="str">
        <x:f>IF($H74="","",'03_Functionalities'!$M74)</x:f>
      </x:c>
      <x:c r="S74" s="32" t="str">
        <x:f>IF($H74="","",'03_Functionalities'!$N74)</x:f>
      </x:c>
      <x:c r="T74" s="32" t="str">
        <x:f>IF($H74="","",'03_Functionalities'!$O74)</x:f>
      </x:c>
      <x:c r="U74" s="32" t="str">
        <x:f>IF($A74="","",IFERROR(XLOOKUP($A74,'01_Products'!$A$5:$A$500,'01_Products'!$G$5:$G$500),""))</x:f>
      </x:c>
      <x:c r="V74" s="32" t="str">
        <x:f>IF($D74="","",IFERROR(XLOOKUP($D74,'02_Features'!$A$5:$A$1000,'02_Features'!$J$5:$J$1000),""))</x:f>
      </x:c>
      <x:c r="W74" s="32" t="str">
        <x:f>IF($H74="","",'03_Functionalities'!$P74)</x:f>
      </x:c>
      <x:c r="X74" s="32" t="str">
        <x:f>IF($H74="","",'03_Functionalities'!$Q74)</x:f>
      </x:c>
      <x:c r="Y74" s="38"/>
      <x:c r="Z74" s="38"/>
    </x:row>
    <x:row r="75" ht="18" customHeight="1">
      <x:c r="A75" s="32" t="str">
        <x:f>IF('03_Functionalities'!$A75="","",'03_Functionalities'!$C75)</x:f>
      </x:c>
      <x:c r="B75" s="32" t="str">
        <x:f>IF($A75="","",IFERROR(XLOOKUP($A75,'01_Products'!$A$5:$A$500,'01_Products'!$B$5:$B$500),""))</x:f>
      </x:c>
      <x:c r="C75" s="32" t="str">
        <x:f>IF($A75="","",IFERROR(XLOOKUP($A75,'01_Products'!$A$5:$A$500,'01_Products'!$C$5:$C$500),""))</x:f>
      </x:c>
      <x:c r="D75" s="32" t="str">
        <x:f>IF('03_Functionalities'!$A75="","",'03_Functionalities'!$B75)</x:f>
      </x:c>
      <x:c r="E75" s="32" t="str">
        <x:f>IF($D75="","",IFERROR(XLOOKUP($D75,'02_Features'!$A$5:$A$1000,'02_Features'!$C$5:$C$1000),""))</x:f>
      </x:c>
      <x:c r="F75" s="32" t="str">
        <x:f>IF($D75="","",IFERROR(XLOOKUP($D75,'02_Features'!$A$5:$A$1000,'02_Features'!$D$5:$D$1000),""))</x:f>
      </x:c>
      <x:c r="G75" s="32" t="str">
        <x:f>IF($D75="","",IFERROR(XLOOKUP($D75,'02_Features'!$A$5:$A$1000,'02_Features'!$E$5:$E$1000),""))</x:f>
      </x:c>
      <x:c r="H75" s="32" t="str">
        <x:f>IF('03_Functionalities'!$A75="","",'03_Functionalities'!$A75)</x:f>
      </x:c>
      <x:c r="I75" s="32" t="str">
        <x:f>IF($H75="","",'03_Functionalities'!$D75)</x:f>
      </x:c>
      <x:c r="J75" s="32" t="str">
        <x:f>IF($H75="","",'03_Functionalities'!$E75)</x:f>
      </x:c>
      <x:c r="K75" s="32" t="str">
        <x:f>IF($H75="","",'03_Functionalities'!$F75)</x:f>
      </x:c>
      <x:c r="L75" s="32" t="str">
        <x:f>IF($H75="","",'03_Functionalities'!$G75)</x:f>
      </x:c>
      <x:c r="M75" s="32" t="str">
        <x:f>IF($H75="","",'03_Functionalities'!$H75)</x:f>
      </x:c>
      <x:c r="N75" s="32" t="str">
        <x:f>IF($H75="","",'03_Functionalities'!$I75)</x:f>
      </x:c>
      <x:c r="O75" s="32" t="str">
        <x:f>IF($H75="","",'03_Functionalities'!$J75)</x:f>
      </x:c>
      <x:c r="P75" s="32" t="str">
        <x:f>IF($H75="","",'03_Functionalities'!$K75)</x:f>
      </x:c>
      <x:c r="Q75" s="32" t="str">
        <x:f>IF($H75="","",'03_Functionalities'!$L75)</x:f>
      </x:c>
      <x:c r="R75" s="32" t="str">
        <x:f>IF($H75="","",'03_Functionalities'!$M75)</x:f>
      </x:c>
      <x:c r="S75" s="32" t="str">
        <x:f>IF($H75="","",'03_Functionalities'!$N75)</x:f>
      </x:c>
      <x:c r="T75" s="32" t="str">
        <x:f>IF($H75="","",'03_Functionalities'!$O75)</x:f>
      </x:c>
      <x:c r="U75" s="32" t="str">
        <x:f>IF($A75="","",IFERROR(XLOOKUP($A75,'01_Products'!$A$5:$A$500,'01_Products'!$G$5:$G$500),""))</x:f>
      </x:c>
      <x:c r="V75" s="32" t="str">
        <x:f>IF($D75="","",IFERROR(XLOOKUP($D75,'02_Features'!$A$5:$A$1000,'02_Features'!$J$5:$J$1000),""))</x:f>
      </x:c>
      <x:c r="W75" s="32" t="str">
        <x:f>IF($H75="","",'03_Functionalities'!$P75)</x:f>
      </x:c>
      <x:c r="X75" s="32" t="str">
        <x:f>IF($H75="","",'03_Functionalities'!$Q75)</x:f>
      </x:c>
      <x:c r="Y75" s="38"/>
      <x:c r="Z75" s="38"/>
    </x:row>
    <x:row r="76" ht="18" customHeight="1">
      <x:c r="A76" s="32" t="str">
        <x:f>IF('03_Functionalities'!$A76="","",'03_Functionalities'!$C76)</x:f>
      </x:c>
      <x:c r="B76" s="32" t="str">
        <x:f>IF($A76="","",IFERROR(XLOOKUP($A76,'01_Products'!$A$5:$A$500,'01_Products'!$B$5:$B$500),""))</x:f>
      </x:c>
      <x:c r="C76" s="32" t="str">
        <x:f>IF($A76="","",IFERROR(XLOOKUP($A76,'01_Products'!$A$5:$A$500,'01_Products'!$C$5:$C$500),""))</x:f>
      </x:c>
      <x:c r="D76" s="32" t="str">
        <x:f>IF('03_Functionalities'!$A76="","",'03_Functionalities'!$B76)</x:f>
      </x:c>
      <x:c r="E76" s="32" t="str">
        <x:f>IF($D76="","",IFERROR(XLOOKUP($D76,'02_Features'!$A$5:$A$1000,'02_Features'!$C$5:$C$1000),""))</x:f>
      </x:c>
      <x:c r="F76" s="32" t="str">
        <x:f>IF($D76="","",IFERROR(XLOOKUP($D76,'02_Features'!$A$5:$A$1000,'02_Features'!$D$5:$D$1000),""))</x:f>
      </x:c>
      <x:c r="G76" s="32" t="str">
        <x:f>IF($D76="","",IFERROR(XLOOKUP($D76,'02_Features'!$A$5:$A$1000,'02_Features'!$E$5:$E$1000),""))</x:f>
      </x:c>
      <x:c r="H76" s="32" t="str">
        <x:f>IF('03_Functionalities'!$A76="","",'03_Functionalities'!$A76)</x:f>
      </x:c>
      <x:c r="I76" s="32" t="str">
        <x:f>IF($H76="","",'03_Functionalities'!$D76)</x:f>
      </x:c>
      <x:c r="J76" s="32" t="str">
        <x:f>IF($H76="","",'03_Functionalities'!$E76)</x:f>
      </x:c>
      <x:c r="K76" s="32" t="str">
        <x:f>IF($H76="","",'03_Functionalities'!$F76)</x:f>
      </x:c>
      <x:c r="L76" s="32" t="str">
        <x:f>IF($H76="","",'03_Functionalities'!$G76)</x:f>
      </x:c>
      <x:c r="M76" s="32" t="str">
        <x:f>IF($H76="","",'03_Functionalities'!$H76)</x:f>
      </x:c>
      <x:c r="N76" s="32" t="str">
        <x:f>IF($H76="","",'03_Functionalities'!$I76)</x:f>
      </x:c>
      <x:c r="O76" s="32" t="str">
        <x:f>IF($H76="","",'03_Functionalities'!$J76)</x:f>
      </x:c>
      <x:c r="P76" s="32" t="str">
        <x:f>IF($H76="","",'03_Functionalities'!$K76)</x:f>
      </x:c>
      <x:c r="Q76" s="32" t="str">
        <x:f>IF($H76="","",'03_Functionalities'!$L76)</x:f>
      </x:c>
      <x:c r="R76" s="32" t="str">
        <x:f>IF($H76="","",'03_Functionalities'!$M76)</x:f>
      </x:c>
      <x:c r="S76" s="32" t="str">
        <x:f>IF($H76="","",'03_Functionalities'!$N76)</x:f>
      </x:c>
      <x:c r="T76" s="32" t="str">
        <x:f>IF($H76="","",'03_Functionalities'!$O76)</x:f>
      </x:c>
      <x:c r="U76" s="32" t="str">
        <x:f>IF($A76="","",IFERROR(XLOOKUP($A76,'01_Products'!$A$5:$A$500,'01_Products'!$G$5:$G$500),""))</x:f>
      </x:c>
      <x:c r="V76" s="32" t="str">
        <x:f>IF($D76="","",IFERROR(XLOOKUP($D76,'02_Features'!$A$5:$A$1000,'02_Features'!$J$5:$J$1000),""))</x:f>
      </x:c>
      <x:c r="W76" s="32" t="str">
        <x:f>IF($H76="","",'03_Functionalities'!$P76)</x:f>
      </x:c>
      <x:c r="X76" s="32" t="str">
        <x:f>IF($H76="","",'03_Functionalities'!$Q76)</x:f>
      </x:c>
      <x:c r="Y76" s="38"/>
      <x:c r="Z76" s="38"/>
    </x:row>
    <x:row r="77" ht="18" customHeight="1">
      <x:c r="A77" s="32" t="str">
        <x:f>IF('03_Functionalities'!$A77="","",'03_Functionalities'!$C77)</x:f>
      </x:c>
      <x:c r="B77" s="32" t="str">
        <x:f>IF($A77="","",IFERROR(XLOOKUP($A77,'01_Products'!$A$5:$A$500,'01_Products'!$B$5:$B$500),""))</x:f>
      </x:c>
      <x:c r="C77" s="32" t="str">
        <x:f>IF($A77="","",IFERROR(XLOOKUP($A77,'01_Products'!$A$5:$A$500,'01_Products'!$C$5:$C$500),""))</x:f>
      </x:c>
      <x:c r="D77" s="32" t="str">
        <x:f>IF('03_Functionalities'!$A77="","",'03_Functionalities'!$B77)</x:f>
      </x:c>
      <x:c r="E77" s="32" t="str">
        <x:f>IF($D77="","",IFERROR(XLOOKUP($D77,'02_Features'!$A$5:$A$1000,'02_Features'!$C$5:$C$1000),""))</x:f>
      </x:c>
      <x:c r="F77" s="32" t="str">
        <x:f>IF($D77="","",IFERROR(XLOOKUP($D77,'02_Features'!$A$5:$A$1000,'02_Features'!$D$5:$D$1000),""))</x:f>
      </x:c>
      <x:c r="G77" s="32" t="str">
        <x:f>IF($D77="","",IFERROR(XLOOKUP($D77,'02_Features'!$A$5:$A$1000,'02_Features'!$E$5:$E$1000),""))</x:f>
      </x:c>
      <x:c r="H77" s="32" t="str">
        <x:f>IF('03_Functionalities'!$A77="","",'03_Functionalities'!$A77)</x:f>
      </x:c>
      <x:c r="I77" s="32" t="str">
        <x:f>IF($H77="","",'03_Functionalities'!$D77)</x:f>
      </x:c>
      <x:c r="J77" s="32" t="str">
        <x:f>IF($H77="","",'03_Functionalities'!$E77)</x:f>
      </x:c>
      <x:c r="K77" s="32" t="str">
        <x:f>IF($H77="","",'03_Functionalities'!$F77)</x:f>
      </x:c>
      <x:c r="L77" s="32" t="str">
        <x:f>IF($H77="","",'03_Functionalities'!$G77)</x:f>
      </x:c>
      <x:c r="M77" s="32" t="str">
        <x:f>IF($H77="","",'03_Functionalities'!$H77)</x:f>
      </x:c>
      <x:c r="N77" s="32" t="str">
        <x:f>IF($H77="","",'03_Functionalities'!$I77)</x:f>
      </x:c>
      <x:c r="O77" s="32" t="str">
        <x:f>IF($H77="","",'03_Functionalities'!$J77)</x:f>
      </x:c>
      <x:c r="P77" s="32" t="str">
        <x:f>IF($H77="","",'03_Functionalities'!$K77)</x:f>
      </x:c>
      <x:c r="Q77" s="32" t="str">
        <x:f>IF($H77="","",'03_Functionalities'!$L77)</x:f>
      </x:c>
      <x:c r="R77" s="32" t="str">
        <x:f>IF($H77="","",'03_Functionalities'!$M77)</x:f>
      </x:c>
      <x:c r="S77" s="32" t="str">
        <x:f>IF($H77="","",'03_Functionalities'!$N77)</x:f>
      </x:c>
      <x:c r="T77" s="32" t="str">
        <x:f>IF($H77="","",'03_Functionalities'!$O77)</x:f>
      </x:c>
      <x:c r="U77" s="32" t="str">
        <x:f>IF($A77="","",IFERROR(XLOOKUP($A77,'01_Products'!$A$5:$A$500,'01_Products'!$G$5:$G$500),""))</x:f>
      </x:c>
      <x:c r="V77" s="32" t="str">
        <x:f>IF($D77="","",IFERROR(XLOOKUP($D77,'02_Features'!$A$5:$A$1000,'02_Features'!$J$5:$J$1000),""))</x:f>
      </x:c>
      <x:c r="W77" s="32" t="str">
        <x:f>IF($H77="","",'03_Functionalities'!$P77)</x:f>
      </x:c>
      <x:c r="X77" s="32" t="str">
        <x:f>IF($H77="","",'03_Functionalities'!$Q77)</x:f>
      </x:c>
      <x:c r="Y77" s="38"/>
      <x:c r="Z77" s="38"/>
    </x:row>
    <x:row r="78" ht="18" customHeight="1">
      <x:c r="A78" s="32" t="str">
        <x:f>IF('03_Functionalities'!$A78="","",'03_Functionalities'!$C78)</x:f>
      </x:c>
      <x:c r="B78" s="32" t="str">
        <x:f>IF($A78="","",IFERROR(XLOOKUP($A78,'01_Products'!$A$5:$A$500,'01_Products'!$B$5:$B$500),""))</x:f>
      </x:c>
      <x:c r="C78" s="32" t="str">
        <x:f>IF($A78="","",IFERROR(XLOOKUP($A78,'01_Products'!$A$5:$A$500,'01_Products'!$C$5:$C$500),""))</x:f>
      </x:c>
      <x:c r="D78" s="32" t="str">
        <x:f>IF('03_Functionalities'!$A78="","",'03_Functionalities'!$B78)</x:f>
      </x:c>
      <x:c r="E78" s="32" t="str">
        <x:f>IF($D78="","",IFERROR(XLOOKUP($D78,'02_Features'!$A$5:$A$1000,'02_Features'!$C$5:$C$1000),""))</x:f>
      </x:c>
      <x:c r="F78" s="32" t="str">
        <x:f>IF($D78="","",IFERROR(XLOOKUP($D78,'02_Features'!$A$5:$A$1000,'02_Features'!$D$5:$D$1000),""))</x:f>
      </x:c>
      <x:c r="G78" s="32" t="str">
        <x:f>IF($D78="","",IFERROR(XLOOKUP($D78,'02_Features'!$A$5:$A$1000,'02_Features'!$E$5:$E$1000),""))</x:f>
      </x:c>
      <x:c r="H78" s="32" t="str">
        <x:f>IF('03_Functionalities'!$A78="","",'03_Functionalities'!$A78)</x:f>
      </x:c>
      <x:c r="I78" s="32" t="str">
        <x:f>IF($H78="","",'03_Functionalities'!$D78)</x:f>
      </x:c>
      <x:c r="J78" s="32" t="str">
        <x:f>IF($H78="","",'03_Functionalities'!$E78)</x:f>
      </x:c>
      <x:c r="K78" s="32" t="str">
        <x:f>IF($H78="","",'03_Functionalities'!$F78)</x:f>
      </x:c>
      <x:c r="L78" s="32" t="str">
        <x:f>IF($H78="","",'03_Functionalities'!$G78)</x:f>
      </x:c>
      <x:c r="M78" s="32" t="str">
        <x:f>IF($H78="","",'03_Functionalities'!$H78)</x:f>
      </x:c>
      <x:c r="N78" s="32" t="str">
        <x:f>IF($H78="","",'03_Functionalities'!$I78)</x:f>
      </x:c>
      <x:c r="O78" s="32" t="str">
        <x:f>IF($H78="","",'03_Functionalities'!$J78)</x:f>
      </x:c>
      <x:c r="P78" s="32" t="str">
        <x:f>IF($H78="","",'03_Functionalities'!$K78)</x:f>
      </x:c>
      <x:c r="Q78" s="32" t="str">
        <x:f>IF($H78="","",'03_Functionalities'!$L78)</x:f>
      </x:c>
      <x:c r="R78" s="32" t="str">
        <x:f>IF($H78="","",'03_Functionalities'!$M78)</x:f>
      </x:c>
      <x:c r="S78" s="32" t="str">
        <x:f>IF($H78="","",'03_Functionalities'!$N78)</x:f>
      </x:c>
      <x:c r="T78" s="32" t="str">
        <x:f>IF($H78="","",'03_Functionalities'!$O78)</x:f>
      </x:c>
      <x:c r="U78" s="32" t="str">
        <x:f>IF($A78="","",IFERROR(XLOOKUP($A78,'01_Products'!$A$5:$A$500,'01_Products'!$G$5:$G$500),""))</x:f>
      </x:c>
      <x:c r="V78" s="32" t="str">
        <x:f>IF($D78="","",IFERROR(XLOOKUP($D78,'02_Features'!$A$5:$A$1000,'02_Features'!$J$5:$J$1000),""))</x:f>
      </x:c>
      <x:c r="W78" s="32" t="str">
        <x:f>IF($H78="","",'03_Functionalities'!$P78)</x:f>
      </x:c>
      <x:c r="X78" s="32" t="str">
        <x:f>IF($H78="","",'03_Functionalities'!$Q78)</x:f>
      </x:c>
      <x:c r="Y78" s="38"/>
      <x:c r="Z78" s="38"/>
    </x:row>
    <x:row r="79" ht="18" customHeight="1">
      <x:c r="A79" s="32" t="str">
        <x:f>IF('03_Functionalities'!$A79="","",'03_Functionalities'!$C79)</x:f>
      </x:c>
      <x:c r="B79" s="32" t="str">
        <x:f>IF($A79="","",IFERROR(XLOOKUP($A79,'01_Products'!$A$5:$A$500,'01_Products'!$B$5:$B$500),""))</x:f>
      </x:c>
      <x:c r="C79" s="32" t="str">
        <x:f>IF($A79="","",IFERROR(XLOOKUP($A79,'01_Products'!$A$5:$A$500,'01_Products'!$C$5:$C$500),""))</x:f>
      </x:c>
      <x:c r="D79" s="32" t="str">
        <x:f>IF('03_Functionalities'!$A79="","",'03_Functionalities'!$B79)</x:f>
      </x:c>
      <x:c r="E79" s="32" t="str">
        <x:f>IF($D79="","",IFERROR(XLOOKUP($D79,'02_Features'!$A$5:$A$1000,'02_Features'!$C$5:$C$1000),""))</x:f>
      </x:c>
      <x:c r="F79" s="32" t="str">
        <x:f>IF($D79="","",IFERROR(XLOOKUP($D79,'02_Features'!$A$5:$A$1000,'02_Features'!$D$5:$D$1000),""))</x:f>
      </x:c>
      <x:c r="G79" s="32" t="str">
        <x:f>IF($D79="","",IFERROR(XLOOKUP($D79,'02_Features'!$A$5:$A$1000,'02_Features'!$E$5:$E$1000),""))</x:f>
      </x:c>
      <x:c r="H79" s="32" t="str">
        <x:f>IF('03_Functionalities'!$A79="","",'03_Functionalities'!$A79)</x:f>
      </x:c>
      <x:c r="I79" s="32" t="str">
        <x:f>IF($H79="","",'03_Functionalities'!$D79)</x:f>
      </x:c>
      <x:c r="J79" s="32" t="str">
        <x:f>IF($H79="","",'03_Functionalities'!$E79)</x:f>
      </x:c>
      <x:c r="K79" s="32" t="str">
        <x:f>IF($H79="","",'03_Functionalities'!$F79)</x:f>
      </x:c>
      <x:c r="L79" s="32" t="str">
        <x:f>IF($H79="","",'03_Functionalities'!$G79)</x:f>
      </x:c>
      <x:c r="M79" s="32" t="str">
        <x:f>IF($H79="","",'03_Functionalities'!$H79)</x:f>
      </x:c>
      <x:c r="N79" s="32" t="str">
        <x:f>IF($H79="","",'03_Functionalities'!$I79)</x:f>
      </x:c>
      <x:c r="O79" s="32" t="str">
        <x:f>IF($H79="","",'03_Functionalities'!$J79)</x:f>
      </x:c>
      <x:c r="P79" s="32" t="str">
        <x:f>IF($H79="","",'03_Functionalities'!$K79)</x:f>
      </x:c>
      <x:c r="Q79" s="32" t="str">
        <x:f>IF($H79="","",'03_Functionalities'!$L79)</x:f>
      </x:c>
      <x:c r="R79" s="32" t="str">
        <x:f>IF($H79="","",'03_Functionalities'!$M79)</x:f>
      </x:c>
      <x:c r="S79" s="32" t="str">
        <x:f>IF($H79="","",'03_Functionalities'!$N79)</x:f>
      </x:c>
      <x:c r="T79" s="32" t="str">
        <x:f>IF($H79="","",'03_Functionalities'!$O79)</x:f>
      </x:c>
      <x:c r="U79" s="32" t="str">
        <x:f>IF($A79="","",IFERROR(XLOOKUP($A79,'01_Products'!$A$5:$A$500,'01_Products'!$G$5:$G$500),""))</x:f>
      </x:c>
      <x:c r="V79" s="32" t="str">
        <x:f>IF($D79="","",IFERROR(XLOOKUP($D79,'02_Features'!$A$5:$A$1000,'02_Features'!$J$5:$J$1000),""))</x:f>
      </x:c>
      <x:c r="W79" s="32" t="str">
        <x:f>IF($H79="","",'03_Functionalities'!$P79)</x:f>
      </x:c>
      <x:c r="X79" s="32" t="str">
        <x:f>IF($H79="","",'03_Functionalities'!$Q79)</x:f>
      </x:c>
      <x:c r="Y79" s="38"/>
      <x:c r="Z79" s="38"/>
    </x:row>
    <x:row r="80" ht="18" customHeight="1">
      <x:c r="A80" s="32" t="str">
        <x:f>IF('03_Functionalities'!$A80="","",'03_Functionalities'!$C80)</x:f>
      </x:c>
      <x:c r="B80" s="32" t="str">
        <x:f>IF($A80="","",IFERROR(XLOOKUP($A80,'01_Products'!$A$5:$A$500,'01_Products'!$B$5:$B$500),""))</x:f>
      </x:c>
      <x:c r="C80" s="32" t="str">
        <x:f>IF($A80="","",IFERROR(XLOOKUP($A80,'01_Products'!$A$5:$A$500,'01_Products'!$C$5:$C$500),""))</x:f>
      </x:c>
      <x:c r="D80" s="32" t="str">
        <x:f>IF('03_Functionalities'!$A80="","",'03_Functionalities'!$B80)</x:f>
      </x:c>
      <x:c r="E80" s="32" t="str">
        <x:f>IF($D80="","",IFERROR(XLOOKUP($D80,'02_Features'!$A$5:$A$1000,'02_Features'!$C$5:$C$1000),""))</x:f>
      </x:c>
      <x:c r="F80" s="32" t="str">
        <x:f>IF($D80="","",IFERROR(XLOOKUP($D80,'02_Features'!$A$5:$A$1000,'02_Features'!$D$5:$D$1000),""))</x:f>
      </x:c>
      <x:c r="G80" s="32" t="str">
        <x:f>IF($D80="","",IFERROR(XLOOKUP($D80,'02_Features'!$A$5:$A$1000,'02_Features'!$E$5:$E$1000),""))</x:f>
      </x:c>
      <x:c r="H80" s="32" t="str">
        <x:f>IF('03_Functionalities'!$A80="","",'03_Functionalities'!$A80)</x:f>
      </x:c>
      <x:c r="I80" s="32" t="str">
        <x:f>IF($H80="","",'03_Functionalities'!$D80)</x:f>
      </x:c>
      <x:c r="J80" s="32" t="str">
        <x:f>IF($H80="","",'03_Functionalities'!$E80)</x:f>
      </x:c>
      <x:c r="K80" s="32" t="str">
        <x:f>IF($H80="","",'03_Functionalities'!$F80)</x:f>
      </x:c>
      <x:c r="L80" s="32" t="str">
        <x:f>IF($H80="","",'03_Functionalities'!$G80)</x:f>
      </x:c>
      <x:c r="M80" s="32" t="str">
        <x:f>IF($H80="","",'03_Functionalities'!$H80)</x:f>
      </x:c>
      <x:c r="N80" s="32" t="str">
        <x:f>IF($H80="","",'03_Functionalities'!$I80)</x:f>
      </x:c>
      <x:c r="O80" s="32" t="str">
        <x:f>IF($H80="","",'03_Functionalities'!$J80)</x:f>
      </x:c>
      <x:c r="P80" s="32" t="str">
        <x:f>IF($H80="","",'03_Functionalities'!$K80)</x:f>
      </x:c>
      <x:c r="Q80" s="32" t="str">
        <x:f>IF($H80="","",'03_Functionalities'!$L80)</x:f>
      </x:c>
      <x:c r="R80" s="32" t="str">
        <x:f>IF($H80="","",'03_Functionalities'!$M80)</x:f>
      </x:c>
      <x:c r="S80" s="32" t="str">
        <x:f>IF($H80="","",'03_Functionalities'!$N80)</x:f>
      </x:c>
      <x:c r="T80" s="32" t="str">
        <x:f>IF($H80="","",'03_Functionalities'!$O80)</x:f>
      </x:c>
      <x:c r="U80" s="32" t="str">
        <x:f>IF($A80="","",IFERROR(XLOOKUP($A80,'01_Products'!$A$5:$A$500,'01_Products'!$G$5:$G$500),""))</x:f>
      </x:c>
      <x:c r="V80" s="32" t="str">
        <x:f>IF($D80="","",IFERROR(XLOOKUP($D80,'02_Features'!$A$5:$A$1000,'02_Features'!$J$5:$J$1000),""))</x:f>
      </x:c>
      <x:c r="W80" s="32" t="str">
        <x:f>IF($H80="","",'03_Functionalities'!$P80)</x:f>
      </x:c>
      <x:c r="X80" s="32" t="str">
        <x:f>IF($H80="","",'03_Functionalities'!$Q80)</x:f>
      </x:c>
      <x:c r="Y80" s="38"/>
      <x:c r="Z80" s="38"/>
    </x:row>
    <x:row r="81" ht="18" customHeight="1">
      <x:c r="A81" s="32" t="str">
        <x:f>IF('03_Functionalities'!$A81="","",'03_Functionalities'!$C81)</x:f>
      </x:c>
      <x:c r="B81" s="32" t="str">
        <x:f>IF($A81="","",IFERROR(XLOOKUP($A81,'01_Products'!$A$5:$A$500,'01_Products'!$B$5:$B$500),""))</x:f>
      </x:c>
      <x:c r="C81" s="32" t="str">
        <x:f>IF($A81="","",IFERROR(XLOOKUP($A81,'01_Products'!$A$5:$A$500,'01_Products'!$C$5:$C$500),""))</x:f>
      </x:c>
      <x:c r="D81" s="32" t="str">
        <x:f>IF('03_Functionalities'!$A81="","",'03_Functionalities'!$B81)</x:f>
      </x:c>
      <x:c r="E81" s="32" t="str">
        <x:f>IF($D81="","",IFERROR(XLOOKUP($D81,'02_Features'!$A$5:$A$1000,'02_Features'!$C$5:$C$1000),""))</x:f>
      </x:c>
      <x:c r="F81" s="32" t="str">
        <x:f>IF($D81="","",IFERROR(XLOOKUP($D81,'02_Features'!$A$5:$A$1000,'02_Features'!$D$5:$D$1000),""))</x:f>
      </x:c>
      <x:c r="G81" s="32" t="str">
        <x:f>IF($D81="","",IFERROR(XLOOKUP($D81,'02_Features'!$A$5:$A$1000,'02_Features'!$E$5:$E$1000),""))</x:f>
      </x:c>
      <x:c r="H81" s="32" t="str">
        <x:f>IF('03_Functionalities'!$A81="","",'03_Functionalities'!$A81)</x:f>
      </x:c>
      <x:c r="I81" s="32" t="str">
        <x:f>IF($H81="","",'03_Functionalities'!$D81)</x:f>
      </x:c>
      <x:c r="J81" s="32" t="str">
        <x:f>IF($H81="","",'03_Functionalities'!$E81)</x:f>
      </x:c>
      <x:c r="K81" s="32" t="str">
        <x:f>IF($H81="","",'03_Functionalities'!$F81)</x:f>
      </x:c>
      <x:c r="L81" s="32" t="str">
        <x:f>IF($H81="","",'03_Functionalities'!$G81)</x:f>
      </x:c>
      <x:c r="M81" s="32" t="str">
        <x:f>IF($H81="","",'03_Functionalities'!$H81)</x:f>
      </x:c>
      <x:c r="N81" s="32" t="str">
        <x:f>IF($H81="","",'03_Functionalities'!$I81)</x:f>
      </x:c>
      <x:c r="O81" s="32" t="str">
        <x:f>IF($H81="","",'03_Functionalities'!$J81)</x:f>
      </x:c>
      <x:c r="P81" s="32" t="str">
        <x:f>IF($H81="","",'03_Functionalities'!$K81)</x:f>
      </x:c>
      <x:c r="Q81" s="32" t="str">
        <x:f>IF($H81="","",'03_Functionalities'!$L81)</x:f>
      </x:c>
      <x:c r="R81" s="32" t="str">
        <x:f>IF($H81="","",'03_Functionalities'!$M81)</x:f>
      </x:c>
      <x:c r="S81" s="32" t="str">
        <x:f>IF($H81="","",'03_Functionalities'!$N81)</x:f>
      </x:c>
      <x:c r="T81" s="32" t="str">
        <x:f>IF($H81="","",'03_Functionalities'!$O81)</x:f>
      </x:c>
      <x:c r="U81" s="32" t="str">
        <x:f>IF($A81="","",IFERROR(XLOOKUP($A81,'01_Products'!$A$5:$A$500,'01_Products'!$G$5:$G$500),""))</x:f>
      </x:c>
      <x:c r="V81" s="32" t="str">
        <x:f>IF($D81="","",IFERROR(XLOOKUP($D81,'02_Features'!$A$5:$A$1000,'02_Features'!$J$5:$J$1000),""))</x:f>
      </x:c>
      <x:c r="W81" s="32" t="str">
        <x:f>IF($H81="","",'03_Functionalities'!$P81)</x:f>
      </x:c>
      <x:c r="X81" s="32" t="str">
        <x:f>IF($H81="","",'03_Functionalities'!$Q81)</x:f>
      </x:c>
      <x:c r="Y81" s="38"/>
      <x:c r="Z81" s="38"/>
    </x:row>
    <x:row r="82" ht="18" customHeight="1">
      <x:c r="A82" s="32" t="str">
        <x:f>IF('03_Functionalities'!$A82="","",'03_Functionalities'!$C82)</x:f>
      </x:c>
      <x:c r="B82" s="32" t="str">
        <x:f>IF($A82="","",IFERROR(XLOOKUP($A82,'01_Products'!$A$5:$A$500,'01_Products'!$B$5:$B$500),""))</x:f>
      </x:c>
      <x:c r="C82" s="32" t="str">
        <x:f>IF($A82="","",IFERROR(XLOOKUP($A82,'01_Products'!$A$5:$A$500,'01_Products'!$C$5:$C$500),""))</x:f>
      </x:c>
      <x:c r="D82" s="32" t="str">
        <x:f>IF('03_Functionalities'!$A82="","",'03_Functionalities'!$B82)</x:f>
      </x:c>
      <x:c r="E82" s="32" t="str">
        <x:f>IF($D82="","",IFERROR(XLOOKUP($D82,'02_Features'!$A$5:$A$1000,'02_Features'!$C$5:$C$1000),""))</x:f>
      </x:c>
      <x:c r="F82" s="32" t="str">
        <x:f>IF($D82="","",IFERROR(XLOOKUP($D82,'02_Features'!$A$5:$A$1000,'02_Features'!$D$5:$D$1000),""))</x:f>
      </x:c>
      <x:c r="G82" s="32" t="str">
        <x:f>IF($D82="","",IFERROR(XLOOKUP($D82,'02_Features'!$A$5:$A$1000,'02_Features'!$E$5:$E$1000),""))</x:f>
      </x:c>
      <x:c r="H82" s="32" t="str">
        <x:f>IF('03_Functionalities'!$A82="","",'03_Functionalities'!$A82)</x:f>
      </x:c>
      <x:c r="I82" s="32" t="str">
        <x:f>IF($H82="","",'03_Functionalities'!$D82)</x:f>
      </x:c>
      <x:c r="J82" s="32" t="str">
        <x:f>IF($H82="","",'03_Functionalities'!$E82)</x:f>
      </x:c>
      <x:c r="K82" s="32" t="str">
        <x:f>IF($H82="","",'03_Functionalities'!$F82)</x:f>
      </x:c>
      <x:c r="L82" s="32" t="str">
        <x:f>IF($H82="","",'03_Functionalities'!$G82)</x:f>
      </x:c>
      <x:c r="M82" s="32" t="str">
        <x:f>IF($H82="","",'03_Functionalities'!$H82)</x:f>
      </x:c>
      <x:c r="N82" s="32" t="str">
        <x:f>IF($H82="","",'03_Functionalities'!$I82)</x:f>
      </x:c>
      <x:c r="O82" s="32" t="str">
        <x:f>IF($H82="","",'03_Functionalities'!$J82)</x:f>
      </x:c>
      <x:c r="P82" s="32" t="str">
        <x:f>IF($H82="","",'03_Functionalities'!$K82)</x:f>
      </x:c>
      <x:c r="Q82" s="32" t="str">
        <x:f>IF($H82="","",'03_Functionalities'!$L82)</x:f>
      </x:c>
      <x:c r="R82" s="32" t="str">
        <x:f>IF($H82="","",'03_Functionalities'!$M82)</x:f>
      </x:c>
      <x:c r="S82" s="32" t="str">
        <x:f>IF($H82="","",'03_Functionalities'!$N82)</x:f>
      </x:c>
      <x:c r="T82" s="32" t="str">
        <x:f>IF($H82="","",'03_Functionalities'!$O82)</x:f>
      </x:c>
      <x:c r="U82" s="32" t="str">
        <x:f>IF($A82="","",IFERROR(XLOOKUP($A82,'01_Products'!$A$5:$A$500,'01_Products'!$G$5:$G$500),""))</x:f>
      </x:c>
      <x:c r="V82" s="32" t="str">
        <x:f>IF($D82="","",IFERROR(XLOOKUP($D82,'02_Features'!$A$5:$A$1000,'02_Features'!$J$5:$J$1000),""))</x:f>
      </x:c>
      <x:c r="W82" s="32" t="str">
        <x:f>IF($H82="","",'03_Functionalities'!$P82)</x:f>
      </x:c>
      <x:c r="X82" s="32" t="str">
        <x:f>IF($H82="","",'03_Functionalities'!$Q82)</x:f>
      </x:c>
      <x:c r="Y82" s="38"/>
      <x:c r="Z82" s="38"/>
    </x:row>
    <x:row r="83" ht="18" customHeight="1">
      <x:c r="A83" s="32" t="str">
        <x:f>IF('03_Functionalities'!$A83="","",'03_Functionalities'!$C83)</x:f>
      </x:c>
      <x:c r="B83" s="32" t="str">
        <x:f>IF($A83="","",IFERROR(XLOOKUP($A83,'01_Products'!$A$5:$A$500,'01_Products'!$B$5:$B$500),""))</x:f>
      </x:c>
      <x:c r="C83" s="32" t="str">
        <x:f>IF($A83="","",IFERROR(XLOOKUP($A83,'01_Products'!$A$5:$A$500,'01_Products'!$C$5:$C$500),""))</x:f>
      </x:c>
      <x:c r="D83" s="32" t="str">
        <x:f>IF('03_Functionalities'!$A83="","",'03_Functionalities'!$B83)</x:f>
      </x:c>
      <x:c r="E83" s="32" t="str">
        <x:f>IF($D83="","",IFERROR(XLOOKUP($D83,'02_Features'!$A$5:$A$1000,'02_Features'!$C$5:$C$1000),""))</x:f>
      </x:c>
      <x:c r="F83" s="32" t="str">
        <x:f>IF($D83="","",IFERROR(XLOOKUP($D83,'02_Features'!$A$5:$A$1000,'02_Features'!$D$5:$D$1000),""))</x:f>
      </x:c>
      <x:c r="G83" s="32" t="str">
        <x:f>IF($D83="","",IFERROR(XLOOKUP($D83,'02_Features'!$A$5:$A$1000,'02_Features'!$E$5:$E$1000),""))</x:f>
      </x:c>
      <x:c r="H83" s="32" t="str">
        <x:f>IF('03_Functionalities'!$A83="","",'03_Functionalities'!$A83)</x:f>
      </x:c>
      <x:c r="I83" s="32" t="str">
        <x:f>IF($H83="","",'03_Functionalities'!$D83)</x:f>
      </x:c>
      <x:c r="J83" s="32" t="str">
        <x:f>IF($H83="","",'03_Functionalities'!$E83)</x:f>
      </x:c>
      <x:c r="K83" s="32" t="str">
        <x:f>IF($H83="","",'03_Functionalities'!$F83)</x:f>
      </x:c>
      <x:c r="L83" s="32" t="str">
        <x:f>IF($H83="","",'03_Functionalities'!$G83)</x:f>
      </x:c>
      <x:c r="M83" s="32" t="str">
        <x:f>IF($H83="","",'03_Functionalities'!$H83)</x:f>
      </x:c>
      <x:c r="N83" s="32" t="str">
        <x:f>IF($H83="","",'03_Functionalities'!$I83)</x:f>
      </x:c>
      <x:c r="O83" s="32" t="str">
        <x:f>IF($H83="","",'03_Functionalities'!$J83)</x:f>
      </x:c>
      <x:c r="P83" s="32" t="str">
        <x:f>IF($H83="","",'03_Functionalities'!$K83)</x:f>
      </x:c>
      <x:c r="Q83" s="32" t="str">
        <x:f>IF($H83="","",'03_Functionalities'!$L83)</x:f>
      </x:c>
      <x:c r="R83" s="32" t="str">
        <x:f>IF($H83="","",'03_Functionalities'!$M83)</x:f>
      </x:c>
      <x:c r="S83" s="32" t="str">
        <x:f>IF($H83="","",'03_Functionalities'!$N83)</x:f>
      </x:c>
      <x:c r="T83" s="32" t="str">
        <x:f>IF($H83="","",'03_Functionalities'!$O83)</x:f>
      </x:c>
      <x:c r="U83" s="32" t="str">
        <x:f>IF($A83="","",IFERROR(XLOOKUP($A83,'01_Products'!$A$5:$A$500,'01_Products'!$G$5:$G$500),""))</x:f>
      </x:c>
      <x:c r="V83" s="32" t="str">
        <x:f>IF($D83="","",IFERROR(XLOOKUP($D83,'02_Features'!$A$5:$A$1000,'02_Features'!$J$5:$J$1000),""))</x:f>
      </x:c>
      <x:c r="W83" s="32" t="str">
        <x:f>IF($H83="","",'03_Functionalities'!$P83)</x:f>
      </x:c>
      <x:c r="X83" s="32" t="str">
        <x:f>IF($H83="","",'03_Functionalities'!$Q83)</x:f>
      </x:c>
      <x:c r="Y83" s="38"/>
      <x:c r="Z83" s="38"/>
    </x:row>
    <x:row r="84" ht="18" customHeight="1">
      <x:c r="A84" s="32" t="str">
        <x:f>IF('03_Functionalities'!$A84="","",'03_Functionalities'!$C84)</x:f>
      </x:c>
      <x:c r="B84" s="32" t="str">
        <x:f>IF($A84="","",IFERROR(XLOOKUP($A84,'01_Products'!$A$5:$A$500,'01_Products'!$B$5:$B$500),""))</x:f>
      </x:c>
      <x:c r="C84" s="32" t="str">
        <x:f>IF($A84="","",IFERROR(XLOOKUP($A84,'01_Products'!$A$5:$A$500,'01_Products'!$C$5:$C$500),""))</x:f>
      </x:c>
      <x:c r="D84" s="32" t="str">
        <x:f>IF('03_Functionalities'!$A84="","",'03_Functionalities'!$B84)</x:f>
      </x:c>
      <x:c r="E84" s="32" t="str">
        <x:f>IF($D84="","",IFERROR(XLOOKUP($D84,'02_Features'!$A$5:$A$1000,'02_Features'!$C$5:$C$1000),""))</x:f>
      </x:c>
      <x:c r="F84" s="32" t="str">
        <x:f>IF($D84="","",IFERROR(XLOOKUP($D84,'02_Features'!$A$5:$A$1000,'02_Features'!$D$5:$D$1000),""))</x:f>
      </x:c>
      <x:c r="G84" s="32" t="str">
        <x:f>IF($D84="","",IFERROR(XLOOKUP($D84,'02_Features'!$A$5:$A$1000,'02_Features'!$E$5:$E$1000),""))</x:f>
      </x:c>
      <x:c r="H84" s="32" t="str">
        <x:f>IF('03_Functionalities'!$A84="","",'03_Functionalities'!$A84)</x:f>
      </x:c>
      <x:c r="I84" s="32" t="str">
        <x:f>IF($H84="","",'03_Functionalities'!$D84)</x:f>
      </x:c>
      <x:c r="J84" s="32" t="str">
        <x:f>IF($H84="","",'03_Functionalities'!$E84)</x:f>
      </x:c>
      <x:c r="K84" s="32" t="str">
        <x:f>IF($H84="","",'03_Functionalities'!$F84)</x:f>
      </x:c>
      <x:c r="L84" s="32" t="str">
        <x:f>IF($H84="","",'03_Functionalities'!$G84)</x:f>
      </x:c>
      <x:c r="M84" s="32" t="str">
        <x:f>IF($H84="","",'03_Functionalities'!$H84)</x:f>
      </x:c>
      <x:c r="N84" s="32" t="str">
        <x:f>IF($H84="","",'03_Functionalities'!$I84)</x:f>
      </x:c>
      <x:c r="O84" s="32" t="str">
        <x:f>IF($H84="","",'03_Functionalities'!$J84)</x:f>
      </x:c>
      <x:c r="P84" s="32" t="str">
        <x:f>IF($H84="","",'03_Functionalities'!$K84)</x:f>
      </x:c>
      <x:c r="Q84" s="32" t="str">
        <x:f>IF($H84="","",'03_Functionalities'!$L84)</x:f>
      </x:c>
      <x:c r="R84" s="32" t="str">
        <x:f>IF($H84="","",'03_Functionalities'!$M84)</x:f>
      </x:c>
      <x:c r="S84" s="32" t="str">
        <x:f>IF($H84="","",'03_Functionalities'!$N84)</x:f>
      </x:c>
      <x:c r="T84" s="32" t="str">
        <x:f>IF($H84="","",'03_Functionalities'!$O84)</x:f>
      </x:c>
      <x:c r="U84" s="32" t="str">
        <x:f>IF($A84="","",IFERROR(XLOOKUP($A84,'01_Products'!$A$5:$A$500,'01_Products'!$G$5:$G$500),""))</x:f>
      </x:c>
      <x:c r="V84" s="32" t="str">
        <x:f>IF($D84="","",IFERROR(XLOOKUP($D84,'02_Features'!$A$5:$A$1000,'02_Features'!$J$5:$J$1000),""))</x:f>
      </x:c>
      <x:c r="W84" s="32" t="str">
        <x:f>IF($H84="","",'03_Functionalities'!$P84)</x:f>
      </x:c>
      <x:c r="X84" s="32" t="str">
        <x:f>IF($H84="","",'03_Functionalities'!$Q84)</x:f>
      </x:c>
      <x:c r="Y84" s="38"/>
      <x:c r="Z84" s="38"/>
    </x:row>
    <x:row r="85" ht="18" customHeight="1">
      <x:c r="A85" s="32" t="str">
        <x:f>IF('03_Functionalities'!$A85="","",'03_Functionalities'!$C85)</x:f>
      </x:c>
      <x:c r="B85" s="32" t="str">
        <x:f>IF($A85="","",IFERROR(XLOOKUP($A85,'01_Products'!$A$5:$A$500,'01_Products'!$B$5:$B$500),""))</x:f>
      </x:c>
      <x:c r="C85" s="32" t="str">
        <x:f>IF($A85="","",IFERROR(XLOOKUP($A85,'01_Products'!$A$5:$A$500,'01_Products'!$C$5:$C$500),""))</x:f>
      </x:c>
      <x:c r="D85" s="32" t="str">
        <x:f>IF('03_Functionalities'!$A85="","",'03_Functionalities'!$B85)</x:f>
      </x:c>
      <x:c r="E85" s="32" t="str">
        <x:f>IF($D85="","",IFERROR(XLOOKUP($D85,'02_Features'!$A$5:$A$1000,'02_Features'!$C$5:$C$1000),""))</x:f>
      </x:c>
      <x:c r="F85" s="32" t="str">
        <x:f>IF($D85="","",IFERROR(XLOOKUP($D85,'02_Features'!$A$5:$A$1000,'02_Features'!$D$5:$D$1000),""))</x:f>
      </x:c>
      <x:c r="G85" s="32" t="str">
        <x:f>IF($D85="","",IFERROR(XLOOKUP($D85,'02_Features'!$A$5:$A$1000,'02_Features'!$E$5:$E$1000),""))</x:f>
      </x:c>
      <x:c r="H85" s="32" t="str">
        <x:f>IF('03_Functionalities'!$A85="","",'03_Functionalities'!$A85)</x:f>
      </x:c>
      <x:c r="I85" s="32" t="str">
        <x:f>IF($H85="","",'03_Functionalities'!$D85)</x:f>
      </x:c>
      <x:c r="J85" s="32" t="str">
        <x:f>IF($H85="","",'03_Functionalities'!$E85)</x:f>
      </x:c>
      <x:c r="K85" s="32" t="str">
        <x:f>IF($H85="","",'03_Functionalities'!$F85)</x:f>
      </x:c>
      <x:c r="L85" s="32" t="str">
        <x:f>IF($H85="","",'03_Functionalities'!$G85)</x:f>
      </x:c>
      <x:c r="M85" s="32" t="str">
        <x:f>IF($H85="","",'03_Functionalities'!$H85)</x:f>
      </x:c>
      <x:c r="N85" s="32" t="str">
        <x:f>IF($H85="","",'03_Functionalities'!$I85)</x:f>
      </x:c>
      <x:c r="O85" s="32" t="str">
        <x:f>IF($H85="","",'03_Functionalities'!$J85)</x:f>
      </x:c>
      <x:c r="P85" s="32" t="str">
        <x:f>IF($H85="","",'03_Functionalities'!$K85)</x:f>
      </x:c>
      <x:c r="Q85" s="32" t="str">
        <x:f>IF($H85="","",'03_Functionalities'!$L85)</x:f>
      </x:c>
      <x:c r="R85" s="32" t="str">
        <x:f>IF($H85="","",'03_Functionalities'!$M85)</x:f>
      </x:c>
      <x:c r="S85" s="32" t="str">
        <x:f>IF($H85="","",'03_Functionalities'!$N85)</x:f>
      </x:c>
      <x:c r="T85" s="32" t="str">
        <x:f>IF($H85="","",'03_Functionalities'!$O85)</x:f>
      </x:c>
      <x:c r="U85" s="32" t="str">
        <x:f>IF($A85="","",IFERROR(XLOOKUP($A85,'01_Products'!$A$5:$A$500,'01_Products'!$G$5:$G$500),""))</x:f>
      </x:c>
      <x:c r="V85" s="32" t="str">
        <x:f>IF($D85="","",IFERROR(XLOOKUP($D85,'02_Features'!$A$5:$A$1000,'02_Features'!$J$5:$J$1000),""))</x:f>
      </x:c>
      <x:c r="W85" s="32" t="str">
        <x:f>IF($H85="","",'03_Functionalities'!$P85)</x:f>
      </x:c>
      <x:c r="X85" s="32" t="str">
        <x:f>IF($H85="","",'03_Functionalities'!$Q85)</x:f>
      </x:c>
      <x:c r="Y85" s="38"/>
      <x:c r="Z85" s="38"/>
    </x:row>
    <x:row r="86" ht="18" customHeight="1">
      <x:c r="A86" s="32" t="str">
        <x:f>IF('03_Functionalities'!$A86="","",'03_Functionalities'!$C86)</x:f>
      </x:c>
      <x:c r="B86" s="32" t="str">
        <x:f>IF($A86="","",IFERROR(XLOOKUP($A86,'01_Products'!$A$5:$A$500,'01_Products'!$B$5:$B$500),""))</x:f>
      </x:c>
      <x:c r="C86" s="32" t="str">
        <x:f>IF($A86="","",IFERROR(XLOOKUP($A86,'01_Products'!$A$5:$A$500,'01_Products'!$C$5:$C$500),""))</x:f>
      </x:c>
      <x:c r="D86" s="32" t="str">
        <x:f>IF('03_Functionalities'!$A86="","",'03_Functionalities'!$B86)</x:f>
      </x:c>
      <x:c r="E86" s="32" t="str">
        <x:f>IF($D86="","",IFERROR(XLOOKUP($D86,'02_Features'!$A$5:$A$1000,'02_Features'!$C$5:$C$1000),""))</x:f>
      </x:c>
      <x:c r="F86" s="32" t="str">
        <x:f>IF($D86="","",IFERROR(XLOOKUP($D86,'02_Features'!$A$5:$A$1000,'02_Features'!$D$5:$D$1000),""))</x:f>
      </x:c>
      <x:c r="G86" s="32" t="str">
        <x:f>IF($D86="","",IFERROR(XLOOKUP($D86,'02_Features'!$A$5:$A$1000,'02_Features'!$E$5:$E$1000),""))</x:f>
      </x:c>
      <x:c r="H86" s="32" t="str">
        <x:f>IF('03_Functionalities'!$A86="","",'03_Functionalities'!$A86)</x:f>
      </x:c>
      <x:c r="I86" s="32" t="str">
        <x:f>IF($H86="","",'03_Functionalities'!$D86)</x:f>
      </x:c>
      <x:c r="J86" s="32" t="str">
        <x:f>IF($H86="","",'03_Functionalities'!$E86)</x:f>
      </x:c>
      <x:c r="K86" s="32" t="str">
        <x:f>IF($H86="","",'03_Functionalities'!$F86)</x:f>
      </x:c>
      <x:c r="L86" s="32" t="str">
        <x:f>IF($H86="","",'03_Functionalities'!$G86)</x:f>
      </x:c>
      <x:c r="M86" s="32" t="str">
        <x:f>IF($H86="","",'03_Functionalities'!$H86)</x:f>
      </x:c>
      <x:c r="N86" s="32" t="str">
        <x:f>IF($H86="","",'03_Functionalities'!$I86)</x:f>
      </x:c>
      <x:c r="O86" s="32" t="str">
        <x:f>IF($H86="","",'03_Functionalities'!$J86)</x:f>
      </x:c>
      <x:c r="P86" s="32" t="str">
        <x:f>IF($H86="","",'03_Functionalities'!$K86)</x:f>
      </x:c>
      <x:c r="Q86" s="32" t="str">
        <x:f>IF($H86="","",'03_Functionalities'!$L86)</x:f>
      </x:c>
      <x:c r="R86" s="32" t="str">
        <x:f>IF($H86="","",'03_Functionalities'!$M86)</x:f>
      </x:c>
      <x:c r="S86" s="32" t="str">
        <x:f>IF($H86="","",'03_Functionalities'!$N86)</x:f>
      </x:c>
      <x:c r="T86" s="32" t="str">
        <x:f>IF($H86="","",'03_Functionalities'!$O86)</x:f>
      </x:c>
      <x:c r="U86" s="32" t="str">
        <x:f>IF($A86="","",IFERROR(XLOOKUP($A86,'01_Products'!$A$5:$A$500,'01_Products'!$G$5:$G$500),""))</x:f>
      </x:c>
      <x:c r="V86" s="32" t="str">
        <x:f>IF($D86="","",IFERROR(XLOOKUP($D86,'02_Features'!$A$5:$A$1000,'02_Features'!$J$5:$J$1000),""))</x:f>
      </x:c>
      <x:c r="W86" s="32" t="str">
        <x:f>IF($H86="","",'03_Functionalities'!$P86)</x:f>
      </x:c>
      <x:c r="X86" s="32" t="str">
        <x:f>IF($H86="","",'03_Functionalities'!$Q86)</x:f>
      </x:c>
      <x:c r="Y86" s="38"/>
      <x:c r="Z86" s="38"/>
    </x:row>
    <x:row r="87" ht="18" customHeight="1">
      <x:c r="A87" s="32" t="str">
        <x:f>IF('03_Functionalities'!$A87="","",'03_Functionalities'!$C87)</x:f>
      </x:c>
      <x:c r="B87" s="32" t="str">
        <x:f>IF($A87="","",IFERROR(XLOOKUP($A87,'01_Products'!$A$5:$A$500,'01_Products'!$B$5:$B$500),""))</x:f>
      </x:c>
      <x:c r="C87" s="32" t="str">
        <x:f>IF($A87="","",IFERROR(XLOOKUP($A87,'01_Products'!$A$5:$A$500,'01_Products'!$C$5:$C$500),""))</x:f>
      </x:c>
      <x:c r="D87" s="32" t="str">
        <x:f>IF('03_Functionalities'!$A87="","",'03_Functionalities'!$B87)</x:f>
      </x:c>
      <x:c r="E87" s="32" t="str">
        <x:f>IF($D87="","",IFERROR(XLOOKUP($D87,'02_Features'!$A$5:$A$1000,'02_Features'!$C$5:$C$1000),""))</x:f>
      </x:c>
      <x:c r="F87" s="32" t="str">
        <x:f>IF($D87="","",IFERROR(XLOOKUP($D87,'02_Features'!$A$5:$A$1000,'02_Features'!$D$5:$D$1000),""))</x:f>
      </x:c>
      <x:c r="G87" s="32" t="str">
        <x:f>IF($D87="","",IFERROR(XLOOKUP($D87,'02_Features'!$A$5:$A$1000,'02_Features'!$E$5:$E$1000),""))</x:f>
      </x:c>
      <x:c r="H87" s="32" t="str">
        <x:f>IF('03_Functionalities'!$A87="","",'03_Functionalities'!$A87)</x:f>
      </x:c>
      <x:c r="I87" s="32" t="str">
        <x:f>IF($H87="","",'03_Functionalities'!$D87)</x:f>
      </x:c>
      <x:c r="J87" s="32" t="str">
        <x:f>IF($H87="","",'03_Functionalities'!$E87)</x:f>
      </x:c>
      <x:c r="K87" s="32" t="str">
        <x:f>IF($H87="","",'03_Functionalities'!$F87)</x:f>
      </x:c>
      <x:c r="L87" s="32" t="str">
        <x:f>IF($H87="","",'03_Functionalities'!$G87)</x:f>
      </x:c>
      <x:c r="M87" s="32" t="str">
        <x:f>IF($H87="","",'03_Functionalities'!$H87)</x:f>
      </x:c>
      <x:c r="N87" s="32" t="str">
        <x:f>IF($H87="","",'03_Functionalities'!$I87)</x:f>
      </x:c>
      <x:c r="O87" s="32" t="str">
        <x:f>IF($H87="","",'03_Functionalities'!$J87)</x:f>
      </x:c>
      <x:c r="P87" s="32" t="str">
        <x:f>IF($H87="","",'03_Functionalities'!$K87)</x:f>
      </x:c>
      <x:c r="Q87" s="32" t="str">
        <x:f>IF($H87="","",'03_Functionalities'!$L87)</x:f>
      </x:c>
      <x:c r="R87" s="32" t="str">
        <x:f>IF($H87="","",'03_Functionalities'!$M87)</x:f>
      </x:c>
      <x:c r="S87" s="32" t="str">
        <x:f>IF($H87="","",'03_Functionalities'!$N87)</x:f>
      </x:c>
      <x:c r="T87" s="32" t="str">
        <x:f>IF($H87="","",'03_Functionalities'!$O87)</x:f>
      </x:c>
      <x:c r="U87" s="32" t="str">
        <x:f>IF($A87="","",IFERROR(XLOOKUP($A87,'01_Products'!$A$5:$A$500,'01_Products'!$G$5:$G$500),""))</x:f>
      </x:c>
      <x:c r="V87" s="32" t="str">
        <x:f>IF($D87="","",IFERROR(XLOOKUP($D87,'02_Features'!$A$5:$A$1000,'02_Features'!$J$5:$J$1000),""))</x:f>
      </x:c>
      <x:c r="W87" s="32" t="str">
        <x:f>IF($H87="","",'03_Functionalities'!$P87)</x:f>
      </x:c>
      <x:c r="X87" s="32" t="str">
        <x:f>IF($H87="","",'03_Functionalities'!$Q87)</x:f>
      </x:c>
      <x:c r="Y87" s="38"/>
      <x:c r="Z87" s="38"/>
    </x:row>
    <x:row r="88" ht="18" customHeight="1">
      <x:c r="A88" s="32" t="str">
        <x:f>IF('03_Functionalities'!$A88="","",'03_Functionalities'!$C88)</x:f>
      </x:c>
      <x:c r="B88" s="32" t="str">
        <x:f>IF($A88="","",IFERROR(XLOOKUP($A88,'01_Products'!$A$5:$A$500,'01_Products'!$B$5:$B$500),""))</x:f>
      </x:c>
      <x:c r="C88" s="32" t="str">
        <x:f>IF($A88="","",IFERROR(XLOOKUP($A88,'01_Products'!$A$5:$A$500,'01_Products'!$C$5:$C$500),""))</x:f>
      </x:c>
      <x:c r="D88" s="32" t="str">
        <x:f>IF('03_Functionalities'!$A88="","",'03_Functionalities'!$B88)</x:f>
      </x:c>
      <x:c r="E88" s="32" t="str">
        <x:f>IF($D88="","",IFERROR(XLOOKUP($D88,'02_Features'!$A$5:$A$1000,'02_Features'!$C$5:$C$1000),""))</x:f>
      </x:c>
      <x:c r="F88" s="32" t="str">
        <x:f>IF($D88="","",IFERROR(XLOOKUP($D88,'02_Features'!$A$5:$A$1000,'02_Features'!$D$5:$D$1000),""))</x:f>
      </x:c>
      <x:c r="G88" s="32" t="str">
        <x:f>IF($D88="","",IFERROR(XLOOKUP($D88,'02_Features'!$A$5:$A$1000,'02_Features'!$E$5:$E$1000),""))</x:f>
      </x:c>
      <x:c r="H88" s="32" t="str">
        <x:f>IF('03_Functionalities'!$A88="","",'03_Functionalities'!$A88)</x:f>
      </x:c>
      <x:c r="I88" s="32" t="str">
        <x:f>IF($H88="","",'03_Functionalities'!$D88)</x:f>
      </x:c>
      <x:c r="J88" s="32" t="str">
        <x:f>IF($H88="","",'03_Functionalities'!$E88)</x:f>
      </x:c>
      <x:c r="K88" s="32" t="str">
        <x:f>IF($H88="","",'03_Functionalities'!$F88)</x:f>
      </x:c>
      <x:c r="L88" s="32" t="str">
        <x:f>IF($H88="","",'03_Functionalities'!$G88)</x:f>
      </x:c>
      <x:c r="M88" s="32" t="str">
        <x:f>IF($H88="","",'03_Functionalities'!$H88)</x:f>
      </x:c>
      <x:c r="N88" s="32" t="str">
        <x:f>IF($H88="","",'03_Functionalities'!$I88)</x:f>
      </x:c>
      <x:c r="O88" s="32" t="str">
        <x:f>IF($H88="","",'03_Functionalities'!$J88)</x:f>
      </x:c>
      <x:c r="P88" s="32" t="str">
        <x:f>IF($H88="","",'03_Functionalities'!$K88)</x:f>
      </x:c>
      <x:c r="Q88" s="32" t="str">
        <x:f>IF($H88="","",'03_Functionalities'!$L88)</x:f>
      </x:c>
      <x:c r="R88" s="32" t="str">
        <x:f>IF($H88="","",'03_Functionalities'!$M88)</x:f>
      </x:c>
      <x:c r="S88" s="32" t="str">
        <x:f>IF($H88="","",'03_Functionalities'!$N88)</x:f>
      </x:c>
      <x:c r="T88" s="32" t="str">
        <x:f>IF($H88="","",'03_Functionalities'!$O88)</x:f>
      </x:c>
      <x:c r="U88" s="32" t="str">
        <x:f>IF($A88="","",IFERROR(XLOOKUP($A88,'01_Products'!$A$5:$A$500,'01_Products'!$G$5:$G$500),""))</x:f>
      </x:c>
      <x:c r="V88" s="32" t="str">
        <x:f>IF($D88="","",IFERROR(XLOOKUP($D88,'02_Features'!$A$5:$A$1000,'02_Features'!$J$5:$J$1000),""))</x:f>
      </x:c>
      <x:c r="W88" s="32" t="str">
        <x:f>IF($H88="","",'03_Functionalities'!$P88)</x:f>
      </x:c>
      <x:c r="X88" s="32" t="str">
        <x:f>IF($H88="","",'03_Functionalities'!$Q88)</x:f>
      </x:c>
      <x:c r="Y88" s="38"/>
      <x:c r="Z88" s="38"/>
    </x:row>
    <x:row r="89" ht="18" customHeight="1">
      <x:c r="A89" s="32" t="str">
        <x:f>IF('03_Functionalities'!$A89="","",'03_Functionalities'!$C89)</x:f>
      </x:c>
      <x:c r="B89" s="32" t="str">
        <x:f>IF($A89="","",IFERROR(XLOOKUP($A89,'01_Products'!$A$5:$A$500,'01_Products'!$B$5:$B$500),""))</x:f>
      </x:c>
      <x:c r="C89" s="32" t="str">
        <x:f>IF($A89="","",IFERROR(XLOOKUP($A89,'01_Products'!$A$5:$A$500,'01_Products'!$C$5:$C$500),""))</x:f>
      </x:c>
      <x:c r="D89" s="32" t="str">
        <x:f>IF('03_Functionalities'!$A89="","",'03_Functionalities'!$B89)</x:f>
      </x:c>
      <x:c r="E89" s="32" t="str">
        <x:f>IF($D89="","",IFERROR(XLOOKUP($D89,'02_Features'!$A$5:$A$1000,'02_Features'!$C$5:$C$1000),""))</x:f>
      </x:c>
      <x:c r="F89" s="32" t="str">
        <x:f>IF($D89="","",IFERROR(XLOOKUP($D89,'02_Features'!$A$5:$A$1000,'02_Features'!$D$5:$D$1000),""))</x:f>
      </x:c>
      <x:c r="G89" s="32" t="str">
        <x:f>IF($D89="","",IFERROR(XLOOKUP($D89,'02_Features'!$A$5:$A$1000,'02_Features'!$E$5:$E$1000),""))</x:f>
      </x:c>
      <x:c r="H89" s="32" t="str">
        <x:f>IF('03_Functionalities'!$A89="","",'03_Functionalities'!$A89)</x:f>
      </x:c>
      <x:c r="I89" s="32" t="str">
        <x:f>IF($H89="","",'03_Functionalities'!$D89)</x:f>
      </x:c>
      <x:c r="J89" s="32" t="str">
        <x:f>IF($H89="","",'03_Functionalities'!$E89)</x:f>
      </x:c>
      <x:c r="K89" s="32" t="str">
        <x:f>IF($H89="","",'03_Functionalities'!$F89)</x:f>
      </x:c>
      <x:c r="L89" s="32" t="str">
        <x:f>IF($H89="","",'03_Functionalities'!$G89)</x:f>
      </x:c>
      <x:c r="M89" s="32" t="str">
        <x:f>IF($H89="","",'03_Functionalities'!$H89)</x:f>
      </x:c>
      <x:c r="N89" s="32" t="str">
        <x:f>IF($H89="","",'03_Functionalities'!$I89)</x:f>
      </x:c>
      <x:c r="O89" s="32" t="str">
        <x:f>IF($H89="","",'03_Functionalities'!$J89)</x:f>
      </x:c>
      <x:c r="P89" s="32" t="str">
        <x:f>IF($H89="","",'03_Functionalities'!$K89)</x:f>
      </x:c>
      <x:c r="Q89" s="32" t="str">
        <x:f>IF($H89="","",'03_Functionalities'!$L89)</x:f>
      </x:c>
      <x:c r="R89" s="32" t="str">
        <x:f>IF($H89="","",'03_Functionalities'!$M89)</x:f>
      </x:c>
      <x:c r="S89" s="32" t="str">
        <x:f>IF($H89="","",'03_Functionalities'!$N89)</x:f>
      </x:c>
      <x:c r="T89" s="32" t="str">
        <x:f>IF($H89="","",'03_Functionalities'!$O89)</x:f>
      </x:c>
      <x:c r="U89" s="32" t="str">
        <x:f>IF($A89="","",IFERROR(XLOOKUP($A89,'01_Products'!$A$5:$A$500,'01_Products'!$G$5:$G$500),""))</x:f>
      </x:c>
      <x:c r="V89" s="32" t="str">
        <x:f>IF($D89="","",IFERROR(XLOOKUP($D89,'02_Features'!$A$5:$A$1000,'02_Features'!$J$5:$J$1000),""))</x:f>
      </x:c>
      <x:c r="W89" s="32" t="str">
        <x:f>IF($H89="","",'03_Functionalities'!$P89)</x:f>
      </x:c>
      <x:c r="X89" s="32" t="str">
        <x:f>IF($H89="","",'03_Functionalities'!$Q89)</x:f>
      </x:c>
      <x:c r="Y89" s="38"/>
      <x:c r="Z89" s="38"/>
    </x:row>
    <x:row r="90" ht="18" customHeight="1">
      <x:c r="A90" s="32" t="str">
        <x:f>IF('03_Functionalities'!$A90="","",'03_Functionalities'!$C90)</x:f>
      </x:c>
      <x:c r="B90" s="32" t="str">
        <x:f>IF($A90="","",IFERROR(XLOOKUP($A90,'01_Products'!$A$5:$A$500,'01_Products'!$B$5:$B$500),""))</x:f>
      </x:c>
      <x:c r="C90" s="32" t="str">
        <x:f>IF($A90="","",IFERROR(XLOOKUP($A90,'01_Products'!$A$5:$A$500,'01_Products'!$C$5:$C$500),""))</x:f>
      </x:c>
      <x:c r="D90" s="32" t="str">
        <x:f>IF('03_Functionalities'!$A90="","",'03_Functionalities'!$B90)</x:f>
      </x:c>
      <x:c r="E90" s="32" t="str">
        <x:f>IF($D90="","",IFERROR(XLOOKUP($D90,'02_Features'!$A$5:$A$1000,'02_Features'!$C$5:$C$1000),""))</x:f>
      </x:c>
      <x:c r="F90" s="32" t="str">
        <x:f>IF($D90="","",IFERROR(XLOOKUP($D90,'02_Features'!$A$5:$A$1000,'02_Features'!$D$5:$D$1000),""))</x:f>
      </x:c>
      <x:c r="G90" s="32" t="str">
        <x:f>IF($D90="","",IFERROR(XLOOKUP($D90,'02_Features'!$A$5:$A$1000,'02_Features'!$E$5:$E$1000),""))</x:f>
      </x:c>
      <x:c r="H90" s="32" t="str">
        <x:f>IF('03_Functionalities'!$A90="","",'03_Functionalities'!$A90)</x:f>
      </x:c>
      <x:c r="I90" s="32" t="str">
        <x:f>IF($H90="","",'03_Functionalities'!$D90)</x:f>
      </x:c>
      <x:c r="J90" s="32" t="str">
        <x:f>IF($H90="","",'03_Functionalities'!$E90)</x:f>
      </x:c>
      <x:c r="K90" s="32" t="str">
        <x:f>IF($H90="","",'03_Functionalities'!$F90)</x:f>
      </x:c>
      <x:c r="L90" s="32" t="str">
        <x:f>IF($H90="","",'03_Functionalities'!$G90)</x:f>
      </x:c>
      <x:c r="M90" s="32" t="str">
        <x:f>IF($H90="","",'03_Functionalities'!$H90)</x:f>
      </x:c>
      <x:c r="N90" s="32" t="str">
        <x:f>IF($H90="","",'03_Functionalities'!$I90)</x:f>
      </x:c>
      <x:c r="O90" s="32" t="str">
        <x:f>IF($H90="","",'03_Functionalities'!$J90)</x:f>
      </x:c>
      <x:c r="P90" s="32" t="str">
        <x:f>IF($H90="","",'03_Functionalities'!$K90)</x:f>
      </x:c>
      <x:c r="Q90" s="32" t="str">
        <x:f>IF($H90="","",'03_Functionalities'!$L90)</x:f>
      </x:c>
      <x:c r="R90" s="32" t="str">
        <x:f>IF($H90="","",'03_Functionalities'!$M90)</x:f>
      </x:c>
      <x:c r="S90" s="32" t="str">
        <x:f>IF($H90="","",'03_Functionalities'!$N90)</x:f>
      </x:c>
      <x:c r="T90" s="32" t="str">
        <x:f>IF($H90="","",'03_Functionalities'!$O90)</x:f>
      </x:c>
      <x:c r="U90" s="32" t="str">
        <x:f>IF($A90="","",IFERROR(XLOOKUP($A90,'01_Products'!$A$5:$A$500,'01_Products'!$G$5:$G$500),""))</x:f>
      </x:c>
      <x:c r="V90" s="32" t="str">
        <x:f>IF($D90="","",IFERROR(XLOOKUP($D90,'02_Features'!$A$5:$A$1000,'02_Features'!$J$5:$J$1000),""))</x:f>
      </x:c>
      <x:c r="W90" s="32" t="str">
        <x:f>IF($H90="","",'03_Functionalities'!$P90)</x:f>
      </x:c>
      <x:c r="X90" s="32" t="str">
        <x:f>IF($H90="","",'03_Functionalities'!$Q90)</x:f>
      </x:c>
      <x:c r="Y90" s="38"/>
      <x:c r="Z90" s="38"/>
    </x:row>
    <x:row r="91" ht="18" customHeight="1">
      <x:c r="A91" s="32" t="str">
        <x:f>IF('03_Functionalities'!$A91="","",'03_Functionalities'!$C91)</x:f>
      </x:c>
      <x:c r="B91" s="32" t="str">
        <x:f>IF($A91="","",IFERROR(XLOOKUP($A91,'01_Products'!$A$5:$A$500,'01_Products'!$B$5:$B$500),""))</x:f>
      </x:c>
      <x:c r="C91" s="32" t="str">
        <x:f>IF($A91="","",IFERROR(XLOOKUP($A91,'01_Products'!$A$5:$A$500,'01_Products'!$C$5:$C$500),""))</x:f>
      </x:c>
      <x:c r="D91" s="32" t="str">
        <x:f>IF('03_Functionalities'!$A91="","",'03_Functionalities'!$B91)</x:f>
      </x:c>
      <x:c r="E91" s="32" t="str">
        <x:f>IF($D91="","",IFERROR(XLOOKUP($D91,'02_Features'!$A$5:$A$1000,'02_Features'!$C$5:$C$1000),""))</x:f>
      </x:c>
      <x:c r="F91" s="32" t="str">
        <x:f>IF($D91="","",IFERROR(XLOOKUP($D91,'02_Features'!$A$5:$A$1000,'02_Features'!$D$5:$D$1000),""))</x:f>
      </x:c>
      <x:c r="G91" s="32" t="str">
        <x:f>IF($D91="","",IFERROR(XLOOKUP($D91,'02_Features'!$A$5:$A$1000,'02_Features'!$E$5:$E$1000),""))</x:f>
      </x:c>
      <x:c r="H91" s="32" t="str">
        <x:f>IF('03_Functionalities'!$A91="","",'03_Functionalities'!$A91)</x:f>
      </x:c>
      <x:c r="I91" s="32" t="str">
        <x:f>IF($H91="","",'03_Functionalities'!$D91)</x:f>
      </x:c>
      <x:c r="J91" s="32" t="str">
        <x:f>IF($H91="","",'03_Functionalities'!$E91)</x:f>
      </x:c>
      <x:c r="K91" s="32" t="str">
        <x:f>IF($H91="","",'03_Functionalities'!$F91)</x:f>
      </x:c>
      <x:c r="L91" s="32" t="str">
        <x:f>IF($H91="","",'03_Functionalities'!$G91)</x:f>
      </x:c>
      <x:c r="M91" s="32" t="str">
        <x:f>IF($H91="","",'03_Functionalities'!$H91)</x:f>
      </x:c>
      <x:c r="N91" s="32" t="str">
        <x:f>IF($H91="","",'03_Functionalities'!$I91)</x:f>
      </x:c>
      <x:c r="O91" s="32" t="str">
        <x:f>IF($H91="","",'03_Functionalities'!$J91)</x:f>
      </x:c>
      <x:c r="P91" s="32" t="str">
        <x:f>IF($H91="","",'03_Functionalities'!$K91)</x:f>
      </x:c>
      <x:c r="Q91" s="32" t="str">
        <x:f>IF($H91="","",'03_Functionalities'!$L91)</x:f>
      </x:c>
      <x:c r="R91" s="32" t="str">
        <x:f>IF($H91="","",'03_Functionalities'!$M91)</x:f>
      </x:c>
      <x:c r="S91" s="32" t="str">
        <x:f>IF($H91="","",'03_Functionalities'!$N91)</x:f>
      </x:c>
      <x:c r="T91" s="32" t="str">
        <x:f>IF($H91="","",'03_Functionalities'!$O91)</x:f>
      </x:c>
      <x:c r="U91" s="32" t="str">
        <x:f>IF($A91="","",IFERROR(XLOOKUP($A91,'01_Products'!$A$5:$A$500,'01_Products'!$G$5:$G$500),""))</x:f>
      </x:c>
      <x:c r="V91" s="32" t="str">
        <x:f>IF($D91="","",IFERROR(XLOOKUP($D91,'02_Features'!$A$5:$A$1000,'02_Features'!$J$5:$J$1000),""))</x:f>
      </x:c>
      <x:c r="W91" s="32" t="str">
        <x:f>IF($H91="","",'03_Functionalities'!$P91)</x:f>
      </x:c>
      <x:c r="X91" s="32" t="str">
        <x:f>IF($H91="","",'03_Functionalities'!$Q91)</x:f>
      </x:c>
      <x:c r="Y91" s="38"/>
      <x:c r="Z91" s="38"/>
    </x:row>
    <x:row r="92" ht="18" customHeight="1">
      <x:c r="A92" s="32" t="str">
        <x:f>IF('03_Functionalities'!$A92="","",'03_Functionalities'!$C92)</x:f>
      </x:c>
      <x:c r="B92" s="32" t="str">
        <x:f>IF($A92="","",IFERROR(XLOOKUP($A92,'01_Products'!$A$5:$A$500,'01_Products'!$B$5:$B$500),""))</x:f>
      </x:c>
      <x:c r="C92" s="32" t="str">
        <x:f>IF($A92="","",IFERROR(XLOOKUP($A92,'01_Products'!$A$5:$A$500,'01_Products'!$C$5:$C$500),""))</x:f>
      </x:c>
      <x:c r="D92" s="32" t="str">
        <x:f>IF('03_Functionalities'!$A92="","",'03_Functionalities'!$B92)</x:f>
      </x:c>
      <x:c r="E92" s="32" t="str">
        <x:f>IF($D92="","",IFERROR(XLOOKUP($D92,'02_Features'!$A$5:$A$1000,'02_Features'!$C$5:$C$1000),""))</x:f>
      </x:c>
      <x:c r="F92" s="32" t="str">
        <x:f>IF($D92="","",IFERROR(XLOOKUP($D92,'02_Features'!$A$5:$A$1000,'02_Features'!$D$5:$D$1000),""))</x:f>
      </x:c>
      <x:c r="G92" s="32" t="str">
        <x:f>IF($D92="","",IFERROR(XLOOKUP($D92,'02_Features'!$A$5:$A$1000,'02_Features'!$E$5:$E$1000),""))</x:f>
      </x:c>
      <x:c r="H92" s="32" t="str">
        <x:f>IF('03_Functionalities'!$A92="","",'03_Functionalities'!$A92)</x:f>
      </x:c>
      <x:c r="I92" s="32" t="str">
        <x:f>IF($H92="","",'03_Functionalities'!$D92)</x:f>
      </x:c>
      <x:c r="J92" s="32" t="str">
        <x:f>IF($H92="","",'03_Functionalities'!$E92)</x:f>
      </x:c>
      <x:c r="K92" s="32" t="str">
        <x:f>IF($H92="","",'03_Functionalities'!$F92)</x:f>
      </x:c>
      <x:c r="L92" s="32" t="str">
        <x:f>IF($H92="","",'03_Functionalities'!$G92)</x:f>
      </x:c>
      <x:c r="M92" s="32" t="str">
        <x:f>IF($H92="","",'03_Functionalities'!$H92)</x:f>
      </x:c>
      <x:c r="N92" s="32" t="str">
        <x:f>IF($H92="","",'03_Functionalities'!$I92)</x:f>
      </x:c>
      <x:c r="O92" s="32" t="str">
        <x:f>IF($H92="","",'03_Functionalities'!$J92)</x:f>
      </x:c>
      <x:c r="P92" s="32" t="str">
        <x:f>IF($H92="","",'03_Functionalities'!$K92)</x:f>
      </x:c>
      <x:c r="Q92" s="32" t="str">
        <x:f>IF($H92="","",'03_Functionalities'!$L92)</x:f>
      </x:c>
      <x:c r="R92" s="32" t="str">
        <x:f>IF($H92="","",'03_Functionalities'!$M92)</x:f>
      </x:c>
      <x:c r="S92" s="32" t="str">
        <x:f>IF($H92="","",'03_Functionalities'!$N92)</x:f>
      </x:c>
      <x:c r="T92" s="32" t="str">
        <x:f>IF($H92="","",'03_Functionalities'!$O92)</x:f>
      </x:c>
      <x:c r="U92" s="32" t="str">
        <x:f>IF($A92="","",IFERROR(XLOOKUP($A92,'01_Products'!$A$5:$A$500,'01_Products'!$G$5:$G$500),""))</x:f>
      </x:c>
      <x:c r="V92" s="32" t="str">
        <x:f>IF($D92="","",IFERROR(XLOOKUP($D92,'02_Features'!$A$5:$A$1000,'02_Features'!$J$5:$J$1000),""))</x:f>
      </x:c>
      <x:c r="W92" s="32" t="str">
        <x:f>IF($H92="","",'03_Functionalities'!$P92)</x:f>
      </x:c>
      <x:c r="X92" s="32" t="str">
        <x:f>IF($H92="","",'03_Functionalities'!$Q92)</x:f>
      </x:c>
      <x:c r="Y92" s="38"/>
      <x:c r="Z92" s="38"/>
    </x:row>
    <x:row r="93" ht="18" customHeight="1">
      <x:c r="A93" s="32" t="str">
        <x:f>IF('03_Functionalities'!$A93="","",'03_Functionalities'!$C93)</x:f>
      </x:c>
      <x:c r="B93" s="32" t="str">
        <x:f>IF($A93="","",IFERROR(XLOOKUP($A93,'01_Products'!$A$5:$A$500,'01_Products'!$B$5:$B$500),""))</x:f>
      </x:c>
      <x:c r="C93" s="32" t="str">
        <x:f>IF($A93="","",IFERROR(XLOOKUP($A93,'01_Products'!$A$5:$A$500,'01_Products'!$C$5:$C$500),""))</x:f>
      </x:c>
      <x:c r="D93" s="32" t="str">
        <x:f>IF('03_Functionalities'!$A93="","",'03_Functionalities'!$B93)</x:f>
      </x:c>
      <x:c r="E93" s="32" t="str">
        <x:f>IF($D93="","",IFERROR(XLOOKUP($D93,'02_Features'!$A$5:$A$1000,'02_Features'!$C$5:$C$1000),""))</x:f>
      </x:c>
      <x:c r="F93" s="32" t="str">
        <x:f>IF($D93="","",IFERROR(XLOOKUP($D93,'02_Features'!$A$5:$A$1000,'02_Features'!$D$5:$D$1000),""))</x:f>
      </x:c>
      <x:c r="G93" s="32" t="str">
        <x:f>IF($D93="","",IFERROR(XLOOKUP($D93,'02_Features'!$A$5:$A$1000,'02_Features'!$E$5:$E$1000),""))</x:f>
      </x:c>
      <x:c r="H93" s="32" t="str">
        <x:f>IF('03_Functionalities'!$A93="","",'03_Functionalities'!$A93)</x:f>
      </x:c>
      <x:c r="I93" s="32" t="str">
        <x:f>IF($H93="","",'03_Functionalities'!$D93)</x:f>
      </x:c>
      <x:c r="J93" s="32" t="str">
        <x:f>IF($H93="","",'03_Functionalities'!$E93)</x:f>
      </x:c>
      <x:c r="K93" s="32" t="str">
        <x:f>IF($H93="","",'03_Functionalities'!$F93)</x:f>
      </x:c>
      <x:c r="L93" s="32" t="str">
        <x:f>IF($H93="","",'03_Functionalities'!$G93)</x:f>
      </x:c>
      <x:c r="M93" s="32" t="str">
        <x:f>IF($H93="","",'03_Functionalities'!$H93)</x:f>
      </x:c>
      <x:c r="N93" s="32" t="str">
        <x:f>IF($H93="","",'03_Functionalities'!$I93)</x:f>
      </x:c>
      <x:c r="O93" s="32" t="str">
        <x:f>IF($H93="","",'03_Functionalities'!$J93)</x:f>
      </x:c>
      <x:c r="P93" s="32" t="str">
        <x:f>IF($H93="","",'03_Functionalities'!$K93)</x:f>
      </x:c>
      <x:c r="Q93" s="32" t="str">
        <x:f>IF($H93="","",'03_Functionalities'!$L93)</x:f>
      </x:c>
      <x:c r="R93" s="32" t="str">
        <x:f>IF($H93="","",'03_Functionalities'!$M93)</x:f>
      </x:c>
      <x:c r="S93" s="32" t="str">
        <x:f>IF($H93="","",'03_Functionalities'!$N93)</x:f>
      </x:c>
      <x:c r="T93" s="32" t="str">
        <x:f>IF($H93="","",'03_Functionalities'!$O93)</x:f>
      </x:c>
      <x:c r="U93" s="32" t="str">
        <x:f>IF($A93="","",IFERROR(XLOOKUP($A93,'01_Products'!$A$5:$A$500,'01_Products'!$G$5:$G$500),""))</x:f>
      </x:c>
      <x:c r="V93" s="32" t="str">
        <x:f>IF($D93="","",IFERROR(XLOOKUP($D93,'02_Features'!$A$5:$A$1000,'02_Features'!$J$5:$J$1000),""))</x:f>
      </x:c>
      <x:c r="W93" s="32" t="str">
        <x:f>IF($H93="","",'03_Functionalities'!$P93)</x:f>
      </x:c>
      <x:c r="X93" s="32" t="str">
        <x:f>IF($H93="","",'03_Functionalities'!$Q93)</x:f>
      </x:c>
      <x:c r="Y93" s="38"/>
      <x:c r="Z93" s="38"/>
    </x:row>
    <x:row r="94" ht="18" customHeight="1">
      <x:c r="A94" s="32" t="str">
        <x:f>IF('03_Functionalities'!$A94="","",'03_Functionalities'!$C94)</x:f>
      </x:c>
      <x:c r="B94" s="32" t="str">
        <x:f>IF($A94="","",IFERROR(XLOOKUP($A94,'01_Products'!$A$5:$A$500,'01_Products'!$B$5:$B$500),""))</x:f>
      </x:c>
      <x:c r="C94" s="32" t="str">
        <x:f>IF($A94="","",IFERROR(XLOOKUP($A94,'01_Products'!$A$5:$A$500,'01_Products'!$C$5:$C$500),""))</x:f>
      </x:c>
      <x:c r="D94" s="32" t="str">
        <x:f>IF('03_Functionalities'!$A94="","",'03_Functionalities'!$B94)</x:f>
      </x:c>
      <x:c r="E94" s="32" t="str">
        <x:f>IF($D94="","",IFERROR(XLOOKUP($D94,'02_Features'!$A$5:$A$1000,'02_Features'!$C$5:$C$1000),""))</x:f>
      </x:c>
      <x:c r="F94" s="32" t="str">
        <x:f>IF($D94="","",IFERROR(XLOOKUP($D94,'02_Features'!$A$5:$A$1000,'02_Features'!$D$5:$D$1000),""))</x:f>
      </x:c>
      <x:c r="G94" s="32" t="str">
        <x:f>IF($D94="","",IFERROR(XLOOKUP($D94,'02_Features'!$A$5:$A$1000,'02_Features'!$E$5:$E$1000),""))</x:f>
      </x:c>
      <x:c r="H94" s="32" t="str">
        <x:f>IF('03_Functionalities'!$A94="","",'03_Functionalities'!$A94)</x:f>
      </x:c>
      <x:c r="I94" s="32" t="str">
        <x:f>IF($H94="","",'03_Functionalities'!$D94)</x:f>
      </x:c>
      <x:c r="J94" s="32" t="str">
        <x:f>IF($H94="","",'03_Functionalities'!$E94)</x:f>
      </x:c>
      <x:c r="K94" s="32" t="str">
        <x:f>IF($H94="","",'03_Functionalities'!$F94)</x:f>
      </x:c>
      <x:c r="L94" s="32" t="str">
        <x:f>IF($H94="","",'03_Functionalities'!$G94)</x:f>
      </x:c>
      <x:c r="M94" s="32" t="str">
        <x:f>IF($H94="","",'03_Functionalities'!$H94)</x:f>
      </x:c>
      <x:c r="N94" s="32" t="str">
        <x:f>IF($H94="","",'03_Functionalities'!$I94)</x:f>
      </x:c>
      <x:c r="O94" s="32" t="str">
        <x:f>IF($H94="","",'03_Functionalities'!$J94)</x:f>
      </x:c>
      <x:c r="P94" s="32" t="str">
        <x:f>IF($H94="","",'03_Functionalities'!$K94)</x:f>
      </x:c>
      <x:c r="Q94" s="32" t="str">
        <x:f>IF($H94="","",'03_Functionalities'!$L94)</x:f>
      </x:c>
      <x:c r="R94" s="32" t="str">
        <x:f>IF($H94="","",'03_Functionalities'!$M94)</x:f>
      </x:c>
      <x:c r="S94" s="32" t="str">
        <x:f>IF($H94="","",'03_Functionalities'!$N94)</x:f>
      </x:c>
      <x:c r="T94" s="32" t="str">
        <x:f>IF($H94="","",'03_Functionalities'!$O94)</x:f>
      </x:c>
      <x:c r="U94" s="32" t="str">
        <x:f>IF($A94="","",IFERROR(XLOOKUP($A94,'01_Products'!$A$5:$A$500,'01_Products'!$G$5:$G$500),""))</x:f>
      </x:c>
      <x:c r="V94" s="32" t="str">
        <x:f>IF($D94="","",IFERROR(XLOOKUP($D94,'02_Features'!$A$5:$A$1000,'02_Features'!$J$5:$J$1000),""))</x:f>
      </x:c>
      <x:c r="W94" s="32" t="str">
        <x:f>IF($H94="","",'03_Functionalities'!$P94)</x:f>
      </x:c>
      <x:c r="X94" s="32" t="str">
        <x:f>IF($H94="","",'03_Functionalities'!$Q94)</x:f>
      </x:c>
      <x:c r="Y94" s="38"/>
      <x:c r="Z94" s="38"/>
    </x:row>
    <x:row r="95" ht="18" customHeight="1">
      <x:c r="A95" s="32" t="str">
        <x:f>IF('03_Functionalities'!$A95="","",'03_Functionalities'!$C95)</x:f>
      </x:c>
      <x:c r="B95" s="32" t="str">
        <x:f>IF($A95="","",IFERROR(XLOOKUP($A95,'01_Products'!$A$5:$A$500,'01_Products'!$B$5:$B$500),""))</x:f>
      </x:c>
      <x:c r="C95" s="32" t="str">
        <x:f>IF($A95="","",IFERROR(XLOOKUP($A95,'01_Products'!$A$5:$A$500,'01_Products'!$C$5:$C$500),""))</x:f>
      </x:c>
      <x:c r="D95" s="32" t="str">
        <x:f>IF('03_Functionalities'!$A95="","",'03_Functionalities'!$B95)</x:f>
      </x:c>
      <x:c r="E95" s="32" t="str">
        <x:f>IF($D95="","",IFERROR(XLOOKUP($D95,'02_Features'!$A$5:$A$1000,'02_Features'!$C$5:$C$1000),""))</x:f>
      </x:c>
      <x:c r="F95" s="32" t="str">
        <x:f>IF($D95="","",IFERROR(XLOOKUP($D95,'02_Features'!$A$5:$A$1000,'02_Features'!$D$5:$D$1000),""))</x:f>
      </x:c>
      <x:c r="G95" s="32" t="str">
        <x:f>IF($D95="","",IFERROR(XLOOKUP($D95,'02_Features'!$A$5:$A$1000,'02_Features'!$E$5:$E$1000),""))</x:f>
      </x:c>
      <x:c r="H95" s="32" t="str">
        <x:f>IF('03_Functionalities'!$A95="","",'03_Functionalities'!$A95)</x:f>
      </x:c>
      <x:c r="I95" s="32" t="str">
        <x:f>IF($H95="","",'03_Functionalities'!$D95)</x:f>
      </x:c>
      <x:c r="J95" s="32" t="str">
        <x:f>IF($H95="","",'03_Functionalities'!$E95)</x:f>
      </x:c>
      <x:c r="K95" s="32" t="str">
        <x:f>IF($H95="","",'03_Functionalities'!$F95)</x:f>
      </x:c>
      <x:c r="L95" s="32" t="str">
        <x:f>IF($H95="","",'03_Functionalities'!$G95)</x:f>
      </x:c>
      <x:c r="M95" s="32" t="str">
        <x:f>IF($H95="","",'03_Functionalities'!$H95)</x:f>
      </x:c>
      <x:c r="N95" s="32" t="str">
        <x:f>IF($H95="","",'03_Functionalities'!$I95)</x:f>
      </x:c>
      <x:c r="O95" s="32" t="str">
        <x:f>IF($H95="","",'03_Functionalities'!$J95)</x:f>
      </x:c>
      <x:c r="P95" s="32" t="str">
        <x:f>IF($H95="","",'03_Functionalities'!$K95)</x:f>
      </x:c>
      <x:c r="Q95" s="32" t="str">
        <x:f>IF($H95="","",'03_Functionalities'!$L95)</x:f>
      </x:c>
      <x:c r="R95" s="32" t="str">
        <x:f>IF($H95="","",'03_Functionalities'!$M95)</x:f>
      </x:c>
      <x:c r="S95" s="32" t="str">
        <x:f>IF($H95="","",'03_Functionalities'!$N95)</x:f>
      </x:c>
      <x:c r="T95" s="32" t="str">
        <x:f>IF($H95="","",'03_Functionalities'!$O95)</x:f>
      </x:c>
      <x:c r="U95" s="32" t="str">
        <x:f>IF($A95="","",IFERROR(XLOOKUP($A95,'01_Products'!$A$5:$A$500,'01_Products'!$G$5:$G$500),""))</x:f>
      </x:c>
      <x:c r="V95" s="32" t="str">
        <x:f>IF($D95="","",IFERROR(XLOOKUP($D95,'02_Features'!$A$5:$A$1000,'02_Features'!$J$5:$J$1000),""))</x:f>
      </x:c>
      <x:c r="W95" s="32" t="str">
        <x:f>IF($H95="","",'03_Functionalities'!$P95)</x:f>
      </x:c>
      <x:c r="X95" s="32" t="str">
        <x:f>IF($H95="","",'03_Functionalities'!$Q95)</x:f>
      </x:c>
      <x:c r="Y95" s="38"/>
      <x:c r="Z95" s="38"/>
    </x:row>
    <x:row r="96" ht="18" customHeight="1">
      <x:c r="A96" s="32" t="str">
        <x:f>IF('03_Functionalities'!$A96="","",'03_Functionalities'!$C96)</x:f>
      </x:c>
      <x:c r="B96" s="32" t="str">
        <x:f>IF($A96="","",IFERROR(XLOOKUP($A96,'01_Products'!$A$5:$A$500,'01_Products'!$B$5:$B$500),""))</x:f>
      </x:c>
      <x:c r="C96" s="32" t="str">
        <x:f>IF($A96="","",IFERROR(XLOOKUP($A96,'01_Products'!$A$5:$A$500,'01_Products'!$C$5:$C$500),""))</x:f>
      </x:c>
      <x:c r="D96" s="32" t="str">
        <x:f>IF('03_Functionalities'!$A96="","",'03_Functionalities'!$B96)</x:f>
      </x:c>
      <x:c r="E96" s="32" t="str">
        <x:f>IF($D96="","",IFERROR(XLOOKUP($D96,'02_Features'!$A$5:$A$1000,'02_Features'!$C$5:$C$1000),""))</x:f>
      </x:c>
      <x:c r="F96" s="32" t="str">
        <x:f>IF($D96="","",IFERROR(XLOOKUP($D96,'02_Features'!$A$5:$A$1000,'02_Features'!$D$5:$D$1000),""))</x:f>
      </x:c>
      <x:c r="G96" s="32" t="str">
        <x:f>IF($D96="","",IFERROR(XLOOKUP($D96,'02_Features'!$A$5:$A$1000,'02_Features'!$E$5:$E$1000),""))</x:f>
      </x:c>
      <x:c r="H96" s="32" t="str">
        <x:f>IF('03_Functionalities'!$A96="","",'03_Functionalities'!$A96)</x:f>
      </x:c>
      <x:c r="I96" s="32" t="str">
        <x:f>IF($H96="","",'03_Functionalities'!$D96)</x:f>
      </x:c>
      <x:c r="J96" s="32" t="str">
        <x:f>IF($H96="","",'03_Functionalities'!$E96)</x:f>
      </x:c>
      <x:c r="K96" s="32" t="str">
        <x:f>IF($H96="","",'03_Functionalities'!$F96)</x:f>
      </x:c>
      <x:c r="L96" s="32" t="str">
        <x:f>IF($H96="","",'03_Functionalities'!$G96)</x:f>
      </x:c>
      <x:c r="M96" s="32" t="str">
        <x:f>IF($H96="","",'03_Functionalities'!$H96)</x:f>
      </x:c>
      <x:c r="N96" s="32" t="str">
        <x:f>IF($H96="","",'03_Functionalities'!$I96)</x:f>
      </x:c>
      <x:c r="O96" s="32" t="str">
        <x:f>IF($H96="","",'03_Functionalities'!$J96)</x:f>
      </x:c>
      <x:c r="P96" s="32" t="str">
        <x:f>IF($H96="","",'03_Functionalities'!$K96)</x:f>
      </x:c>
      <x:c r="Q96" s="32" t="str">
        <x:f>IF($H96="","",'03_Functionalities'!$L96)</x:f>
      </x:c>
      <x:c r="R96" s="32" t="str">
        <x:f>IF($H96="","",'03_Functionalities'!$M96)</x:f>
      </x:c>
      <x:c r="S96" s="32" t="str">
        <x:f>IF($H96="","",'03_Functionalities'!$N96)</x:f>
      </x:c>
      <x:c r="T96" s="32" t="str">
        <x:f>IF($H96="","",'03_Functionalities'!$O96)</x:f>
      </x:c>
      <x:c r="U96" s="32" t="str">
        <x:f>IF($A96="","",IFERROR(XLOOKUP($A96,'01_Products'!$A$5:$A$500,'01_Products'!$G$5:$G$500),""))</x:f>
      </x:c>
      <x:c r="V96" s="32" t="str">
        <x:f>IF($D96="","",IFERROR(XLOOKUP($D96,'02_Features'!$A$5:$A$1000,'02_Features'!$J$5:$J$1000),""))</x:f>
      </x:c>
      <x:c r="W96" s="32" t="str">
        <x:f>IF($H96="","",'03_Functionalities'!$P96)</x:f>
      </x:c>
      <x:c r="X96" s="32" t="str">
        <x:f>IF($H96="","",'03_Functionalities'!$Q96)</x:f>
      </x:c>
      <x:c r="Y96" s="38"/>
      <x:c r="Z96" s="38"/>
    </x:row>
    <x:row r="97" ht="18" customHeight="1">
      <x:c r="A97" s="32" t="str">
        <x:f>IF('03_Functionalities'!$A97="","",'03_Functionalities'!$C97)</x:f>
      </x:c>
      <x:c r="B97" s="32" t="str">
        <x:f>IF($A97="","",IFERROR(XLOOKUP($A97,'01_Products'!$A$5:$A$500,'01_Products'!$B$5:$B$500),""))</x:f>
      </x:c>
      <x:c r="C97" s="32" t="str">
        <x:f>IF($A97="","",IFERROR(XLOOKUP($A97,'01_Products'!$A$5:$A$500,'01_Products'!$C$5:$C$500),""))</x:f>
      </x:c>
      <x:c r="D97" s="32" t="str">
        <x:f>IF('03_Functionalities'!$A97="","",'03_Functionalities'!$B97)</x:f>
      </x:c>
      <x:c r="E97" s="32" t="str">
        <x:f>IF($D97="","",IFERROR(XLOOKUP($D97,'02_Features'!$A$5:$A$1000,'02_Features'!$C$5:$C$1000),""))</x:f>
      </x:c>
      <x:c r="F97" s="32" t="str">
        <x:f>IF($D97="","",IFERROR(XLOOKUP($D97,'02_Features'!$A$5:$A$1000,'02_Features'!$D$5:$D$1000),""))</x:f>
      </x:c>
      <x:c r="G97" s="32" t="str">
        <x:f>IF($D97="","",IFERROR(XLOOKUP($D97,'02_Features'!$A$5:$A$1000,'02_Features'!$E$5:$E$1000),""))</x:f>
      </x:c>
      <x:c r="H97" s="32" t="str">
        <x:f>IF('03_Functionalities'!$A97="","",'03_Functionalities'!$A97)</x:f>
      </x:c>
      <x:c r="I97" s="32" t="str">
        <x:f>IF($H97="","",'03_Functionalities'!$D97)</x:f>
      </x:c>
      <x:c r="J97" s="32" t="str">
        <x:f>IF($H97="","",'03_Functionalities'!$E97)</x:f>
      </x:c>
      <x:c r="K97" s="32" t="str">
        <x:f>IF($H97="","",'03_Functionalities'!$F97)</x:f>
      </x:c>
      <x:c r="L97" s="32" t="str">
        <x:f>IF($H97="","",'03_Functionalities'!$G97)</x:f>
      </x:c>
      <x:c r="M97" s="32" t="str">
        <x:f>IF($H97="","",'03_Functionalities'!$H97)</x:f>
      </x:c>
      <x:c r="N97" s="32" t="str">
        <x:f>IF($H97="","",'03_Functionalities'!$I97)</x:f>
      </x:c>
      <x:c r="O97" s="32" t="str">
        <x:f>IF($H97="","",'03_Functionalities'!$J97)</x:f>
      </x:c>
      <x:c r="P97" s="32" t="str">
        <x:f>IF($H97="","",'03_Functionalities'!$K97)</x:f>
      </x:c>
      <x:c r="Q97" s="32" t="str">
        <x:f>IF($H97="","",'03_Functionalities'!$L97)</x:f>
      </x:c>
      <x:c r="R97" s="32" t="str">
        <x:f>IF($H97="","",'03_Functionalities'!$M97)</x:f>
      </x:c>
      <x:c r="S97" s="32" t="str">
        <x:f>IF($H97="","",'03_Functionalities'!$N97)</x:f>
      </x:c>
      <x:c r="T97" s="32" t="str">
        <x:f>IF($H97="","",'03_Functionalities'!$O97)</x:f>
      </x:c>
      <x:c r="U97" s="32" t="str">
        <x:f>IF($A97="","",IFERROR(XLOOKUP($A97,'01_Products'!$A$5:$A$500,'01_Products'!$G$5:$G$500),""))</x:f>
      </x:c>
      <x:c r="V97" s="32" t="str">
        <x:f>IF($D97="","",IFERROR(XLOOKUP($D97,'02_Features'!$A$5:$A$1000,'02_Features'!$J$5:$J$1000),""))</x:f>
      </x:c>
      <x:c r="W97" s="32" t="str">
        <x:f>IF($H97="","",'03_Functionalities'!$P97)</x:f>
      </x:c>
      <x:c r="X97" s="32" t="str">
        <x:f>IF($H97="","",'03_Functionalities'!$Q97)</x:f>
      </x:c>
      <x:c r="Y97" s="38"/>
      <x:c r="Z97" s="38"/>
    </x:row>
    <x:row r="98" ht="18" customHeight="1">
      <x:c r="A98" s="32" t="str">
        <x:f>IF('03_Functionalities'!$A98="","",'03_Functionalities'!$C98)</x:f>
      </x:c>
      <x:c r="B98" s="32" t="str">
        <x:f>IF($A98="","",IFERROR(XLOOKUP($A98,'01_Products'!$A$5:$A$500,'01_Products'!$B$5:$B$500),""))</x:f>
      </x:c>
      <x:c r="C98" s="32" t="str">
        <x:f>IF($A98="","",IFERROR(XLOOKUP($A98,'01_Products'!$A$5:$A$500,'01_Products'!$C$5:$C$500),""))</x:f>
      </x:c>
      <x:c r="D98" s="32" t="str">
        <x:f>IF('03_Functionalities'!$A98="","",'03_Functionalities'!$B98)</x:f>
      </x:c>
      <x:c r="E98" s="32" t="str">
        <x:f>IF($D98="","",IFERROR(XLOOKUP($D98,'02_Features'!$A$5:$A$1000,'02_Features'!$C$5:$C$1000),""))</x:f>
      </x:c>
      <x:c r="F98" s="32" t="str">
        <x:f>IF($D98="","",IFERROR(XLOOKUP($D98,'02_Features'!$A$5:$A$1000,'02_Features'!$D$5:$D$1000),""))</x:f>
      </x:c>
      <x:c r="G98" s="32" t="str">
        <x:f>IF($D98="","",IFERROR(XLOOKUP($D98,'02_Features'!$A$5:$A$1000,'02_Features'!$E$5:$E$1000),""))</x:f>
      </x:c>
      <x:c r="H98" s="32" t="str">
        <x:f>IF('03_Functionalities'!$A98="","",'03_Functionalities'!$A98)</x:f>
      </x:c>
      <x:c r="I98" s="32" t="str">
        <x:f>IF($H98="","",'03_Functionalities'!$D98)</x:f>
      </x:c>
      <x:c r="J98" s="32" t="str">
        <x:f>IF($H98="","",'03_Functionalities'!$E98)</x:f>
      </x:c>
      <x:c r="K98" s="32" t="str">
        <x:f>IF($H98="","",'03_Functionalities'!$F98)</x:f>
      </x:c>
      <x:c r="L98" s="32" t="str">
        <x:f>IF($H98="","",'03_Functionalities'!$G98)</x:f>
      </x:c>
      <x:c r="M98" s="32" t="str">
        <x:f>IF($H98="","",'03_Functionalities'!$H98)</x:f>
      </x:c>
      <x:c r="N98" s="32" t="str">
        <x:f>IF($H98="","",'03_Functionalities'!$I98)</x:f>
      </x:c>
      <x:c r="O98" s="32" t="str">
        <x:f>IF($H98="","",'03_Functionalities'!$J98)</x:f>
      </x:c>
      <x:c r="P98" s="32" t="str">
        <x:f>IF($H98="","",'03_Functionalities'!$K98)</x:f>
      </x:c>
      <x:c r="Q98" s="32" t="str">
        <x:f>IF($H98="","",'03_Functionalities'!$L98)</x:f>
      </x:c>
      <x:c r="R98" s="32" t="str">
        <x:f>IF($H98="","",'03_Functionalities'!$M98)</x:f>
      </x:c>
      <x:c r="S98" s="32" t="str">
        <x:f>IF($H98="","",'03_Functionalities'!$N98)</x:f>
      </x:c>
      <x:c r="T98" s="32" t="str">
        <x:f>IF($H98="","",'03_Functionalities'!$O98)</x:f>
      </x:c>
      <x:c r="U98" s="32" t="str">
        <x:f>IF($A98="","",IFERROR(XLOOKUP($A98,'01_Products'!$A$5:$A$500,'01_Products'!$G$5:$G$500),""))</x:f>
      </x:c>
      <x:c r="V98" s="32" t="str">
        <x:f>IF($D98="","",IFERROR(XLOOKUP($D98,'02_Features'!$A$5:$A$1000,'02_Features'!$J$5:$J$1000),""))</x:f>
      </x:c>
      <x:c r="W98" s="32" t="str">
        <x:f>IF($H98="","",'03_Functionalities'!$P98)</x:f>
      </x:c>
      <x:c r="X98" s="32" t="str">
        <x:f>IF($H98="","",'03_Functionalities'!$Q98)</x:f>
      </x:c>
      <x:c r="Y98" s="38"/>
      <x:c r="Z98" s="38"/>
    </x:row>
    <x:row r="99" ht="18" customHeight="1">
      <x:c r="A99" s="32" t="str">
        <x:f>IF('03_Functionalities'!$A99="","",'03_Functionalities'!$C99)</x:f>
      </x:c>
      <x:c r="B99" s="32" t="str">
        <x:f>IF($A99="","",IFERROR(XLOOKUP($A99,'01_Products'!$A$5:$A$500,'01_Products'!$B$5:$B$500),""))</x:f>
      </x:c>
      <x:c r="C99" s="32" t="str">
        <x:f>IF($A99="","",IFERROR(XLOOKUP($A99,'01_Products'!$A$5:$A$500,'01_Products'!$C$5:$C$500),""))</x:f>
      </x:c>
      <x:c r="D99" s="32" t="str">
        <x:f>IF('03_Functionalities'!$A99="","",'03_Functionalities'!$B99)</x:f>
      </x:c>
      <x:c r="E99" s="32" t="str">
        <x:f>IF($D99="","",IFERROR(XLOOKUP($D99,'02_Features'!$A$5:$A$1000,'02_Features'!$C$5:$C$1000),""))</x:f>
      </x:c>
      <x:c r="F99" s="32" t="str">
        <x:f>IF($D99="","",IFERROR(XLOOKUP($D99,'02_Features'!$A$5:$A$1000,'02_Features'!$D$5:$D$1000),""))</x:f>
      </x:c>
      <x:c r="G99" s="32" t="str">
        <x:f>IF($D99="","",IFERROR(XLOOKUP($D99,'02_Features'!$A$5:$A$1000,'02_Features'!$E$5:$E$1000),""))</x:f>
      </x:c>
      <x:c r="H99" s="32" t="str">
        <x:f>IF('03_Functionalities'!$A99="","",'03_Functionalities'!$A99)</x:f>
      </x:c>
      <x:c r="I99" s="32" t="str">
        <x:f>IF($H99="","",'03_Functionalities'!$D99)</x:f>
      </x:c>
      <x:c r="J99" s="32" t="str">
        <x:f>IF($H99="","",'03_Functionalities'!$E99)</x:f>
      </x:c>
      <x:c r="K99" s="32" t="str">
        <x:f>IF($H99="","",'03_Functionalities'!$F99)</x:f>
      </x:c>
      <x:c r="L99" s="32" t="str">
        <x:f>IF($H99="","",'03_Functionalities'!$G99)</x:f>
      </x:c>
      <x:c r="M99" s="32" t="str">
        <x:f>IF($H99="","",'03_Functionalities'!$H99)</x:f>
      </x:c>
      <x:c r="N99" s="32" t="str">
        <x:f>IF($H99="","",'03_Functionalities'!$I99)</x:f>
      </x:c>
      <x:c r="O99" s="32" t="str">
        <x:f>IF($H99="","",'03_Functionalities'!$J99)</x:f>
      </x:c>
      <x:c r="P99" s="32" t="str">
        <x:f>IF($H99="","",'03_Functionalities'!$K99)</x:f>
      </x:c>
      <x:c r="Q99" s="32" t="str">
        <x:f>IF($H99="","",'03_Functionalities'!$L99)</x:f>
      </x:c>
      <x:c r="R99" s="32" t="str">
        <x:f>IF($H99="","",'03_Functionalities'!$M99)</x:f>
      </x:c>
      <x:c r="S99" s="32" t="str">
        <x:f>IF($H99="","",'03_Functionalities'!$N99)</x:f>
      </x:c>
      <x:c r="T99" s="32" t="str">
        <x:f>IF($H99="","",'03_Functionalities'!$O99)</x:f>
      </x:c>
      <x:c r="U99" s="32" t="str">
        <x:f>IF($A99="","",IFERROR(XLOOKUP($A99,'01_Products'!$A$5:$A$500,'01_Products'!$G$5:$G$500),""))</x:f>
      </x:c>
      <x:c r="V99" s="32" t="str">
        <x:f>IF($D99="","",IFERROR(XLOOKUP($D99,'02_Features'!$A$5:$A$1000,'02_Features'!$J$5:$J$1000),""))</x:f>
      </x:c>
      <x:c r="W99" s="32" t="str">
        <x:f>IF($H99="","",'03_Functionalities'!$P99)</x:f>
      </x:c>
      <x:c r="X99" s="32" t="str">
        <x:f>IF($H99="","",'03_Functionalities'!$Q99)</x:f>
      </x:c>
      <x:c r="Y99" s="38"/>
      <x:c r="Z99" s="38"/>
    </x:row>
    <x:row r="100" ht="18" customHeight="1">
      <x:c r="A100" s="32" t="str">
        <x:f>IF('03_Functionalities'!$A100="","",'03_Functionalities'!$C100)</x:f>
      </x:c>
      <x:c r="B100" s="32" t="str">
        <x:f>IF($A100="","",IFERROR(XLOOKUP($A100,'01_Products'!$A$5:$A$500,'01_Products'!$B$5:$B$500),""))</x:f>
      </x:c>
      <x:c r="C100" s="32" t="str">
        <x:f>IF($A100="","",IFERROR(XLOOKUP($A100,'01_Products'!$A$5:$A$500,'01_Products'!$C$5:$C$500),""))</x:f>
      </x:c>
      <x:c r="D100" s="32" t="str">
        <x:f>IF('03_Functionalities'!$A100="","",'03_Functionalities'!$B100)</x:f>
      </x:c>
      <x:c r="E100" s="32" t="str">
        <x:f>IF($D100="","",IFERROR(XLOOKUP($D100,'02_Features'!$A$5:$A$1000,'02_Features'!$C$5:$C$1000),""))</x:f>
      </x:c>
      <x:c r="F100" s="32" t="str">
        <x:f>IF($D100="","",IFERROR(XLOOKUP($D100,'02_Features'!$A$5:$A$1000,'02_Features'!$D$5:$D$1000),""))</x:f>
      </x:c>
      <x:c r="G100" s="32" t="str">
        <x:f>IF($D100="","",IFERROR(XLOOKUP($D100,'02_Features'!$A$5:$A$1000,'02_Features'!$E$5:$E$1000),""))</x:f>
      </x:c>
      <x:c r="H100" s="32" t="str">
        <x:f>IF('03_Functionalities'!$A100="","",'03_Functionalities'!$A100)</x:f>
      </x:c>
      <x:c r="I100" s="32" t="str">
        <x:f>IF($H100="","",'03_Functionalities'!$D100)</x:f>
      </x:c>
      <x:c r="J100" s="32" t="str">
        <x:f>IF($H100="","",'03_Functionalities'!$E100)</x:f>
      </x:c>
      <x:c r="K100" s="32" t="str">
        <x:f>IF($H100="","",'03_Functionalities'!$F100)</x:f>
      </x:c>
      <x:c r="L100" s="32" t="str">
        <x:f>IF($H100="","",'03_Functionalities'!$G100)</x:f>
      </x:c>
      <x:c r="M100" s="32" t="str">
        <x:f>IF($H100="","",'03_Functionalities'!$H100)</x:f>
      </x:c>
      <x:c r="N100" s="32" t="str">
        <x:f>IF($H100="","",'03_Functionalities'!$I100)</x:f>
      </x:c>
      <x:c r="O100" s="32" t="str">
        <x:f>IF($H100="","",'03_Functionalities'!$J100)</x:f>
      </x:c>
      <x:c r="P100" s="32" t="str">
        <x:f>IF($H100="","",'03_Functionalities'!$K100)</x:f>
      </x:c>
      <x:c r="Q100" s="32" t="str">
        <x:f>IF($H100="","",'03_Functionalities'!$L100)</x:f>
      </x:c>
      <x:c r="R100" s="32" t="str">
        <x:f>IF($H100="","",'03_Functionalities'!$M100)</x:f>
      </x:c>
      <x:c r="S100" s="32" t="str">
        <x:f>IF($H100="","",'03_Functionalities'!$N100)</x:f>
      </x:c>
      <x:c r="T100" s="32" t="str">
        <x:f>IF($H100="","",'03_Functionalities'!$O100)</x:f>
      </x:c>
      <x:c r="U100" s="32" t="str">
        <x:f>IF($A100="","",IFERROR(XLOOKUP($A100,'01_Products'!$A$5:$A$500,'01_Products'!$G$5:$G$500),""))</x:f>
      </x:c>
      <x:c r="V100" s="32" t="str">
        <x:f>IF($D100="","",IFERROR(XLOOKUP($D100,'02_Features'!$A$5:$A$1000,'02_Features'!$J$5:$J$1000),""))</x:f>
      </x:c>
      <x:c r="W100" s="32" t="str">
        <x:f>IF($H100="","",'03_Functionalities'!$P100)</x:f>
      </x:c>
      <x:c r="X100" s="32" t="str">
        <x:f>IF($H100="","",'03_Functionalities'!$Q100)</x:f>
      </x:c>
      <x:c r="Y100" s="38"/>
      <x:c r="Z100" s="38"/>
    </x:row>
    <x:row r="101" ht="18" customHeight="1">
      <x:c r="A101" s="32" t="str">
        <x:f>IF('03_Functionalities'!$A101="","",'03_Functionalities'!$C101)</x:f>
      </x:c>
      <x:c r="B101" s="32" t="str">
        <x:f>IF($A101="","",IFERROR(XLOOKUP($A101,'01_Products'!$A$5:$A$500,'01_Products'!$B$5:$B$500),""))</x:f>
      </x:c>
      <x:c r="C101" s="32" t="str">
        <x:f>IF($A101="","",IFERROR(XLOOKUP($A101,'01_Products'!$A$5:$A$500,'01_Products'!$C$5:$C$500),""))</x:f>
      </x:c>
      <x:c r="D101" s="32" t="str">
        <x:f>IF('03_Functionalities'!$A101="","",'03_Functionalities'!$B101)</x:f>
      </x:c>
      <x:c r="E101" s="32" t="str">
        <x:f>IF($D101="","",IFERROR(XLOOKUP($D101,'02_Features'!$A$5:$A$1000,'02_Features'!$C$5:$C$1000),""))</x:f>
      </x:c>
      <x:c r="F101" s="32" t="str">
        <x:f>IF($D101="","",IFERROR(XLOOKUP($D101,'02_Features'!$A$5:$A$1000,'02_Features'!$D$5:$D$1000),""))</x:f>
      </x:c>
      <x:c r="G101" s="32" t="str">
        <x:f>IF($D101="","",IFERROR(XLOOKUP($D101,'02_Features'!$A$5:$A$1000,'02_Features'!$E$5:$E$1000),""))</x:f>
      </x:c>
      <x:c r="H101" s="32" t="str">
        <x:f>IF('03_Functionalities'!$A101="","",'03_Functionalities'!$A101)</x:f>
      </x:c>
      <x:c r="I101" s="32" t="str">
        <x:f>IF($H101="","",'03_Functionalities'!$D101)</x:f>
      </x:c>
      <x:c r="J101" s="32" t="str">
        <x:f>IF($H101="","",'03_Functionalities'!$E101)</x:f>
      </x:c>
      <x:c r="K101" s="32" t="str">
        <x:f>IF($H101="","",'03_Functionalities'!$F101)</x:f>
      </x:c>
      <x:c r="L101" s="32" t="str">
        <x:f>IF($H101="","",'03_Functionalities'!$G101)</x:f>
      </x:c>
      <x:c r="M101" s="32" t="str">
        <x:f>IF($H101="","",'03_Functionalities'!$H101)</x:f>
      </x:c>
      <x:c r="N101" s="32" t="str">
        <x:f>IF($H101="","",'03_Functionalities'!$I101)</x:f>
      </x:c>
      <x:c r="O101" s="32" t="str">
        <x:f>IF($H101="","",'03_Functionalities'!$J101)</x:f>
      </x:c>
      <x:c r="P101" s="32" t="str">
        <x:f>IF($H101="","",'03_Functionalities'!$K101)</x:f>
      </x:c>
      <x:c r="Q101" s="32" t="str">
        <x:f>IF($H101="","",'03_Functionalities'!$L101)</x:f>
      </x:c>
      <x:c r="R101" s="32" t="str">
        <x:f>IF($H101="","",'03_Functionalities'!$M101)</x:f>
      </x:c>
      <x:c r="S101" s="32" t="str">
        <x:f>IF($H101="","",'03_Functionalities'!$N101)</x:f>
      </x:c>
      <x:c r="T101" s="32" t="str">
        <x:f>IF($H101="","",'03_Functionalities'!$O101)</x:f>
      </x:c>
      <x:c r="U101" s="32" t="str">
        <x:f>IF($A101="","",IFERROR(XLOOKUP($A101,'01_Products'!$A$5:$A$500,'01_Products'!$G$5:$G$500),""))</x:f>
      </x:c>
      <x:c r="V101" s="32" t="str">
        <x:f>IF($D101="","",IFERROR(XLOOKUP($D101,'02_Features'!$A$5:$A$1000,'02_Features'!$J$5:$J$1000),""))</x:f>
      </x:c>
      <x:c r="W101" s="32" t="str">
        <x:f>IF($H101="","",'03_Functionalities'!$P101)</x:f>
      </x:c>
      <x:c r="X101" s="32" t="str">
        <x:f>IF($H101="","",'03_Functionalities'!$Q101)</x:f>
      </x:c>
      <x:c r="Y101" s="38"/>
      <x:c r="Z101" s="38"/>
    </x:row>
    <x:row r="102" ht="18" customHeight="1">
      <x:c r="A102" s="32" t="str">
        <x:f>IF('03_Functionalities'!$A102="","",'03_Functionalities'!$C102)</x:f>
      </x:c>
      <x:c r="B102" s="32" t="str">
        <x:f>IF($A102="","",IFERROR(XLOOKUP($A102,'01_Products'!$A$5:$A$500,'01_Products'!$B$5:$B$500),""))</x:f>
      </x:c>
      <x:c r="C102" s="32" t="str">
        <x:f>IF($A102="","",IFERROR(XLOOKUP($A102,'01_Products'!$A$5:$A$500,'01_Products'!$C$5:$C$500),""))</x:f>
      </x:c>
      <x:c r="D102" s="32" t="str">
        <x:f>IF('03_Functionalities'!$A102="","",'03_Functionalities'!$B102)</x:f>
      </x:c>
      <x:c r="E102" s="32" t="str">
        <x:f>IF($D102="","",IFERROR(XLOOKUP($D102,'02_Features'!$A$5:$A$1000,'02_Features'!$C$5:$C$1000),""))</x:f>
      </x:c>
      <x:c r="F102" s="32" t="str">
        <x:f>IF($D102="","",IFERROR(XLOOKUP($D102,'02_Features'!$A$5:$A$1000,'02_Features'!$D$5:$D$1000),""))</x:f>
      </x:c>
      <x:c r="G102" s="32" t="str">
        <x:f>IF($D102="","",IFERROR(XLOOKUP($D102,'02_Features'!$A$5:$A$1000,'02_Features'!$E$5:$E$1000),""))</x:f>
      </x:c>
      <x:c r="H102" s="32" t="str">
        <x:f>IF('03_Functionalities'!$A102="","",'03_Functionalities'!$A102)</x:f>
      </x:c>
      <x:c r="I102" s="32" t="str">
        <x:f>IF($H102="","",'03_Functionalities'!$D102)</x:f>
      </x:c>
      <x:c r="J102" s="32" t="str">
        <x:f>IF($H102="","",'03_Functionalities'!$E102)</x:f>
      </x:c>
      <x:c r="K102" s="32" t="str">
        <x:f>IF($H102="","",'03_Functionalities'!$F102)</x:f>
      </x:c>
      <x:c r="L102" s="32" t="str">
        <x:f>IF($H102="","",'03_Functionalities'!$G102)</x:f>
      </x:c>
      <x:c r="M102" s="32" t="str">
        <x:f>IF($H102="","",'03_Functionalities'!$H102)</x:f>
      </x:c>
      <x:c r="N102" s="32" t="str">
        <x:f>IF($H102="","",'03_Functionalities'!$I102)</x:f>
      </x:c>
      <x:c r="O102" s="32" t="str">
        <x:f>IF($H102="","",'03_Functionalities'!$J102)</x:f>
      </x:c>
      <x:c r="P102" s="32" t="str">
        <x:f>IF($H102="","",'03_Functionalities'!$K102)</x:f>
      </x:c>
      <x:c r="Q102" s="32" t="str">
        <x:f>IF($H102="","",'03_Functionalities'!$L102)</x:f>
      </x:c>
      <x:c r="R102" s="32" t="str">
        <x:f>IF($H102="","",'03_Functionalities'!$M102)</x:f>
      </x:c>
      <x:c r="S102" s="32" t="str">
        <x:f>IF($H102="","",'03_Functionalities'!$N102)</x:f>
      </x:c>
      <x:c r="T102" s="32" t="str">
        <x:f>IF($H102="","",'03_Functionalities'!$O102)</x:f>
      </x:c>
      <x:c r="U102" s="32" t="str">
        <x:f>IF($A102="","",IFERROR(XLOOKUP($A102,'01_Products'!$A$5:$A$500,'01_Products'!$G$5:$G$500),""))</x:f>
      </x:c>
      <x:c r="V102" s="32" t="str">
        <x:f>IF($D102="","",IFERROR(XLOOKUP($D102,'02_Features'!$A$5:$A$1000,'02_Features'!$J$5:$J$1000),""))</x:f>
      </x:c>
      <x:c r="W102" s="32" t="str">
        <x:f>IF($H102="","",'03_Functionalities'!$P102)</x:f>
      </x:c>
      <x:c r="X102" s="32" t="str">
        <x:f>IF($H102="","",'03_Functionalities'!$Q102)</x:f>
      </x:c>
      <x:c r="Y102" s="38"/>
      <x:c r="Z102" s="38"/>
    </x:row>
    <x:row r="103" ht="18" customHeight="1">
      <x:c r="A103" s="32" t="str">
        <x:f>IF('03_Functionalities'!$A103="","",'03_Functionalities'!$C103)</x:f>
      </x:c>
      <x:c r="B103" s="32" t="str">
        <x:f>IF($A103="","",IFERROR(XLOOKUP($A103,'01_Products'!$A$5:$A$500,'01_Products'!$B$5:$B$500),""))</x:f>
      </x:c>
      <x:c r="C103" s="32" t="str">
        <x:f>IF($A103="","",IFERROR(XLOOKUP($A103,'01_Products'!$A$5:$A$500,'01_Products'!$C$5:$C$500),""))</x:f>
      </x:c>
      <x:c r="D103" s="32" t="str">
        <x:f>IF('03_Functionalities'!$A103="","",'03_Functionalities'!$B103)</x:f>
      </x:c>
      <x:c r="E103" s="32" t="str">
        <x:f>IF($D103="","",IFERROR(XLOOKUP($D103,'02_Features'!$A$5:$A$1000,'02_Features'!$C$5:$C$1000),""))</x:f>
      </x:c>
      <x:c r="F103" s="32" t="str">
        <x:f>IF($D103="","",IFERROR(XLOOKUP($D103,'02_Features'!$A$5:$A$1000,'02_Features'!$D$5:$D$1000),""))</x:f>
      </x:c>
      <x:c r="G103" s="32" t="str">
        <x:f>IF($D103="","",IFERROR(XLOOKUP($D103,'02_Features'!$A$5:$A$1000,'02_Features'!$E$5:$E$1000),""))</x:f>
      </x:c>
      <x:c r="H103" s="32" t="str">
        <x:f>IF('03_Functionalities'!$A103="","",'03_Functionalities'!$A103)</x:f>
      </x:c>
      <x:c r="I103" s="32" t="str">
        <x:f>IF($H103="","",'03_Functionalities'!$D103)</x:f>
      </x:c>
      <x:c r="J103" s="32" t="str">
        <x:f>IF($H103="","",'03_Functionalities'!$E103)</x:f>
      </x:c>
      <x:c r="K103" s="32" t="str">
        <x:f>IF($H103="","",'03_Functionalities'!$F103)</x:f>
      </x:c>
      <x:c r="L103" s="32" t="str">
        <x:f>IF($H103="","",'03_Functionalities'!$G103)</x:f>
      </x:c>
      <x:c r="M103" s="32" t="str">
        <x:f>IF($H103="","",'03_Functionalities'!$H103)</x:f>
      </x:c>
      <x:c r="N103" s="32" t="str">
        <x:f>IF($H103="","",'03_Functionalities'!$I103)</x:f>
      </x:c>
      <x:c r="O103" s="32" t="str">
        <x:f>IF($H103="","",'03_Functionalities'!$J103)</x:f>
      </x:c>
      <x:c r="P103" s="32" t="str">
        <x:f>IF($H103="","",'03_Functionalities'!$K103)</x:f>
      </x:c>
      <x:c r="Q103" s="32" t="str">
        <x:f>IF($H103="","",'03_Functionalities'!$L103)</x:f>
      </x:c>
      <x:c r="R103" s="32" t="str">
        <x:f>IF($H103="","",'03_Functionalities'!$M103)</x:f>
      </x:c>
      <x:c r="S103" s="32" t="str">
        <x:f>IF($H103="","",'03_Functionalities'!$N103)</x:f>
      </x:c>
      <x:c r="T103" s="32" t="str">
        <x:f>IF($H103="","",'03_Functionalities'!$O103)</x:f>
      </x:c>
      <x:c r="U103" s="32" t="str">
        <x:f>IF($A103="","",IFERROR(XLOOKUP($A103,'01_Products'!$A$5:$A$500,'01_Products'!$G$5:$G$500),""))</x:f>
      </x:c>
      <x:c r="V103" s="32" t="str">
        <x:f>IF($D103="","",IFERROR(XLOOKUP($D103,'02_Features'!$A$5:$A$1000,'02_Features'!$J$5:$J$1000),""))</x:f>
      </x:c>
      <x:c r="W103" s="32" t="str">
        <x:f>IF($H103="","",'03_Functionalities'!$P103)</x:f>
      </x:c>
      <x:c r="X103" s="32" t="str">
        <x:f>IF($H103="","",'03_Functionalities'!$Q103)</x:f>
      </x:c>
      <x:c r="Y103" s="38"/>
      <x:c r="Z103" s="38"/>
    </x:row>
    <x:row r="104" ht="18" customHeight="1">
      <x:c r="A104" s="32" t="str">
        <x:f>IF('03_Functionalities'!$A104="","",'03_Functionalities'!$C104)</x:f>
      </x:c>
      <x:c r="B104" s="32" t="str">
        <x:f>IF($A104="","",IFERROR(XLOOKUP($A104,'01_Products'!$A$5:$A$500,'01_Products'!$B$5:$B$500),""))</x:f>
      </x:c>
      <x:c r="C104" s="32" t="str">
        <x:f>IF($A104="","",IFERROR(XLOOKUP($A104,'01_Products'!$A$5:$A$500,'01_Products'!$C$5:$C$500),""))</x:f>
      </x:c>
      <x:c r="D104" s="32" t="str">
        <x:f>IF('03_Functionalities'!$A104="","",'03_Functionalities'!$B104)</x:f>
      </x:c>
      <x:c r="E104" s="32" t="str">
        <x:f>IF($D104="","",IFERROR(XLOOKUP($D104,'02_Features'!$A$5:$A$1000,'02_Features'!$C$5:$C$1000),""))</x:f>
      </x:c>
      <x:c r="F104" s="32" t="str">
        <x:f>IF($D104="","",IFERROR(XLOOKUP($D104,'02_Features'!$A$5:$A$1000,'02_Features'!$D$5:$D$1000),""))</x:f>
      </x:c>
      <x:c r="G104" s="32" t="str">
        <x:f>IF($D104="","",IFERROR(XLOOKUP($D104,'02_Features'!$A$5:$A$1000,'02_Features'!$E$5:$E$1000),""))</x:f>
      </x:c>
      <x:c r="H104" s="32" t="str">
        <x:f>IF('03_Functionalities'!$A104="","",'03_Functionalities'!$A104)</x:f>
      </x:c>
      <x:c r="I104" s="32" t="str">
        <x:f>IF($H104="","",'03_Functionalities'!$D104)</x:f>
      </x:c>
      <x:c r="J104" s="32" t="str">
        <x:f>IF($H104="","",'03_Functionalities'!$E104)</x:f>
      </x:c>
      <x:c r="K104" s="32" t="str">
        <x:f>IF($H104="","",'03_Functionalities'!$F104)</x:f>
      </x:c>
      <x:c r="L104" s="32" t="str">
        <x:f>IF($H104="","",'03_Functionalities'!$G104)</x:f>
      </x:c>
      <x:c r="M104" s="32" t="str">
        <x:f>IF($H104="","",'03_Functionalities'!$H104)</x:f>
      </x:c>
      <x:c r="N104" s="32" t="str">
        <x:f>IF($H104="","",'03_Functionalities'!$I104)</x:f>
      </x:c>
      <x:c r="O104" s="32" t="str">
        <x:f>IF($H104="","",'03_Functionalities'!$J104)</x:f>
      </x:c>
      <x:c r="P104" s="32" t="str">
        <x:f>IF($H104="","",'03_Functionalities'!$K104)</x:f>
      </x:c>
      <x:c r="Q104" s="32" t="str">
        <x:f>IF($H104="","",'03_Functionalities'!$L104)</x:f>
      </x:c>
      <x:c r="R104" s="32" t="str">
        <x:f>IF($H104="","",'03_Functionalities'!$M104)</x:f>
      </x:c>
      <x:c r="S104" s="32" t="str">
        <x:f>IF($H104="","",'03_Functionalities'!$N104)</x:f>
      </x:c>
      <x:c r="T104" s="32" t="str">
        <x:f>IF($H104="","",'03_Functionalities'!$O104)</x:f>
      </x:c>
      <x:c r="U104" s="32" t="str">
        <x:f>IF($A104="","",IFERROR(XLOOKUP($A104,'01_Products'!$A$5:$A$500,'01_Products'!$G$5:$G$500),""))</x:f>
      </x:c>
      <x:c r="V104" s="32" t="str">
        <x:f>IF($D104="","",IFERROR(XLOOKUP($D104,'02_Features'!$A$5:$A$1000,'02_Features'!$J$5:$J$1000),""))</x:f>
      </x:c>
      <x:c r="W104" s="32" t="str">
        <x:f>IF($H104="","",'03_Functionalities'!$P104)</x:f>
      </x:c>
      <x:c r="X104" s="32" t="str">
        <x:f>IF($H104="","",'03_Functionalities'!$Q104)</x:f>
      </x:c>
      <x:c r="Y104" s="38"/>
      <x:c r="Z104" s="38"/>
    </x:row>
    <x:row r="105" ht="18" customHeight="1">
      <x:c r="A105" s="32" t="str">
        <x:f>IF('03_Functionalities'!$A105="","",'03_Functionalities'!$C105)</x:f>
      </x:c>
      <x:c r="B105" s="32" t="str">
        <x:f>IF($A105="","",IFERROR(XLOOKUP($A105,'01_Products'!$A$5:$A$500,'01_Products'!$B$5:$B$500),""))</x:f>
      </x:c>
      <x:c r="C105" s="32" t="str">
        <x:f>IF($A105="","",IFERROR(XLOOKUP($A105,'01_Products'!$A$5:$A$500,'01_Products'!$C$5:$C$500),""))</x:f>
      </x:c>
      <x:c r="D105" s="32" t="str">
        <x:f>IF('03_Functionalities'!$A105="","",'03_Functionalities'!$B105)</x:f>
      </x:c>
      <x:c r="E105" s="32" t="str">
        <x:f>IF($D105="","",IFERROR(XLOOKUP($D105,'02_Features'!$A$5:$A$1000,'02_Features'!$C$5:$C$1000),""))</x:f>
      </x:c>
      <x:c r="F105" s="32" t="str">
        <x:f>IF($D105="","",IFERROR(XLOOKUP($D105,'02_Features'!$A$5:$A$1000,'02_Features'!$D$5:$D$1000),""))</x:f>
      </x:c>
      <x:c r="G105" s="32" t="str">
        <x:f>IF($D105="","",IFERROR(XLOOKUP($D105,'02_Features'!$A$5:$A$1000,'02_Features'!$E$5:$E$1000),""))</x:f>
      </x:c>
      <x:c r="H105" s="32" t="str">
        <x:f>IF('03_Functionalities'!$A105="","",'03_Functionalities'!$A105)</x:f>
      </x:c>
      <x:c r="I105" s="32" t="str">
        <x:f>IF($H105="","",'03_Functionalities'!$D105)</x:f>
      </x:c>
      <x:c r="J105" s="32" t="str">
        <x:f>IF($H105="","",'03_Functionalities'!$E105)</x:f>
      </x:c>
      <x:c r="K105" s="32" t="str">
        <x:f>IF($H105="","",'03_Functionalities'!$F105)</x:f>
      </x:c>
      <x:c r="L105" s="32" t="str">
        <x:f>IF($H105="","",'03_Functionalities'!$G105)</x:f>
      </x:c>
      <x:c r="M105" s="32" t="str">
        <x:f>IF($H105="","",'03_Functionalities'!$H105)</x:f>
      </x:c>
      <x:c r="N105" s="32" t="str">
        <x:f>IF($H105="","",'03_Functionalities'!$I105)</x:f>
      </x:c>
      <x:c r="O105" s="32" t="str">
        <x:f>IF($H105="","",'03_Functionalities'!$J105)</x:f>
      </x:c>
      <x:c r="P105" s="32" t="str">
        <x:f>IF($H105="","",'03_Functionalities'!$K105)</x:f>
      </x:c>
      <x:c r="Q105" s="32" t="str">
        <x:f>IF($H105="","",'03_Functionalities'!$L105)</x:f>
      </x:c>
      <x:c r="R105" s="32" t="str">
        <x:f>IF($H105="","",'03_Functionalities'!$M105)</x:f>
      </x:c>
      <x:c r="S105" s="32" t="str">
        <x:f>IF($H105="","",'03_Functionalities'!$N105)</x:f>
      </x:c>
      <x:c r="T105" s="32" t="str">
        <x:f>IF($H105="","",'03_Functionalities'!$O105)</x:f>
      </x:c>
      <x:c r="U105" s="32" t="str">
        <x:f>IF($A105="","",IFERROR(XLOOKUP($A105,'01_Products'!$A$5:$A$500,'01_Products'!$G$5:$G$500),""))</x:f>
      </x:c>
      <x:c r="V105" s="32" t="str">
        <x:f>IF($D105="","",IFERROR(XLOOKUP($D105,'02_Features'!$A$5:$A$1000,'02_Features'!$J$5:$J$1000),""))</x:f>
      </x:c>
      <x:c r="W105" s="32" t="str">
        <x:f>IF($H105="","",'03_Functionalities'!$P105)</x:f>
      </x:c>
      <x:c r="X105" s="32" t="str">
        <x:f>IF($H105="","",'03_Functionalities'!$Q105)</x:f>
      </x:c>
      <x:c r="Y105" s="38"/>
      <x:c r="Z105" s="38"/>
    </x:row>
    <x:row r="106" ht="18" customHeight="1">
      <x:c r="A106" s="32" t="str">
        <x:f>IF('03_Functionalities'!$A106="","",'03_Functionalities'!$C106)</x:f>
      </x:c>
      <x:c r="B106" s="32" t="str">
        <x:f>IF($A106="","",IFERROR(XLOOKUP($A106,'01_Products'!$A$5:$A$500,'01_Products'!$B$5:$B$500),""))</x:f>
      </x:c>
      <x:c r="C106" s="32" t="str">
        <x:f>IF($A106="","",IFERROR(XLOOKUP($A106,'01_Products'!$A$5:$A$500,'01_Products'!$C$5:$C$500),""))</x:f>
      </x:c>
      <x:c r="D106" s="32" t="str">
        <x:f>IF('03_Functionalities'!$A106="","",'03_Functionalities'!$B106)</x:f>
      </x:c>
      <x:c r="E106" s="32" t="str">
        <x:f>IF($D106="","",IFERROR(XLOOKUP($D106,'02_Features'!$A$5:$A$1000,'02_Features'!$C$5:$C$1000),""))</x:f>
      </x:c>
      <x:c r="F106" s="32" t="str">
        <x:f>IF($D106="","",IFERROR(XLOOKUP($D106,'02_Features'!$A$5:$A$1000,'02_Features'!$D$5:$D$1000),""))</x:f>
      </x:c>
      <x:c r="G106" s="32" t="str">
        <x:f>IF($D106="","",IFERROR(XLOOKUP($D106,'02_Features'!$A$5:$A$1000,'02_Features'!$E$5:$E$1000),""))</x:f>
      </x:c>
      <x:c r="H106" s="32" t="str">
        <x:f>IF('03_Functionalities'!$A106="","",'03_Functionalities'!$A106)</x:f>
      </x:c>
      <x:c r="I106" s="32" t="str">
        <x:f>IF($H106="","",'03_Functionalities'!$D106)</x:f>
      </x:c>
      <x:c r="J106" s="32" t="str">
        <x:f>IF($H106="","",'03_Functionalities'!$E106)</x:f>
      </x:c>
      <x:c r="K106" s="32" t="str">
        <x:f>IF($H106="","",'03_Functionalities'!$F106)</x:f>
      </x:c>
      <x:c r="L106" s="32" t="str">
        <x:f>IF($H106="","",'03_Functionalities'!$G106)</x:f>
      </x:c>
      <x:c r="M106" s="32" t="str">
        <x:f>IF($H106="","",'03_Functionalities'!$H106)</x:f>
      </x:c>
      <x:c r="N106" s="32" t="str">
        <x:f>IF($H106="","",'03_Functionalities'!$I106)</x:f>
      </x:c>
      <x:c r="O106" s="32" t="str">
        <x:f>IF($H106="","",'03_Functionalities'!$J106)</x:f>
      </x:c>
      <x:c r="P106" s="32" t="str">
        <x:f>IF($H106="","",'03_Functionalities'!$K106)</x:f>
      </x:c>
      <x:c r="Q106" s="32" t="str">
        <x:f>IF($H106="","",'03_Functionalities'!$L106)</x:f>
      </x:c>
      <x:c r="R106" s="32" t="str">
        <x:f>IF($H106="","",'03_Functionalities'!$M106)</x:f>
      </x:c>
      <x:c r="S106" s="32" t="str">
        <x:f>IF($H106="","",'03_Functionalities'!$N106)</x:f>
      </x:c>
      <x:c r="T106" s="32" t="str">
        <x:f>IF($H106="","",'03_Functionalities'!$O106)</x:f>
      </x:c>
      <x:c r="U106" s="32" t="str">
        <x:f>IF($A106="","",IFERROR(XLOOKUP($A106,'01_Products'!$A$5:$A$500,'01_Products'!$G$5:$G$500),""))</x:f>
      </x:c>
      <x:c r="V106" s="32" t="str">
        <x:f>IF($D106="","",IFERROR(XLOOKUP($D106,'02_Features'!$A$5:$A$1000,'02_Features'!$J$5:$J$1000),""))</x:f>
      </x:c>
      <x:c r="W106" s="32" t="str">
        <x:f>IF($H106="","",'03_Functionalities'!$P106)</x:f>
      </x:c>
      <x:c r="X106" s="32" t="str">
        <x:f>IF($H106="","",'03_Functionalities'!$Q106)</x:f>
      </x:c>
      <x:c r="Y106" s="38"/>
      <x:c r="Z106" s="38"/>
    </x:row>
    <x:row r="107" ht="18" customHeight="1">
      <x:c r="A107" s="32" t="str">
        <x:f>IF('03_Functionalities'!$A107="","",'03_Functionalities'!$C107)</x:f>
      </x:c>
      <x:c r="B107" s="32" t="str">
        <x:f>IF($A107="","",IFERROR(XLOOKUP($A107,'01_Products'!$A$5:$A$500,'01_Products'!$B$5:$B$500),""))</x:f>
      </x:c>
      <x:c r="C107" s="32" t="str">
        <x:f>IF($A107="","",IFERROR(XLOOKUP($A107,'01_Products'!$A$5:$A$500,'01_Products'!$C$5:$C$500),""))</x:f>
      </x:c>
      <x:c r="D107" s="32" t="str">
        <x:f>IF('03_Functionalities'!$A107="","",'03_Functionalities'!$B107)</x:f>
      </x:c>
      <x:c r="E107" s="32" t="str">
        <x:f>IF($D107="","",IFERROR(XLOOKUP($D107,'02_Features'!$A$5:$A$1000,'02_Features'!$C$5:$C$1000),""))</x:f>
      </x:c>
      <x:c r="F107" s="32" t="str">
        <x:f>IF($D107="","",IFERROR(XLOOKUP($D107,'02_Features'!$A$5:$A$1000,'02_Features'!$D$5:$D$1000),""))</x:f>
      </x:c>
      <x:c r="G107" s="32" t="str">
        <x:f>IF($D107="","",IFERROR(XLOOKUP($D107,'02_Features'!$A$5:$A$1000,'02_Features'!$E$5:$E$1000),""))</x:f>
      </x:c>
      <x:c r="H107" s="32" t="str">
        <x:f>IF('03_Functionalities'!$A107="","",'03_Functionalities'!$A107)</x:f>
      </x:c>
      <x:c r="I107" s="32" t="str">
        <x:f>IF($H107="","",'03_Functionalities'!$D107)</x:f>
      </x:c>
      <x:c r="J107" s="32" t="str">
        <x:f>IF($H107="","",'03_Functionalities'!$E107)</x:f>
      </x:c>
      <x:c r="K107" s="32" t="str">
        <x:f>IF($H107="","",'03_Functionalities'!$F107)</x:f>
      </x:c>
      <x:c r="L107" s="32" t="str">
        <x:f>IF($H107="","",'03_Functionalities'!$G107)</x:f>
      </x:c>
      <x:c r="M107" s="32" t="str">
        <x:f>IF($H107="","",'03_Functionalities'!$H107)</x:f>
      </x:c>
      <x:c r="N107" s="32" t="str">
        <x:f>IF($H107="","",'03_Functionalities'!$I107)</x:f>
      </x:c>
      <x:c r="O107" s="32" t="str">
        <x:f>IF($H107="","",'03_Functionalities'!$J107)</x:f>
      </x:c>
      <x:c r="P107" s="32" t="str">
        <x:f>IF($H107="","",'03_Functionalities'!$K107)</x:f>
      </x:c>
      <x:c r="Q107" s="32" t="str">
        <x:f>IF($H107="","",'03_Functionalities'!$L107)</x:f>
      </x:c>
      <x:c r="R107" s="32" t="str">
        <x:f>IF($H107="","",'03_Functionalities'!$M107)</x:f>
      </x:c>
      <x:c r="S107" s="32" t="str">
        <x:f>IF($H107="","",'03_Functionalities'!$N107)</x:f>
      </x:c>
      <x:c r="T107" s="32" t="str">
        <x:f>IF($H107="","",'03_Functionalities'!$O107)</x:f>
      </x:c>
      <x:c r="U107" s="32" t="str">
        <x:f>IF($A107="","",IFERROR(XLOOKUP($A107,'01_Products'!$A$5:$A$500,'01_Products'!$G$5:$G$500),""))</x:f>
      </x:c>
      <x:c r="V107" s="32" t="str">
        <x:f>IF($D107="","",IFERROR(XLOOKUP($D107,'02_Features'!$A$5:$A$1000,'02_Features'!$J$5:$J$1000),""))</x:f>
      </x:c>
      <x:c r="W107" s="32" t="str">
        <x:f>IF($H107="","",'03_Functionalities'!$P107)</x:f>
      </x:c>
      <x:c r="X107" s="32" t="str">
        <x:f>IF($H107="","",'03_Functionalities'!$Q107)</x:f>
      </x:c>
      <x:c r="Y107" s="38"/>
      <x:c r="Z107" s="38"/>
    </x:row>
    <x:row r="108" ht="18" customHeight="1">
      <x:c r="A108" s="32" t="str">
        <x:f>IF('03_Functionalities'!$A108="","",'03_Functionalities'!$C108)</x:f>
      </x:c>
      <x:c r="B108" s="32" t="str">
        <x:f>IF($A108="","",IFERROR(XLOOKUP($A108,'01_Products'!$A$5:$A$500,'01_Products'!$B$5:$B$500),""))</x:f>
      </x:c>
      <x:c r="C108" s="32" t="str">
        <x:f>IF($A108="","",IFERROR(XLOOKUP($A108,'01_Products'!$A$5:$A$500,'01_Products'!$C$5:$C$500),""))</x:f>
      </x:c>
      <x:c r="D108" s="32" t="str">
        <x:f>IF('03_Functionalities'!$A108="","",'03_Functionalities'!$B108)</x:f>
      </x:c>
      <x:c r="E108" s="32" t="str">
        <x:f>IF($D108="","",IFERROR(XLOOKUP($D108,'02_Features'!$A$5:$A$1000,'02_Features'!$C$5:$C$1000),""))</x:f>
      </x:c>
      <x:c r="F108" s="32" t="str">
        <x:f>IF($D108="","",IFERROR(XLOOKUP($D108,'02_Features'!$A$5:$A$1000,'02_Features'!$D$5:$D$1000),""))</x:f>
      </x:c>
      <x:c r="G108" s="32" t="str">
        <x:f>IF($D108="","",IFERROR(XLOOKUP($D108,'02_Features'!$A$5:$A$1000,'02_Features'!$E$5:$E$1000),""))</x:f>
      </x:c>
      <x:c r="H108" s="32" t="str">
        <x:f>IF('03_Functionalities'!$A108="","",'03_Functionalities'!$A108)</x:f>
      </x:c>
      <x:c r="I108" s="32" t="str">
        <x:f>IF($H108="","",'03_Functionalities'!$D108)</x:f>
      </x:c>
      <x:c r="J108" s="32" t="str">
        <x:f>IF($H108="","",'03_Functionalities'!$E108)</x:f>
      </x:c>
      <x:c r="K108" s="32" t="str">
        <x:f>IF($H108="","",'03_Functionalities'!$F108)</x:f>
      </x:c>
      <x:c r="L108" s="32" t="str">
        <x:f>IF($H108="","",'03_Functionalities'!$G108)</x:f>
      </x:c>
      <x:c r="M108" s="32" t="str">
        <x:f>IF($H108="","",'03_Functionalities'!$H108)</x:f>
      </x:c>
      <x:c r="N108" s="32" t="str">
        <x:f>IF($H108="","",'03_Functionalities'!$I108)</x:f>
      </x:c>
      <x:c r="O108" s="32" t="str">
        <x:f>IF($H108="","",'03_Functionalities'!$J108)</x:f>
      </x:c>
      <x:c r="P108" s="32" t="str">
        <x:f>IF($H108="","",'03_Functionalities'!$K108)</x:f>
      </x:c>
      <x:c r="Q108" s="32" t="str">
        <x:f>IF($H108="","",'03_Functionalities'!$L108)</x:f>
      </x:c>
      <x:c r="R108" s="32" t="str">
        <x:f>IF($H108="","",'03_Functionalities'!$M108)</x:f>
      </x:c>
      <x:c r="S108" s="32" t="str">
        <x:f>IF($H108="","",'03_Functionalities'!$N108)</x:f>
      </x:c>
      <x:c r="T108" s="32" t="str">
        <x:f>IF($H108="","",'03_Functionalities'!$O108)</x:f>
      </x:c>
      <x:c r="U108" s="32" t="str">
        <x:f>IF($A108="","",IFERROR(XLOOKUP($A108,'01_Products'!$A$5:$A$500,'01_Products'!$G$5:$G$500),""))</x:f>
      </x:c>
      <x:c r="V108" s="32" t="str">
        <x:f>IF($D108="","",IFERROR(XLOOKUP($D108,'02_Features'!$A$5:$A$1000,'02_Features'!$J$5:$J$1000),""))</x:f>
      </x:c>
      <x:c r="W108" s="32" t="str">
        <x:f>IF($H108="","",'03_Functionalities'!$P108)</x:f>
      </x:c>
      <x:c r="X108" s="32" t="str">
        <x:f>IF($H108="","",'03_Functionalities'!$Q108)</x:f>
      </x:c>
      <x:c r="Y108" s="38"/>
      <x:c r="Z108" s="38"/>
    </x:row>
    <x:row r="109" ht="18" customHeight="1">
      <x:c r="A109" s="32" t="str">
        <x:f>IF('03_Functionalities'!$A109="","",'03_Functionalities'!$C109)</x:f>
      </x:c>
      <x:c r="B109" s="32" t="str">
        <x:f>IF($A109="","",IFERROR(XLOOKUP($A109,'01_Products'!$A$5:$A$500,'01_Products'!$B$5:$B$500),""))</x:f>
      </x:c>
      <x:c r="C109" s="32" t="str">
        <x:f>IF($A109="","",IFERROR(XLOOKUP($A109,'01_Products'!$A$5:$A$500,'01_Products'!$C$5:$C$500),""))</x:f>
      </x:c>
      <x:c r="D109" s="32" t="str">
        <x:f>IF('03_Functionalities'!$A109="","",'03_Functionalities'!$B109)</x:f>
      </x:c>
      <x:c r="E109" s="32" t="str">
        <x:f>IF($D109="","",IFERROR(XLOOKUP($D109,'02_Features'!$A$5:$A$1000,'02_Features'!$C$5:$C$1000),""))</x:f>
      </x:c>
      <x:c r="F109" s="32" t="str">
        <x:f>IF($D109="","",IFERROR(XLOOKUP($D109,'02_Features'!$A$5:$A$1000,'02_Features'!$D$5:$D$1000),""))</x:f>
      </x:c>
      <x:c r="G109" s="32" t="str">
        <x:f>IF($D109="","",IFERROR(XLOOKUP($D109,'02_Features'!$A$5:$A$1000,'02_Features'!$E$5:$E$1000),""))</x:f>
      </x:c>
      <x:c r="H109" s="32" t="str">
        <x:f>IF('03_Functionalities'!$A109="","",'03_Functionalities'!$A109)</x:f>
      </x:c>
      <x:c r="I109" s="32" t="str">
        <x:f>IF($H109="","",'03_Functionalities'!$D109)</x:f>
      </x:c>
      <x:c r="J109" s="32" t="str">
        <x:f>IF($H109="","",'03_Functionalities'!$E109)</x:f>
      </x:c>
      <x:c r="K109" s="32" t="str">
        <x:f>IF($H109="","",'03_Functionalities'!$F109)</x:f>
      </x:c>
      <x:c r="L109" s="32" t="str">
        <x:f>IF($H109="","",'03_Functionalities'!$G109)</x:f>
      </x:c>
      <x:c r="M109" s="32" t="str">
        <x:f>IF($H109="","",'03_Functionalities'!$H109)</x:f>
      </x:c>
      <x:c r="N109" s="32" t="str">
        <x:f>IF($H109="","",'03_Functionalities'!$I109)</x:f>
      </x:c>
      <x:c r="O109" s="32" t="str">
        <x:f>IF($H109="","",'03_Functionalities'!$J109)</x:f>
      </x:c>
      <x:c r="P109" s="32" t="str">
        <x:f>IF($H109="","",'03_Functionalities'!$K109)</x:f>
      </x:c>
      <x:c r="Q109" s="32" t="str">
        <x:f>IF($H109="","",'03_Functionalities'!$L109)</x:f>
      </x:c>
      <x:c r="R109" s="32" t="str">
        <x:f>IF($H109="","",'03_Functionalities'!$M109)</x:f>
      </x:c>
      <x:c r="S109" s="32" t="str">
        <x:f>IF($H109="","",'03_Functionalities'!$N109)</x:f>
      </x:c>
      <x:c r="T109" s="32" t="str">
        <x:f>IF($H109="","",'03_Functionalities'!$O109)</x:f>
      </x:c>
      <x:c r="U109" s="32" t="str">
        <x:f>IF($A109="","",IFERROR(XLOOKUP($A109,'01_Products'!$A$5:$A$500,'01_Products'!$G$5:$G$500),""))</x:f>
      </x:c>
      <x:c r="V109" s="32" t="str">
        <x:f>IF($D109="","",IFERROR(XLOOKUP($D109,'02_Features'!$A$5:$A$1000,'02_Features'!$J$5:$J$1000),""))</x:f>
      </x:c>
      <x:c r="W109" s="32" t="str">
        <x:f>IF($H109="","",'03_Functionalities'!$P109)</x:f>
      </x:c>
      <x:c r="X109" s="32" t="str">
        <x:f>IF($H109="","",'03_Functionalities'!$Q109)</x:f>
      </x:c>
      <x:c r="Y109" s="38"/>
      <x:c r="Z109" s="38"/>
    </x:row>
    <x:row r="110" ht="18" customHeight="1">
      <x:c r="A110" s="32" t="str">
        <x:f>IF('03_Functionalities'!$A110="","",'03_Functionalities'!$C110)</x:f>
      </x:c>
      <x:c r="B110" s="32" t="str">
        <x:f>IF($A110="","",IFERROR(XLOOKUP($A110,'01_Products'!$A$5:$A$500,'01_Products'!$B$5:$B$500),""))</x:f>
      </x:c>
      <x:c r="C110" s="32" t="str">
        <x:f>IF($A110="","",IFERROR(XLOOKUP($A110,'01_Products'!$A$5:$A$500,'01_Products'!$C$5:$C$500),""))</x:f>
      </x:c>
      <x:c r="D110" s="32" t="str">
        <x:f>IF('03_Functionalities'!$A110="","",'03_Functionalities'!$B110)</x:f>
      </x:c>
      <x:c r="E110" s="32" t="str">
        <x:f>IF($D110="","",IFERROR(XLOOKUP($D110,'02_Features'!$A$5:$A$1000,'02_Features'!$C$5:$C$1000),""))</x:f>
      </x:c>
      <x:c r="F110" s="32" t="str">
        <x:f>IF($D110="","",IFERROR(XLOOKUP($D110,'02_Features'!$A$5:$A$1000,'02_Features'!$D$5:$D$1000),""))</x:f>
      </x:c>
      <x:c r="G110" s="32" t="str">
        <x:f>IF($D110="","",IFERROR(XLOOKUP($D110,'02_Features'!$A$5:$A$1000,'02_Features'!$E$5:$E$1000),""))</x:f>
      </x:c>
      <x:c r="H110" s="32" t="str">
        <x:f>IF('03_Functionalities'!$A110="","",'03_Functionalities'!$A110)</x:f>
      </x:c>
      <x:c r="I110" s="32" t="str">
        <x:f>IF($H110="","",'03_Functionalities'!$D110)</x:f>
      </x:c>
      <x:c r="J110" s="32" t="str">
        <x:f>IF($H110="","",'03_Functionalities'!$E110)</x:f>
      </x:c>
      <x:c r="K110" s="32" t="str">
        <x:f>IF($H110="","",'03_Functionalities'!$F110)</x:f>
      </x:c>
      <x:c r="L110" s="32" t="str">
        <x:f>IF($H110="","",'03_Functionalities'!$G110)</x:f>
      </x:c>
      <x:c r="M110" s="32" t="str">
        <x:f>IF($H110="","",'03_Functionalities'!$H110)</x:f>
      </x:c>
      <x:c r="N110" s="32" t="str">
        <x:f>IF($H110="","",'03_Functionalities'!$I110)</x:f>
      </x:c>
      <x:c r="O110" s="32" t="str">
        <x:f>IF($H110="","",'03_Functionalities'!$J110)</x:f>
      </x:c>
      <x:c r="P110" s="32" t="str">
        <x:f>IF($H110="","",'03_Functionalities'!$K110)</x:f>
      </x:c>
      <x:c r="Q110" s="32" t="str">
        <x:f>IF($H110="","",'03_Functionalities'!$L110)</x:f>
      </x:c>
      <x:c r="R110" s="32" t="str">
        <x:f>IF($H110="","",'03_Functionalities'!$M110)</x:f>
      </x:c>
      <x:c r="S110" s="32" t="str">
        <x:f>IF($H110="","",'03_Functionalities'!$N110)</x:f>
      </x:c>
      <x:c r="T110" s="32" t="str">
        <x:f>IF($H110="","",'03_Functionalities'!$O110)</x:f>
      </x:c>
      <x:c r="U110" s="32" t="str">
        <x:f>IF($A110="","",IFERROR(XLOOKUP($A110,'01_Products'!$A$5:$A$500,'01_Products'!$G$5:$G$500),""))</x:f>
      </x:c>
      <x:c r="V110" s="32" t="str">
        <x:f>IF($D110="","",IFERROR(XLOOKUP($D110,'02_Features'!$A$5:$A$1000,'02_Features'!$J$5:$J$1000),""))</x:f>
      </x:c>
      <x:c r="W110" s="32" t="str">
        <x:f>IF($H110="","",'03_Functionalities'!$P110)</x:f>
      </x:c>
      <x:c r="X110" s="32" t="str">
        <x:f>IF($H110="","",'03_Functionalities'!$Q110)</x:f>
      </x:c>
      <x:c r="Y110" s="38"/>
      <x:c r="Z110" s="38"/>
    </x:row>
    <x:row r="111" ht="18" customHeight="1">
      <x:c r="A111" s="32" t="str">
        <x:f>IF('03_Functionalities'!$A111="","",'03_Functionalities'!$C111)</x:f>
      </x:c>
      <x:c r="B111" s="32" t="str">
        <x:f>IF($A111="","",IFERROR(XLOOKUP($A111,'01_Products'!$A$5:$A$500,'01_Products'!$B$5:$B$500),""))</x:f>
      </x:c>
      <x:c r="C111" s="32" t="str">
        <x:f>IF($A111="","",IFERROR(XLOOKUP($A111,'01_Products'!$A$5:$A$500,'01_Products'!$C$5:$C$500),""))</x:f>
      </x:c>
      <x:c r="D111" s="32" t="str">
        <x:f>IF('03_Functionalities'!$A111="","",'03_Functionalities'!$B111)</x:f>
      </x:c>
      <x:c r="E111" s="32" t="str">
        <x:f>IF($D111="","",IFERROR(XLOOKUP($D111,'02_Features'!$A$5:$A$1000,'02_Features'!$C$5:$C$1000),""))</x:f>
      </x:c>
      <x:c r="F111" s="32" t="str">
        <x:f>IF($D111="","",IFERROR(XLOOKUP($D111,'02_Features'!$A$5:$A$1000,'02_Features'!$D$5:$D$1000),""))</x:f>
      </x:c>
      <x:c r="G111" s="32" t="str">
        <x:f>IF($D111="","",IFERROR(XLOOKUP($D111,'02_Features'!$A$5:$A$1000,'02_Features'!$E$5:$E$1000),""))</x:f>
      </x:c>
      <x:c r="H111" s="32" t="str">
        <x:f>IF('03_Functionalities'!$A111="","",'03_Functionalities'!$A111)</x:f>
      </x:c>
      <x:c r="I111" s="32" t="str">
        <x:f>IF($H111="","",'03_Functionalities'!$D111)</x:f>
      </x:c>
      <x:c r="J111" s="32" t="str">
        <x:f>IF($H111="","",'03_Functionalities'!$E111)</x:f>
      </x:c>
      <x:c r="K111" s="32" t="str">
        <x:f>IF($H111="","",'03_Functionalities'!$F111)</x:f>
      </x:c>
      <x:c r="L111" s="32" t="str">
        <x:f>IF($H111="","",'03_Functionalities'!$G111)</x:f>
      </x:c>
      <x:c r="M111" s="32" t="str">
        <x:f>IF($H111="","",'03_Functionalities'!$H111)</x:f>
      </x:c>
      <x:c r="N111" s="32" t="str">
        <x:f>IF($H111="","",'03_Functionalities'!$I111)</x:f>
      </x:c>
      <x:c r="O111" s="32" t="str">
        <x:f>IF($H111="","",'03_Functionalities'!$J111)</x:f>
      </x:c>
      <x:c r="P111" s="32" t="str">
        <x:f>IF($H111="","",'03_Functionalities'!$K111)</x:f>
      </x:c>
      <x:c r="Q111" s="32" t="str">
        <x:f>IF($H111="","",'03_Functionalities'!$L111)</x:f>
      </x:c>
      <x:c r="R111" s="32" t="str">
        <x:f>IF($H111="","",'03_Functionalities'!$M111)</x:f>
      </x:c>
      <x:c r="S111" s="32" t="str">
        <x:f>IF($H111="","",'03_Functionalities'!$N111)</x:f>
      </x:c>
      <x:c r="T111" s="32" t="str">
        <x:f>IF($H111="","",'03_Functionalities'!$O111)</x:f>
      </x:c>
      <x:c r="U111" s="32" t="str">
        <x:f>IF($A111="","",IFERROR(XLOOKUP($A111,'01_Products'!$A$5:$A$500,'01_Products'!$G$5:$G$500),""))</x:f>
      </x:c>
      <x:c r="V111" s="32" t="str">
        <x:f>IF($D111="","",IFERROR(XLOOKUP($D111,'02_Features'!$A$5:$A$1000,'02_Features'!$J$5:$J$1000),""))</x:f>
      </x:c>
      <x:c r="W111" s="32" t="str">
        <x:f>IF($H111="","",'03_Functionalities'!$P111)</x:f>
      </x:c>
      <x:c r="X111" s="32" t="str">
        <x:f>IF($H111="","",'03_Functionalities'!$Q111)</x:f>
      </x:c>
      <x:c r="Y111" s="38"/>
      <x:c r="Z111" s="38"/>
    </x:row>
    <x:row r="112" ht="18" customHeight="1">
      <x:c r="A112" s="32" t="str">
        <x:f>IF('03_Functionalities'!$A112="","",'03_Functionalities'!$C112)</x:f>
      </x:c>
      <x:c r="B112" s="32" t="str">
        <x:f>IF($A112="","",IFERROR(XLOOKUP($A112,'01_Products'!$A$5:$A$500,'01_Products'!$B$5:$B$500),""))</x:f>
      </x:c>
      <x:c r="C112" s="32" t="str">
        <x:f>IF($A112="","",IFERROR(XLOOKUP($A112,'01_Products'!$A$5:$A$500,'01_Products'!$C$5:$C$500),""))</x:f>
      </x:c>
      <x:c r="D112" s="32" t="str">
        <x:f>IF('03_Functionalities'!$A112="","",'03_Functionalities'!$B112)</x:f>
      </x:c>
      <x:c r="E112" s="32" t="str">
        <x:f>IF($D112="","",IFERROR(XLOOKUP($D112,'02_Features'!$A$5:$A$1000,'02_Features'!$C$5:$C$1000),""))</x:f>
      </x:c>
      <x:c r="F112" s="32" t="str">
        <x:f>IF($D112="","",IFERROR(XLOOKUP($D112,'02_Features'!$A$5:$A$1000,'02_Features'!$D$5:$D$1000),""))</x:f>
      </x:c>
      <x:c r="G112" s="32" t="str">
        <x:f>IF($D112="","",IFERROR(XLOOKUP($D112,'02_Features'!$A$5:$A$1000,'02_Features'!$E$5:$E$1000),""))</x:f>
      </x:c>
      <x:c r="H112" s="32" t="str">
        <x:f>IF('03_Functionalities'!$A112="","",'03_Functionalities'!$A112)</x:f>
      </x:c>
      <x:c r="I112" s="32" t="str">
        <x:f>IF($H112="","",'03_Functionalities'!$D112)</x:f>
      </x:c>
      <x:c r="J112" s="32" t="str">
        <x:f>IF($H112="","",'03_Functionalities'!$E112)</x:f>
      </x:c>
      <x:c r="K112" s="32" t="str">
        <x:f>IF($H112="","",'03_Functionalities'!$F112)</x:f>
      </x:c>
      <x:c r="L112" s="32" t="str">
        <x:f>IF($H112="","",'03_Functionalities'!$G112)</x:f>
      </x:c>
      <x:c r="M112" s="32" t="str">
        <x:f>IF($H112="","",'03_Functionalities'!$H112)</x:f>
      </x:c>
      <x:c r="N112" s="32" t="str">
        <x:f>IF($H112="","",'03_Functionalities'!$I112)</x:f>
      </x:c>
      <x:c r="O112" s="32" t="str">
        <x:f>IF($H112="","",'03_Functionalities'!$J112)</x:f>
      </x:c>
      <x:c r="P112" s="32" t="str">
        <x:f>IF($H112="","",'03_Functionalities'!$K112)</x:f>
      </x:c>
      <x:c r="Q112" s="32" t="str">
        <x:f>IF($H112="","",'03_Functionalities'!$L112)</x:f>
      </x:c>
      <x:c r="R112" s="32" t="str">
        <x:f>IF($H112="","",'03_Functionalities'!$M112)</x:f>
      </x:c>
      <x:c r="S112" s="32" t="str">
        <x:f>IF($H112="","",'03_Functionalities'!$N112)</x:f>
      </x:c>
      <x:c r="T112" s="32" t="str">
        <x:f>IF($H112="","",'03_Functionalities'!$O112)</x:f>
      </x:c>
      <x:c r="U112" s="32" t="str">
        <x:f>IF($A112="","",IFERROR(XLOOKUP($A112,'01_Products'!$A$5:$A$500,'01_Products'!$G$5:$G$500),""))</x:f>
      </x:c>
      <x:c r="V112" s="32" t="str">
        <x:f>IF($D112="","",IFERROR(XLOOKUP($D112,'02_Features'!$A$5:$A$1000,'02_Features'!$J$5:$J$1000),""))</x:f>
      </x:c>
      <x:c r="W112" s="32" t="str">
        <x:f>IF($H112="","",'03_Functionalities'!$P112)</x:f>
      </x:c>
      <x:c r="X112" s="32" t="str">
        <x:f>IF($H112="","",'03_Functionalities'!$Q112)</x:f>
      </x:c>
      <x:c r="Y112" s="38"/>
      <x:c r="Z112" s="38"/>
    </x:row>
    <x:row r="113" ht="18" customHeight="1">
      <x:c r="A113" s="32" t="str">
        <x:f>IF('03_Functionalities'!$A113="","",'03_Functionalities'!$C113)</x:f>
      </x:c>
      <x:c r="B113" s="32" t="str">
        <x:f>IF($A113="","",IFERROR(XLOOKUP($A113,'01_Products'!$A$5:$A$500,'01_Products'!$B$5:$B$500),""))</x:f>
      </x:c>
      <x:c r="C113" s="32" t="str">
        <x:f>IF($A113="","",IFERROR(XLOOKUP($A113,'01_Products'!$A$5:$A$500,'01_Products'!$C$5:$C$500),""))</x:f>
      </x:c>
      <x:c r="D113" s="32" t="str">
        <x:f>IF('03_Functionalities'!$A113="","",'03_Functionalities'!$B113)</x:f>
      </x:c>
      <x:c r="E113" s="32" t="str">
        <x:f>IF($D113="","",IFERROR(XLOOKUP($D113,'02_Features'!$A$5:$A$1000,'02_Features'!$C$5:$C$1000),""))</x:f>
      </x:c>
      <x:c r="F113" s="32" t="str">
        <x:f>IF($D113="","",IFERROR(XLOOKUP($D113,'02_Features'!$A$5:$A$1000,'02_Features'!$D$5:$D$1000),""))</x:f>
      </x:c>
      <x:c r="G113" s="32" t="str">
        <x:f>IF($D113="","",IFERROR(XLOOKUP($D113,'02_Features'!$A$5:$A$1000,'02_Features'!$E$5:$E$1000),""))</x:f>
      </x:c>
      <x:c r="H113" s="32" t="str">
        <x:f>IF('03_Functionalities'!$A113="","",'03_Functionalities'!$A113)</x:f>
      </x:c>
      <x:c r="I113" s="32" t="str">
        <x:f>IF($H113="","",'03_Functionalities'!$D113)</x:f>
      </x:c>
      <x:c r="J113" s="32" t="str">
        <x:f>IF($H113="","",'03_Functionalities'!$E113)</x:f>
      </x:c>
      <x:c r="K113" s="32" t="str">
        <x:f>IF($H113="","",'03_Functionalities'!$F113)</x:f>
      </x:c>
      <x:c r="L113" s="32" t="str">
        <x:f>IF($H113="","",'03_Functionalities'!$G113)</x:f>
      </x:c>
      <x:c r="M113" s="32" t="str">
        <x:f>IF($H113="","",'03_Functionalities'!$H113)</x:f>
      </x:c>
      <x:c r="N113" s="32" t="str">
        <x:f>IF($H113="","",'03_Functionalities'!$I113)</x:f>
      </x:c>
      <x:c r="O113" s="32" t="str">
        <x:f>IF($H113="","",'03_Functionalities'!$J113)</x:f>
      </x:c>
      <x:c r="P113" s="32" t="str">
        <x:f>IF($H113="","",'03_Functionalities'!$K113)</x:f>
      </x:c>
      <x:c r="Q113" s="32" t="str">
        <x:f>IF($H113="","",'03_Functionalities'!$L113)</x:f>
      </x:c>
      <x:c r="R113" s="32" t="str">
        <x:f>IF($H113="","",'03_Functionalities'!$M113)</x:f>
      </x:c>
      <x:c r="S113" s="32" t="str">
        <x:f>IF($H113="","",'03_Functionalities'!$N113)</x:f>
      </x:c>
      <x:c r="T113" s="32" t="str">
        <x:f>IF($H113="","",'03_Functionalities'!$O113)</x:f>
      </x:c>
      <x:c r="U113" s="32" t="str">
        <x:f>IF($A113="","",IFERROR(XLOOKUP($A113,'01_Products'!$A$5:$A$500,'01_Products'!$G$5:$G$500),""))</x:f>
      </x:c>
      <x:c r="V113" s="32" t="str">
        <x:f>IF($D113="","",IFERROR(XLOOKUP($D113,'02_Features'!$A$5:$A$1000,'02_Features'!$J$5:$J$1000),""))</x:f>
      </x:c>
      <x:c r="W113" s="32" t="str">
        <x:f>IF($H113="","",'03_Functionalities'!$P113)</x:f>
      </x:c>
      <x:c r="X113" s="32" t="str">
        <x:f>IF($H113="","",'03_Functionalities'!$Q113)</x:f>
      </x:c>
      <x:c r="Y113" s="38"/>
      <x:c r="Z113" s="38"/>
    </x:row>
    <x:row r="114" ht="18" customHeight="1">
      <x:c r="A114" s="32" t="str">
        <x:f>IF('03_Functionalities'!$A114="","",'03_Functionalities'!$C114)</x:f>
      </x:c>
      <x:c r="B114" s="32" t="str">
        <x:f>IF($A114="","",IFERROR(XLOOKUP($A114,'01_Products'!$A$5:$A$500,'01_Products'!$B$5:$B$500),""))</x:f>
      </x:c>
      <x:c r="C114" s="32" t="str">
        <x:f>IF($A114="","",IFERROR(XLOOKUP($A114,'01_Products'!$A$5:$A$500,'01_Products'!$C$5:$C$500),""))</x:f>
      </x:c>
      <x:c r="D114" s="32" t="str">
        <x:f>IF('03_Functionalities'!$A114="","",'03_Functionalities'!$B114)</x:f>
      </x:c>
      <x:c r="E114" s="32" t="str">
        <x:f>IF($D114="","",IFERROR(XLOOKUP($D114,'02_Features'!$A$5:$A$1000,'02_Features'!$C$5:$C$1000),""))</x:f>
      </x:c>
      <x:c r="F114" s="32" t="str">
        <x:f>IF($D114="","",IFERROR(XLOOKUP($D114,'02_Features'!$A$5:$A$1000,'02_Features'!$D$5:$D$1000),""))</x:f>
      </x:c>
      <x:c r="G114" s="32" t="str">
        <x:f>IF($D114="","",IFERROR(XLOOKUP($D114,'02_Features'!$A$5:$A$1000,'02_Features'!$E$5:$E$1000),""))</x:f>
      </x:c>
      <x:c r="H114" s="32" t="str">
        <x:f>IF('03_Functionalities'!$A114="","",'03_Functionalities'!$A114)</x:f>
      </x:c>
      <x:c r="I114" s="32" t="str">
        <x:f>IF($H114="","",'03_Functionalities'!$D114)</x:f>
      </x:c>
      <x:c r="J114" s="32" t="str">
        <x:f>IF($H114="","",'03_Functionalities'!$E114)</x:f>
      </x:c>
      <x:c r="K114" s="32" t="str">
        <x:f>IF($H114="","",'03_Functionalities'!$F114)</x:f>
      </x:c>
      <x:c r="L114" s="32" t="str">
        <x:f>IF($H114="","",'03_Functionalities'!$G114)</x:f>
      </x:c>
      <x:c r="M114" s="32" t="str">
        <x:f>IF($H114="","",'03_Functionalities'!$H114)</x:f>
      </x:c>
      <x:c r="N114" s="32" t="str">
        <x:f>IF($H114="","",'03_Functionalities'!$I114)</x:f>
      </x:c>
      <x:c r="O114" s="32" t="str">
        <x:f>IF($H114="","",'03_Functionalities'!$J114)</x:f>
      </x:c>
      <x:c r="P114" s="32" t="str">
        <x:f>IF($H114="","",'03_Functionalities'!$K114)</x:f>
      </x:c>
      <x:c r="Q114" s="32" t="str">
        <x:f>IF($H114="","",'03_Functionalities'!$L114)</x:f>
      </x:c>
      <x:c r="R114" s="32" t="str">
        <x:f>IF($H114="","",'03_Functionalities'!$M114)</x:f>
      </x:c>
      <x:c r="S114" s="32" t="str">
        <x:f>IF($H114="","",'03_Functionalities'!$N114)</x:f>
      </x:c>
      <x:c r="T114" s="32" t="str">
        <x:f>IF($H114="","",'03_Functionalities'!$O114)</x:f>
      </x:c>
      <x:c r="U114" s="32" t="str">
        <x:f>IF($A114="","",IFERROR(XLOOKUP($A114,'01_Products'!$A$5:$A$500,'01_Products'!$G$5:$G$500),""))</x:f>
      </x:c>
      <x:c r="V114" s="32" t="str">
        <x:f>IF($D114="","",IFERROR(XLOOKUP($D114,'02_Features'!$A$5:$A$1000,'02_Features'!$J$5:$J$1000),""))</x:f>
      </x:c>
      <x:c r="W114" s="32" t="str">
        <x:f>IF($H114="","",'03_Functionalities'!$P114)</x:f>
      </x:c>
      <x:c r="X114" s="32" t="str">
        <x:f>IF($H114="","",'03_Functionalities'!$Q114)</x:f>
      </x:c>
      <x:c r="Y114" s="38"/>
      <x:c r="Z114" s="38"/>
    </x:row>
    <x:row r="115" ht="18" customHeight="1">
      <x:c r="A115" s="32" t="str">
        <x:f>IF('03_Functionalities'!$A115="","",'03_Functionalities'!$C115)</x:f>
      </x:c>
      <x:c r="B115" s="32" t="str">
        <x:f>IF($A115="","",IFERROR(XLOOKUP($A115,'01_Products'!$A$5:$A$500,'01_Products'!$B$5:$B$500),""))</x:f>
      </x:c>
      <x:c r="C115" s="32" t="str">
        <x:f>IF($A115="","",IFERROR(XLOOKUP($A115,'01_Products'!$A$5:$A$500,'01_Products'!$C$5:$C$500),""))</x:f>
      </x:c>
      <x:c r="D115" s="32" t="str">
        <x:f>IF('03_Functionalities'!$A115="","",'03_Functionalities'!$B115)</x:f>
      </x:c>
      <x:c r="E115" s="32" t="str">
        <x:f>IF($D115="","",IFERROR(XLOOKUP($D115,'02_Features'!$A$5:$A$1000,'02_Features'!$C$5:$C$1000),""))</x:f>
      </x:c>
      <x:c r="F115" s="32" t="str">
        <x:f>IF($D115="","",IFERROR(XLOOKUP($D115,'02_Features'!$A$5:$A$1000,'02_Features'!$D$5:$D$1000),""))</x:f>
      </x:c>
      <x:c r="G115" s="32" t="str">
        <x:f>IF($D115="","",IFERROR(XLOOKUP($D115,'02_Features'!$A$5:$A$1000,'02_Features'!$E$5:$E$1000),""))</x:f>
      </x:c>
      <x:c r="H115" s="32" t="str">
        <x:f>IF('03_Functionalities'!$A115="","",'03_Functionalities'!$A115)</x:f>
      </x:c>
      <x:c r="I115" s="32" t="str">
        <x:f>IF($H115="","",'03_Functionalities'!$D115)</x:f>
      </x:c>
      <x:c r="J115" s="32" t="str">
        <x:f>IF($H115="","",'03_Functionalities'!$E115)</x:f>
      </x:c>
      <x:c r="K115" s="32" t="str">
        <x:f>IF($H115="","",'03_Functionalities'!$F115)</x:f>
      </x:c>
      <x:c r="L115" s="32" t="str">
        <x:f>IF($H115="","",'03_Functionalities'!$G115)</x:f>
      </x:c>
      <x:c r="M115" s="32" t="str">
        <x:f>IF($H115="","",'03_Functionalities'!$H115)</x:f>
      </x:c>
      <x:c r="N115" s="32" t="str">
        <x:f>IF($H115="","",'03_Functionalities'!$I115)</x:f>
      </x:c>
      <x:c r="O115" s="32" t="str">
        <x:f>IF($H115="","",'03_Functionalities'!$J115)</x:f>
      </x:c>
      <x:c r="P115" s="32" t="str">
        <x:f>IF($H115="","",'03_Functionalities'!$K115)</x:f>
      </x:c>
      <x:c r="Q115" s="32" t="str">
        <x:f>IF($H115="","",'03_Functionalities'!$L115)</x:f>
      </x:c>
      <x:c r="R115" s="32" t="str">
        <x:f>IF($H115="","",'03_Functionalities'!$M115)</x:f>
      </x:c>
      <x:c r="S115" s="32" t="str">
        <x:f>IF($H115="","",'03_Functionalities'!$N115)</x:f>
      </x:c>
      <x:c r="T115" s="32" t="str">
        <x:f>IF($H115="","",'03_Functionalities'!$O115)</x:f>
      </x:c>
      <x:c r="U115" s="32" t="str">
        <x:f>IF($A115="","",IFERROR(XLOOKUP($A115,'01_Products'!$A$5:$A$500,'01_Products'!$G$5:$G$500),""))</x:f>
      </x:c>
      <x:c r="V115" s="32" t="str">
        <x:f>IF($D115="","",IFERROR(XLOOKUP($D115,'02_Features'!$A$5:$A$1000,'02_Features'!$J$5:$J$1000),""))</x:f>
      </x:c>
      <x:c r="W115" s="32" t="str">
        <x:f>IF($H115="","",'03_Functionalities'!$P115)</x:f>
      </x:c>
      <x:c r="X115" s="32" t="str">
        <x:f>IF($H115="","",'03_Functionalities'!$Q115)</x:f>
      </x:c>
      <x:c r="Y115" s="38"/>
      <x:c r="Z115" s="38"/>
    </x:row>
    <x:row r="116" ht="18" customHeight="1">
      <x:c r="A116" s="32" t="str">
        <x:f>IF('03_Functionalities'!$A116="","",'03_Functionalities'!$C116)</x:f>
      </x:c>
      <x:c r="B116" s="32" t="str">
        <x:f>IF($A116="","",IFERROR(XLOOKUP($A116,'01_Products'!$A$5:$A$500,'01_Products'!$B$5:$B$500),""))</x:f>
      </x:c>
      <x:c r="C116" s="32" t="str">
        <x:f>IF($A116="","",IFERROR(XLOOKUP($A116,'01_Products'!$A$5:$A$500,'01_Products'!$C$5:$C$500),""))</x:f>
      </x:c>
      <x:c r="D116" s="32" t="str">
        <x:f>IF('03_Functionalities'!$A116="","",'03_Functionalities'!$B116)</x:f>
      </x:c>
      <x:c r="E116" s="32" t="str">
        <x:f>IF($D116="","",IFERROR(XLOOKUP($D116,'02_Features'!$A$5:$A$1000,'02_Features'!$C$5:$C$1000),""))</x:f>
      </x:c>
      <x:c r="F116" s="32" t="str">
        <x:f>IF($D116="","",IFERROR(XLOOKUP($D116,'02_Features'!$A$5:$A$1000,'02_Features'!$D$5:$D$1000),""))</x:f>
      </x:c>
      <x:c r="G116" s="32" t="str">
        <x:f>IF($D116="","",IFERROR(XLOOKUP($D116,'02_Features'!$A$5:$A$1000,'02_Features'!$E$5:$E$1000),""))</x:f>
      </x:c>
      <x:c r="H116" s="32" t="str">
        <x:f>IF('03_Functionalities'!$A116="","",'03_Functionalities'!$A116)</x:f>
      </x:c>
      <x:c r="I116" s="32" t="str">
        <x:f>IF($H116="","",'03_Functionalities'!$D116)</x:f>
      </x:c>
      <x:c r="J116" s="32" t="str">
        <x:f>IF($H116="","",'03_Functionalities'!$E116)</x:f>
      </x:c>
      <x:c r="K116" s="32" t="str">
        <x:f>IF($H116="","",'03_Functionalities'!$F116)</x:f>
      </x:c>
      <x:c r="L116" s="32" t="str">
        <x:f>IF($H116="","",'03_Functionalities'!$G116)</x:f>
      </x:c>
      <x:c r="M116" s="32" t="str">
        <x:f>IF($H116="","",'03_Functionalities'!$H116)</x:f>
      </x:c>
      <x:c r="N116" s="32" t="str">
        <x:f>IF($H116="","",'03_Functionalities'!$I116)</x:f>
      </x:c>
      <x:c r="O116" s="32" t="str">
        <x:f>IF($H116="","",'03_Functionalities'!$J116)</x:f>
      </x:c>
      <x:c r="P116" s="32" t="str">
        <x:f>IF($H116="","",'03_Functionalities'!$K116)</x:f>
      </x:c>
      <x:c r="Q116" s="32" t="str">
        <x:f>IF($H116="","",'03_Functionalities'!$L116)</x:f>
      </x:c>
      <x:c r="R116" s="32" t="str">
        <x:f>IF($H116="","",'03_Functionalities'!$M116)</x:f>
      </x:c>
      <x:c r="S116" s="32" t="str">
        <x:f>IF($H116="","",'03_Functionalities'!$N116)</x:f>
      </x:c>
      <x:c r="T116" s="32" t="str">
        <x:f>IF($H116="","",'03_Functionalities'!$O116)</x:f>
      </x:c>
      <x:c r="U116" s="32" t="str">
        <x:f>IF($A116="","",IFERROR(XLOOKUP($A116,'01_Products'!$A$5:$A$500,'01_Products'!$G$5:$G$500),""))</x:f>
      </x:c>
      <x:c r="V116" s="32" t="str">
        <x:f>IF($D116="","",IFERROR(XLOOKUP($D116,'02_Features'!$A$5:$A$1000,'02_Features'!$J$5:$J$1000),""))</x:f>
      </x:c>
      <x:c r="W116" s="32" t="str">
        <x:f>IF($H116="","",'03_Functionalities'!$P116)</x:f>
      </x:c>
      <x:c r="X116" s="32" t="str">
        <x:f>IF($H116="","",'03_Functionalities'!$Q116)</x:f>
      </x:c>
      <x:c r="Y116" s="38"/>
      <x:c r="Z116" s="38"/>
    </x:row>
    <x:row r="117" ht="18" customHeight="1">
      <x:c r="A117" s="32" t="str">
        <x:f>IF('03_Functionalities'!$A117="","",'03_Functionalities'!$C117)</x:f>
      </x:c>
      <x:c r="B117" s="32" t="str">
        <x:f>IF($A117="","",IFERROR(XLOOKUP($A117,'01_Products'!$A$5:$A$500,'01_Products'!$B$5:$B$500),""))</x:f>
      </x:c>
      <x:c r="C117" s="32" t="str">
        <x:f>IF($A117="","",IFERROR(XLOOKUP($A117,'01_Products'!$A$5:$A$500,'01_Products'!$C$5:$C$500),""))</x:f>
      </x:c>
      <x:c r="D117" s="32" t="str">
        <x:f>IF('03_Functionalities'!$A117="","",'03_Functionalities'!$B117)</x:f>
      </x:c>
      <x:c r="E117" s="32" t="str">
        <x:f>IF($D117="","",IFERROR(XLOOKUP($D117,'02_Features'!$A$5:$A$1000,'02_Features'!$C$5:$C$1000),""))</x:f>
      </x:c>
      <x:c r="F117" s="32" t="str">
        <x:f>IF($D117="","",IFERROR(XLOOKUP($D117,'02_Features'!$A$5:$A$1000,'02_Features'!$D$5:$D$1000),""))</x:f>
      </x:c>
      <x:c r="G117" s="32" t="str">
        <x:f>IF($D117="","",IFERROR(XLOOKUP($D117,'02_Features'!$A$5:$A$1000,'02_Features'!$E$5:$E$1000),""))</x:f>
      </x:c>
      <x:c r="H117" s="32" t="str">
        <x:f>IF('03_Functionalities'!$A117="","",'03_Functionalities'!$A117)</x:f>
      </x:c>
      <x:c r="I117" s="32" t="str">
        <x:f>IF($H117="","",'03_Functionalities'!$D117)</x:f>
      </x:c>
      <x:c r="J117" s="32" t="str">
        <x:f>IF($H117="","",'03_Functionalities'!$E117)</x:f>
      </x:c>
      <x:c r="K117" s="32" t="str">
        <x:f>IF($H117="","",'03_Functionalities'!$F117)</x:f>
      </x:c>
      <x:c r="L117" s="32" t="str">
        <x:f>IF($H117="","",'03_Functionalities'!$G117)</x:f>
      </x:c>
      <x:c r="M117" s="32" t="str">
        <x:f>IF($H117="","",'03_Functionalities'!$H117)</x:f>
      </x:c>
      <x:c r="N117" s="32" t="str">
        <x:f>IF($H117="","",'03_Functionalities'!$I117)</x:f>
      </x:c>
      <x:c r="O117" s="32" t="str">
        <x:f>IF($H117="","",'03_Functionalities'!$J117)</x:f>
      </x:c>
      <x:c r="P117" s="32" t="str">
        <x:f>IF($H117="","",'03_Functionalities'!$K117)</x:f>
      </x:c>
      <x:c r="Q117" s="32" t="str">
        <x:f>IF($H117="","",'03_Functionalities'!$L117)</x:f>
      </x:c>
      <x:c r="R117" s="32" t="str">
        <x:f>IF($H117="","",'03_Functionalities'!$M117)</x:f>
      </x:c>
      <x:c r="S117" s="32" t="str">
        <x:f>IF($H117="","",'03_Functionalities'!$N117)</x:f>
      </x:c>
      <x:c r="T117" s="32" t="str">
        <x:f>IF($H117="","",'03_Functionalities'!$O117)</x:f>
      </x:c>
      <x:c r="U117" s="32" t="str">
        <x:f>IF($A117="","",IFERROR(XLOOKUP($A117,'01_Products'!$A$5:$A$500,'01_Products'!$G$5:$G$500),""))</x:f>
      </x:c>
      <x:c r="V117" s="32" t="str">
        <x:f>IF($D117="","",IFERROR(XLOOKUP($D117,'02_Features'!$A$5:$A$1000,'02_Features'!$J$5:$J$1000),""))</x:f>
      </x:c>
      <x:c r="W117" s="32" t="str">
        <x:f>IF($H117="","",'03_Functionalities'!$P117)</x:f>
      </x:c>
      <x:c r="X117" s="32" t="str">
        <x:f>IF($H117="","",'03_Functionalities'!$Q117)</x:f>
      </x:c>
      <x:c r="Y117" s="38"/>
      <x:c r="Z117" s="38"/>
    </x:row>
    <x:row r="118" ht="18" customHeight="1">
      <x:c r="A118" s="32" t="str">
        <x:f>IF('03_Functionalities'!$A118="","",'03_Functionalities'!$C118)</x:f>
      </x:c>
      <x:c r="B118" s="32" t="str">
        <x:f>IF($A118="","",IFERROR(XLOOKUP($A118,'01_Products'!$A$5:$A$500,'01_Products'!$B$5:$B$500),""))</x:f>
      </x:c>
      <x:c r="C118" s="32" t="str">
        <x:f>IF($A118="","",IFERROR(XLOOKUP($A118,'01_Products'!$A$5:$A$500,'01_Products'!$C$5:$C$500),""))</x:f>
      </x:c>
      <x:c r="D118" s="32" t="str">
        <x:f>IF('03_Functionalities'!$A118="","",'03_Functionalities'!$B118)</x:f>
      </x:c>
      <x:c r="E118" s="32" t="str">
        <x:f>IF($D118="","",IFERROR(XLOOKUP($D118,'02_Features'!$A$5:$A$1000,'02_Features'!$C$5:$C$1000),""))</x:f>
      </x:c>
      <x:c r="F118" s="32" t="str">
        <x:f>IF($D118="","",IFERROR(XLOOKUP($D118,'02_Features'!$A$5:$A$1000,'02_Features'!$D$5:$D$1000),""))</x:f>
      </x:c>
      <x:c r="G118" s="32" t="str">
        <x:f>IF($D118="","",IFERROR(XLOOKUP($D118,'02_Features'!$A$5:$A$1000,'02_Features'!$E$5:$E$1000),""))</x:f>
      </x:c>
      <x:c r="H118" s="32" t="str">
        <x:f>IF('03_Functionalities'!$A118="","",'03_Functionalities'!$A118)</x:f>
      </x:c>
      <x:c r="I118" s="32" t="str">
        <x:f>IF($H118="","",'03_Functionalities'!$D118)</x:f>
      </x:c>
      <x:c r="J118" s="32" t="str">
        <x:f>IF($H118="","",'03_Functionalities'!$E118)</x:f>
      </x:c>
      <x:c r="K118" s="32" t="str">
        <x:f>IF($H118="","",'03_Functionalities'!$F118)</x:f>
      </x:c>
      <x:c r="L118" s="32" t="str">
        <x:f>IF($H118="","",'03_Functionalities'!$G118)</x:f>
      </x:c>
      <x:c r="M118" s="32" t="str">
        <x:f>IF($H118="","",'03_Functionalities'!$H118)</x:f>
      </x:c>
      <x:c r="N118" s="32" t="str">
        <x:f>IF($H118="","",'03_Functionalities'!$I118)</x:f>
      </x:c>
      <x:c r="O118" s="32" t="str">
        <x:f>IF($H118="","",'03_Functionalities'!$J118)</x:f>
      </x:c>
      <x:c r="P118" s="32" t="str">
        <x:f>IF($H118="","",'03_Functionalities'!$K118)</x:f>
      </x:c>
      <x:c r="Q118" s="32" t="str">
        <x:f>IF($H118="","",'03_Functionalities'!$L118)</x:f>
      </x:c>
      <x:c r="R118" s="32" t="str">
        <x:f>IF($H118="","",'03_Functionalities'!$M118)</x:f>
      </x:c>
      <x:c r="S118" s="32" t="str">
        <x:f>IF($H118="","",'03_Functionalities'!$N118)</x:f>
      </x:c>
      <x:c r="T118" s="32" t="str">
        <x:f>IF($H118="","",'03_Functionalities'!$O118)</x:f>
      </x:c>
      <x:c r="U118" s="32" t="str">
        <x:f>IF($A118="","",IFERROR(XLOOKUP($A118,'01_Products'!$A$5:$A$500,'01_Products'!$G$5:$G$500),""))</x:f>
      </x:c>
      <x:c r="V118" s="32" t="str">
        <x:f>IF($D118="","",IFERROR(XLOOKUP($D118,'02_Features'!$A$5:$A$1000,'02_Features'!$J$5:$J$1000),""))</x:f>
      </x:c>
      <x:c r="W118" s="32" t="str">
        <x:f>IF($H118="","",'03_Functionalities'!$P118)</x:f>
      </x:c>
      <x:c r="X118" s="32" t="str">
        <x:f>IF($H118="","",'03_Functionalities'!$Q118)</x:f>
      </x:c>
      <x:c r="Y118" s="38"/>
      <x:c r="Z118" s="38"/>
    </x:row>
    <x:row r="119" ht="18" customHeight="1">
      <x:c r="A119" s="32" t="str">
        <x:f>IF('03_Functionalities'!$A119="","",'03_Functionalities'!$C119)</x:f>
      </x:c>
      <x:c r="B119" s="32" t="str">
        <x:f>IF($A119="","",IFERROR(XLOOKUP($A119,'01_Products'!$A$5:$A$500,'01_Products'!$B$5:$B$500),""))</x:f>
      </x:c>
      <x:c r="C119" s="32" t="str">
        <x:f>IF($A119="","",IFERROR(XLOOKUP($A119,'01_Products'!$A$5:$A$500,'01_Products'!$C$5:$C$500),""))</x:f>
      </x:c>
      <x:c r="D119" s="32" t="str">
        <x:f>IF('03_Functionalities'!$A119="","",'03_Functionalities'!$B119)</x:f>
      </x:c>
      <x:c r="E119" s="32" t="str">
        <x:f>IF($D119="","",IFERROR(XLOOKUP($D119,'02_Features'!$A$5:$A$1000,'02_Features'!$C$5:$C$1000),""))</x:f>
      </x:c>
      <x:c r="F119" s="32" t="str">
        <x:f>IF($D119="","",IFERROR(XLOOKUP($D119,'02_Features'!$A$5:$A$1000,'02_Features'!$D$5:$D$1000),""))</x:f>
      </x:c>
      <x:c r="G119" s="32" t="str">
        <x:f>IF($D119="","",IFERROR(XLOOKUP($D119,'02_Features'!$A$5:$A$1000,'02_Features'!$E$5:$E$1000),""))</x:f>
      </x:c>
      <x:c r="H119" s="32" t="str">
        <x:f>IF('03_Functionalities'!$A119="","",'03_Functionalities'!$A119)</x:f>
      </x:c>
      <x:c r="I119" s="32" t="str">
        <x:f>IF($H119="","",'03_Functionalities'!$D119)</x:f>
      </x:c>
      <x:c r="J119" s="32" t="str">
        <x:f>IF($H119="","",'03_Functionalities'!$E119)</x:f>
      </x:c>
      <x:c r="K119" s="32" t="str">
        <x:f>IF($H119="","",'03_Functionalities'!$F119)</x:f>
      </x:c>
      <x:c r="L119" s="32" t="str">
        <x:f>IF($H119="","",'03_Functionalities'!$G119)</x:f>
      </x:c>
      <x:c r="M119" s="32" t="str">
        <x:f>IF($H119="","",'03_Functionalities'!$H119)</x:f>
      </x:c>
      <x:c r="N119" s="32" t="str">
        <x:f>IF($H119="","",'03_Functionalities'!$I119)</x:f>
      </x:c>
      <x:c r="O119" s="32" t="str">
        <x:f>IF($H119="","",'03_Functionalities'!$J119)</x:f>
      </x:c>
      <x:c r="P119" s="32" t="str">
        <x:f>IF($H119="","",'03_Functionalities'!$K119)</x:f>
      </x:c>
      <x:c r="Q119" s="32" t="str">
        <x:f>IF($H119="","",'03_Functionalities'!$L119)</x:f>
      </x:c>
      <x:c r="R119" s="32" t="str">
        <x:f>IF($H119="","",'03_Functionalities'!$M119)</x:f>
      </x:c>
      <x:c r="S119" s="32" t="str">
        <x:f>IF($H119="","",'03_Functionalities'!$N119)</x:f>
      </x:c>
      <x:c r="T119" s="32" t="str">
        <x:f>IF($H119="","",'03_Functionalities'!$O119)</x:f>
      </x:c>
      <x:c r="U119" s="32" t="str">
        <x:f>IF($A119="","",IFERROR(XLOOKUP($A119,'01_Products'!$A$5:$A$500,'01_Products'!$G$5:$G$500),""))</x:f>
      </x:c>
      <x:c r="V119" s="32" t="str">
        <x:f>IF($D119="","",IFERROR(XLOOKUP($D119,'02_Features'!$A$5:$A$1000,'02_Features'!$J$5:$J$1000),""))</x:f>
      </x:c>
      <x:c r="W119" s="32" t="str">
        <x:f>IF($H119="","",'03_Functionalities'!$P119)</x:f>
      </x:c>
      <x:c r="X119" s="32" t="str">
        <x:f>IF($H119="","",'03_Functionalities'!$Q119)</x:f>
      </x:c>
      <x:c r="Y119" s="38"/>
      <x:c r="Z119" s="38"/>
    </x:row>
    <x:row r="120" ht="18" customHeight="1">
      <x:c r="A120" s="32" t="str">
        <x:f>IF('03_Functionalities'!$A120="","",'03_Functionalities'!$C120)</x:f>
      </x:c>
      <x:c r="B120" s="32" t="str">
        <x:f>IF($A120="","",IFERROR(XLOOKUP($A120,'01_Products'!$A$5:$A$500,'01_Products'!$B$5:$B$500),""))</x:f>
      </x:c>
      <x:c r="C120" s="32" t="str">
        <x:f>IF($A120="","",IFERROR(XLOOKUP($A120,'01_Products'!$A$5:$A$500,'01_Products'!$C$5:$C$500),""))</x:f>
      </x:c>
      <x:c r="D120" s="32" t="str">
        <x:f>IF('03_Functionalities'!$A120="","",'03_Functionalities'!$B120)</x:f>
      </x:c>
      <x:c r="E120" s="32" t="str">
        <x:f>IF($D120="","",IFERROR(XLOOKUP($D120,'02_Features'!$A$5:$A$1000,'02_Features'!$C$5:$C$1000),""))</x:f>
      </x:c>
      <x:c r="F120" s="32" t="str">
        <x:f>IF($D120="","",IFERROR(XLOOKUP($D120,'02_Features'!$A$5:$A$1000,'02_Features'!$D$5:$D$1000),""))</x:f>
      </x:c>
      <x:c r="G120" s="32" t="str">
        <x:f>IF($D120="","",IFERROR(XLOOKUP($D120,'02_Features'!$A$5:$A$1000,'02_Features'!$E$5:$E$1000),""))</x:f>
      </x:c>
      <x:c r="H120" s="32" t="str">
        <x:f>IF('03_Functionalities'!$A120="","",'03_Functionalities'!$A120)</x:f>
      </x:c>
      <x:c r="I120" s="32" t="str">
        <x:f>IF($H120="","",'03_Functionalities'!$D120)</x:f>
      </x:c>
      <x:c r="J120" s="32" t="str">
        <x:f>IF($H120="","",'03_Functionalities'!$E120)</x:f>
      </x:c>
      <x:c r="K120" s="32" t="str">
        <x:f>IF($H120="","",'03_Functionalities'!$F120)</x:f>
      </x:c>
      <x:c r="L120" s="32" t="str">
        <x:f>IF($H120="","",'03_Functionalities'!$G120)</x:f>
      </x:c>
      <x:c r="M120" s="32" t="str">
        <x:f>IF($H120="","",'03_Functionalities'!$H120)</x:f>
      </x:c>
      <x:c r="N120" s="32" t="str">
        <x:f>IF($H120="","",'03_Functionalities'!$I120)</x:f>
      </x:c>
      <x:c r="O120" s="32" t="str">
        <x:f>IF($H120="","",'03_Functionalities'!$J120)</x:f>
      </x:c>
      <x:c r="P120" s="32" t="str">
        <x:f>IF($H120="","",'03_Functionalities'!$K120)</x:f>
      </x:c>
      <x:c r="Q120" s="32" t="str">
        <x:f>IF($H120="","",'03_Functionalities'!$L120)</x:f>
      </x:c>
      <x:c r="R120" s="32" t="str">
        <x:f>IF($H120="","",'03_Functionalities'!$M120)</x:f>
      </x:c>
      <x:c r="S120" s="32" t="str">
        <x:f>IF($H120="","",'03_Functionalities'!$N120)</x:f>
      </x:c>
      <x:c r="T120" s="32" t="str">
        <x:f>IF($H120="","",'03_Functionalities'!$O120)</x:f>
      </x:c>
      <x:c r="U120" s="32" t="str">
        <x:f>IF($A120="","",IFERROR(XLOOKUP($A120,'01_Products'!$A$5:$A$500,'01_Products'!$G$5:$G$500),""))</x:f>
      </x:c>
      <x:c r="V120" s="32" t="str">
        <x:f>IF($D120="","",IFERROR(XLOOKUP($D120,'02_Features'!$A$5:$A$1000,'02_Features'!$J$5:$J$1000),""))</x:f>
      </x:c>
      <x:c r="W120" s="32" t="str">
        <x:f>IF($H120="","",'03_Functionalities'!$P120)</x:f>
      </x:c>
      <x:c r="X120" s="32" t="str">
        <x:f>IF($H120="","",'03_Functionalities'!$Q120)</x:f>
      </x:c>
      <x:c r="Y120" s="38"/>
      <x:c r="Z120" s="38"/>
    </x:row>
    <x:row r="121" ht="18" customHeight="1">
      <x:c r="A121" s="32" t="str">
        <x:f>IF('03_Functionalities'!$A121="","",'03_Functionalities'!$C121)</x:f>
      </x:c>
      <x:c r="B121" s="32" t="str">
        <x:f>IF($A121="","",IFERROR(XLOOKUP($A121,'01_Products'!$A$5:$A$500,'01_Products'!$B$5:$B$500),""))</x:f>
      </x:c>
      <x:c r="C121" s="32" t="str">
        <x:f>IF($A121="","",IFERROR(XLOOKUP($A121,'01_Products'!$A$5:$A$500,'01_Products'!$C$5:$C$500),""))</x:f>
      </x:c>
      <x:c r="D121" s="32" t="str">
        <x:f>IF('03_Functionalities'!$A121="","",'03_Functionalities'!$B121)</x:f>
      </x:c>
      <x:c r="E121" s="32" t="str">
        <x:f>IF($D121="","",IFERROR(XLOOKUP($D121,'02_Features'!$A$5:$A$1000,'02_Features'!$C$5:$C$1000),""))</x:f>
      </x:c>
      <x:c r="F121" s="32" t="str">
        <x:f>IF($D121="","",IFERROR(XLOOKUP($D121,'02_Features'!$A$5:$A$1000,'02_Features'!$D$5:$D$1000),""))</x:f>
      </x:c>
      <x:c r="G121" s="32" t="str">
        <x:f>IF($D121="","",IFERROR(XLOOKUP($D121,'02_Features'!$A$5:$A$1000,'02_Features'!$E$5:$E$1000),""))</x:f>
      </x:c>
      <x:c r="H121" s="32" t="str">
        <x:f>IF('03_Functionalities'!$A121="","",'03_Functionalities'!$A121)</x:f>
      </x:c>
      <x:c r="I121" s="32" t="str">
        <x:f>IF($H121="","",'03_Functionalities'!$D121)</x:f>
      </x:c>
      <x:c r="J121" s="32" t="str">
        <x:f>IF($H121="","",'03_Functionalities'!$E121)</x:f>
      </x:c>
      <x:c r="K121" s="32" t="str">
        <x:f>IF($H121="","",'03_Functionalities'!$F121)</x:f>
      </x:c>
      <x:c r="L121" s="32" t="str">
        <x:f>IF($H121="","",'03_Functionalities'!$G121)</x:f>
      </x:c>
      <x:c r="M121" s="32" t="str">
        <x:f>IF($H121="","",'03_Functionalities'!$H121)</x:f>
      </x:c>
      <x:c r="N121" s="32" t="str">
        <x:f>IF($H121="","",'03_Functionalities'!$I121)</x:f>
      </x:c>
      <x:c r="O121" s="32" t="str">
        <x:f>IF($H121="","",'03_Functionalities'!$J121)</x:f>
      </x:c>
      <x:c r="P121" s="32" t="str">
        <x:f>IF($H121="","",'03_Functionalities'!$K121)</x:f>
      </x:c>
      <x:c r="Q121" s="32" t="str">
        <x:f>IF($H121="","",'03_Functionalities'!$L121)</x:f>
      </x:c>
      <x:c r="R121" s="32" t="str">
        <x:f>IF($H121="","",'03_Functionalities'!$M121)</x:f>
      </x:c>
      <x:c r="S121" s="32" t="str">
        <x:f>IF($H121="","",'03_Functionalities'!$N121)</x:f>
      </x:c>
      <x:c r="T121" s="32" t="str">
        <x:f>IF($H121="","",'03_Functionalities'!$O121)</x:f>
      </x:c>
      <x:c r="U121" s="32" t="str">
        <x:f>IF($A121="","",IFERROR(XLOOKUP($A121,'01_Products'!$A$5:$A$500,'01_Products'!$G$5:$G$500),""))</x:f>
      </x:c>
      <x:c r="V121" s="32" t="str">
        <x:f>IF($D121="","",IFERROR(XLOOKUP($D121,'02_Features'!$A$5:$A$1000,'02_Features'!$J$5:$J$1000),""))</x:f>
      </x:c>
      <x:c r="W121" s="32" t="str">
        <x:f>IF($H121="","",'03_Functionalities'!$P121)</x:f>
      </x:c>
      <x:c r="X121" s="32" t="str">
        <x:f>IF($H121="","",'03_Functionalities'!$Q121)</x:f>
      </x:c>
      <x:c r="Y121" s="38"/>
      <x:c r="Z121" s="38"/>
    </x:row>
    <x:row r="122" ht="18" customHeight="1">
      <x:c r="A122" s="32" t="str">
        <x:f>IF('03_Functionalities'!$A122="","",'03_Functionalities'!$C122)</x:f>
      </x:c>
      <x:c r="B122" s="32" t="str">
        <x:f>IF($A122="","",IFERROR(XLOOKUP($A122,'01_Products'!$A$5:$A$500,'01_Products'!$B$5:$B$500),""))</x:f>
      </x:c>
      <x:c r="C122" s="32" t="str">
        <x:f>IF($A122="","",IFERROR(XLOOKUP($A122,'01_Products'!$A$5:$A$500,'01_Products'!$C$5:$C$500),""))</x:f>
      </x:c>
      <x:c r="D122" s="32" t="str">
        <x:f>IF('03_Functionalities'!$A122="","",'03_Functionalities'!$B122)</x:f>
      </x:c>
      <x:c r="E122" s="32" t="str">
        <x:f>IF($D122="","",IFERROR(XLOOKUP($D122,'02_Features'!$A$5:$A$1000,'02_Features'!$C$5:$C$1000),""))</x:f>
      </x:c>
      <x:c r="F122" s="32" t="str">
        <x:f>IF($D122="","",IFERROR(XLOOKUP($D122,'02_Features'!$A$5:$A$1000,'02_Features'!$D$5:$D$1000),""))</x:f>
      </x:c>
      <x:c r="G122" s="32" t="str">
        <x:f>IF($D122="","",IFERROR(XLOOKUP($D122,'02_Features'!$A$5:$A$1000,'02_Features'!$E$5:$E$1000),""))</x:f>
      </x:c>
      <x:c r="H122" s="32" t="str">
        <x:f>IF('03_Functionalities'!$A122="","",'03_Functionalities'!$A122)</x:f>
      </x:c>
      <x:c r="I122" s="32" t="str">
        <x:f>IF($H122="","",'03_Functionalities'!$D122)</x:f>
      </x:c>
      <x:c r="J122" s="32" t="str">
        <x:f>IF($H122="","",'03_Functionalities'!$E122)</x:f>
      </x:c>
      <x:c r="K122" s="32" t="str">
        <x:f>IF($H122="","",'03_Functionalities'!$F122)</x:f>
      </x:c>
      <x:c r="L122" s="32" t="str">
        <x:f>IF($H122="","",'03_Functionalities'!$G122)</x:f>
      </x:c>
      <x:c r="M122" s="32" t="str">
        <x:f>IF($H122="","",'03_Functionalities'!$H122)</x:f>
      </x:c>
      <x:c r="N122" s="32" t="str">
        <x:f>IF($H122="","",'03_Functionalities'!$I122)</x:f>
      </x:c>
      <x:c r="O122" s="32" t="str">
        <x:f>IF($H122="","",'03_Functionalities'!$J122)</x:f>
      </x:c>
      <x:c r="P122" s="32" t="str">
        <x:f>IF($H122="","",'03_Functionalities'!$K122)</x:f>
      </x:c>
      <x:c r="Q122" s="32" t="str">
        <x:f>IF($H122="","",'03_Functionalities'!$L122)</x:f>
      </x:c>
      <x:c r="R122" s="32" t="str">
        <x:f>IF($H122="","",'03_Functionalities'!$M122)</x:f>
      </x:c>
      <x:c r="S122" s="32" t="str">
        <x:f>IF($H122="","",'03_Functionalities'!$N122)</x:f>
      </x:c>
      <x:c r="T122" s="32" t="str">
        <x:f>IF($H122="","",'03_Functionalities'!$O122)</x:f>
      </x:c>
      <x:c r="U122" s="32" t="str">
        <x:f>IF($A122="","",IFERROR(XLOOKUP($A122,'01_Products'!$A$5:$A$500,'01_Products'!$G$5:$G$500),""))</x:f>
      </x:c>
      <x:c r="V122" s="32" t="str">
        <x:f>IF($D122="","",IFERROR(XLOOKUP($D122,'02_Features'!$A$5:$A$1000,'02_Features'!$J$5:$J$1000),""))</x:f>
      </x:c>
      <x:c r="W122" s="32" t="str">
        <x:f>IF($H122="","",'03_Functionalities'!$P122)</x:f>
      </x:c>
      <x:c r="X122" s="32" t="str">
        <x:f>IF($H122="","",'03_Functionalities'!$Q122)</x:f>
      </x:c>
      <x:c r="Y122" s="38"/>
      <x:c r="Z122" s="38"/>
    </x:row>
    <x:row r="123" ht="18" customHeight="1">
      <x:c r="A123" s="32" t="str">
        <x:f>IF('03_Functionalities'!$A123="","",'03_Functionalities'!$C123)</x:f>
      </x:c>
      <x:c r="B123" s="32" t="str">
        <x:f>IF($A123="","",IFERROR(XLOOKUP($A123,'01_Products'!$A$5:$A$500,'01_Products'!$B$5:$B$500),""))</x:f>
      </x:c>
      <x:c r="C123" s="32" t="str">
        <x:f>IF($A123="","",IFERROR(XLOOKUP($A123,'01_Products'!$A$5:$A$500,'01_Products'!$C$5:$C$500),""))</x:f>
      </x:c>
      <x:c r="D123" s="32" t="str">
        <x:f>IF('03_Functionalities'!$A123="","",'03_Functionalities'!$B123)</x:f>
      </x:c>
      <x:c r="E123" s="32" t="str">
        <x:f>IF($D123="","",IFERROR(XLOOKUP($D123,'02_Features'!$A$5:$A$1000,'02_Features'!$C$5:$C$1000),""))</x:f>
      </x:c>
      <x:c r="F123" s="32" t="str">
        <x:f>IF($D123="","",IFERROR(XLOOKUP($D123,'02_Features'!$A$5:$A$1000,'02_Features'!$D$5:$D$1000),""))</x:f>
      </x:c>
      <x:c r="G123" s="32" t="str">
        <x:f>IF($D123="","",IFERROR(XLOOKUP($D123,'02_Features'!$A$5:$A$1000,'02_Features'!$E$5:$E$1000),""))</x:f>
      </x:c>
      <x:c r="H123" s="32" t="str">
        <x:f>IF('03_Functionalities'!$A123="","",'03_Functionalities'!$A123)</x:f>
      </x:c>
      <x:c r="I123" s="32" t="str">
        <x:f>IF($H123="","",'03_Functionalities'!$D123)</x:f>
      </x:c>
      <x:c r="J123" s="32" t="str">
        <x:f>IF($H123="","",'03_Functionalities'!$E123)</x:f>
      </x:c>
      <x:c r="K123" s="32" t="str">
        <x:f>IF($H123="","",'03_Functionalities'!$F123)</x:f>
      </x:c>
      <x:c r="L123" s="32" t="str">
        <x:f>IF($H123="","",'03_Functionalities'!$G123)</x:f>
      </x:c>
      <x:c r="M123" s="32" t="str">
        <x:f>IF($H123="","",'03_Functionalities'!$H123)</x:f>
      </x:c>
      <x:c r="N123" s="32" t="str">
        <x:f>IF($H123="","",'03_Functionalities'!$I123)</x:f>
      </x:c>
      <x:c r="O123" s="32" t="str">
        <x:f>IF($H123="","",'03_Functionalities'!$J123)</x:f>
      </x:c>
      <x:c r="P123" s="32" t="str">
        <x:f>IF($H123="","",'03_Functionalities'!$K123)</x:f>
      </x:c>
      <x:c r="Q123" s="32" t="str">
        <x:f>IF($H123="","",'03_Functionalities'!$L123)</x:f>
      </x:c>
      <x:c r="R123" s="32" t="str">
        <x:f>IF($H123="","",'03_Functionalities'!$M123)</x:f>
      </x:c>
      <x:c r="S123" s="32" t="str">
        <x:f>IF($H123="","",'03_Functionalities'!$N123)</x:f>
      </x:c>
      <x:c r="T123" s="32" t="str">
        <x:f>IF($H123="","",'03_Functionalities'!$O123)</x:f>
      </x:c>
      <x:c r="U123" s="32" t="str">
        <x:f>IF($A123="","",IFERROR(XLOOKUP($A123,'01_Products'!$A$5:$A$500,'01_Products'!$G$5:$G$500),""))</x:f>
      </x:c>
      <x:c r="V123" s="32" t="str">
        <x:f>IF($D123="","",IFERROR(XLOOKUP($D123,'02_Features'!$A$5:$A$1000,'02_Features'!$J$5:$J$1000),""))</x:f>
      </x:c>
      <x:c r="W123" s="32" t="str">
        <x:f>IF($H123="","",'03_Functionalities'!$P123)</x:f>
      </x:c>
      <x:c r="X123" s="32" t="str">
        <x:f>IF($H123="","",'03_Functionalities'!$Q123)</x:f>
      </x:c>
      <x:c r="Y123" s="38"/>
      <x:c r="Z123" s="38"/>
    </x:row>
    <x:row r="124" ht="18" customHeight="1">
      <x:c r="A124" s="32" t="str">
        <x:f>IF('03_Functionalities'!$A124="","",'03_Functionalities'!$C124)</x:f>
      </x:c>
      <x:c r="B124" s="32" t="str">
        <x:f>IF($A124="","",IFERROR(XLOOKUP($A124,'01_Products'!$A$5:$A$500,'01_Products'!$B$5:$B$500),""))</x:f>
      </x:c>
      <x:c r="C124" s="32" t="str">
        <x:f>IF($A124="","",IFERROR(XLOOKUP($A124,'01_Products'!$A$5:$A$500,'01_Products'!$C$5:$C$500),""))</x:f>
      </x:c>
      <x:c r="D124" s="32" t="str">
        <x:f>IF('03_Functionalities'!$A124="","",'03_Functionalities'!$B124)</x:f>
      </x:c>
      <x:c r="E124" s="32" t="str">
        <x:f>IF($D124="","",IFERROR(XLOOKUP($D124,'02_Features'!$A$5:$A$1000,'02_Features'!$C$5:$C$1000),""))</x:f>
      </x:c>
      <x:c r="F124" s="32" t="str">
        <x:f>IF($D124="","",IFERROR(XLOOKUP($D124,'02_Features'!$A$5:$A$1000,'02_Features'!$D$5:$D$1000),""))</x:f>
      </x:c>
      <x:c r="G124" s="32" t="str">
        <x:f>IF($D124="","",IFERROR(XLOOKUP($D124,'02_Features'!$A$5:$A$1000,'02_Features'!$E$5:$E$1000),""))</x:f>
      </x:c>
      <x:c r="H124" s="32" t="str">
        <x:f>IF('03_Functionalities'!$A124="","",'03_Functionalities'!$A124)</x:f>
      </x:c>
      <x:c r="I124" s="32" t="str">
        <x:f>IF($H124="","",'03_Functionalities'!$D124)</x:f>
      </x:c>
      <x:c r="J124" s="32" t="str">
        <x:f>IF($H124="","",'03_Functionalities'!$E124)</x:f>
      </x:c>
      <x:c r="K124" s="32" t="str">
        <x:f>IF($H124="","",'03_Functionalities'!$F124)</x:f>
      </x:c>
      <x:c r="L124" s="32" t="str">
        <x:f>IF($H124="","",'03_Functionalities'!$G124)</x:f>
      </x:c>
      <x:c r="M124" s="32" t="str">
        <x:f>IF($H124="","",'03_Functionalities'!$H124)</x:f>
      </x:c>
      <x:c r="N124" s="32" t="str">
        <x:f>IF($H124="","",'03_Functionalities'!$I124)</x:f>
      </x:c>
      <x:c r="O124" s="32" t="str">
        <x:f>IF($H124="","",'03_Functionalities'!$J124)</x:f>
      </x:c>
      <x:c r="P124" s="32" t="str">
        <x:f>IF($H124="","",'03_Functionalities'!$K124)</x:f>
      </x:c>
      <x:c r="Q124" s="32" t="str">
        <x:f>IF($H124="","",'03_Functionalities'!$L124)</x:f>
      </x:c>
      <x:c r="R124" s="32" t="str">
        <x:f>IF($H124="","",'03_Functionalities'!$M124)</x:f>
      </x:c>
      <x:c r="S124" s="32" t="str">
        <x:f>IF($H124="","",'03_Functionalities'!$N124)</x:f>
      </x:c>
      <x:c r="T124" s="32" t="str">
        <x:f>IF($H124="","",'03_Functionalities'!$O124)</x:f>
      </x:c>
      <x:c r="U124" s="32" t="str">
        <x:f>IF($A124="","",IFERROR(XLOOKUP($A124,'01_Products'!$A$5:$A$500,'01_Products'!$G$5:$G$500),""))</x:f>
      </x:c>
      <x:c r="V124" s="32" t="str">
        <x:f>IF($D124="","",IFERROR(XLOOKUP($D124,'02_Features'!$A$5:$A$1000,'02_Features'!$J$5:$J$1000),""))</x:f>
      </x:c>
      <x:c r="W124" s="32" t="str">
        <x:f>IF($H124="","",'03_Functionalities'!$P124)</x:f>
      </x:c>
      <x:c r="X124" s="32" t="str">
        <x:f>IF($H124="","",'03_Functionalities'!$Q124)</x:f>
      </x:c>
      <x:c r="Y124" s="38"/>
      <x:c r="Z124" s="38"/>
    </x:row>
    <x:row r="125" ht="18" customHeight="1">
      <x:c r="A125" s="32" t="str">
        <x:f>IF('03_Functionalities'!$A125="","",'03_Functionalities'!$C125)</x:f>
      </x:c>
      <x:c r="B125" s="32" t="str">
        <x:f>IF($A125="","",IFERROR(XLOOKUP($A125,'01_Products'!$A$5:$A$500,'01_Products'!$B$5:$B$500),""))</x:f>
      </x:c>
      <x:c r="C125" s="32" t="str">
        <x:f>IF($A125="","",IFERROR(XLOOKUP($A125,'01_Products'!$A$5:$A$500,'01_Products'!$C$5:$C$500),""))</x:f>
      </x:c>
      <x:c r="D125" s="32" t="str">
        <x:f>IF('03_Functionalities'!$A125="","",'03_Functionalities'!$B125)</x:f>
      </x:c>
      <x:c r="E125" s="32" t="str">
        <x:f>IF($D125="","",IFERROR(XLOOKUP($D125,'02_Features'!$A$5:$A$1000,'02_Features'!$C$5:$C$1000),""))</x:f>
      </x:c>
      <x:c r="F125" s="32" t="str">
        <x:f>IF($D125="","",IFERROR(XLOOKUP($D125,'02_Features'!$A$5:$A$1000,'02_Features'!$D$5:$D$1000),""))</x:f>
      </x:c>
      <x:c r="G125" s="32" t="str">
        <x:f>IF($D125="","",IFERROR(XLOOKUP($D125,'02_Features'!$A$5:$A$1000,'02_Features'!$E$5:$E$1000),""))</x:f>
      </x:c>
      <x:c r="H125" s="32" t="str">
        <x:f>IF('03_Functionalities'!$A125="","",'03_Functionalities'!$A125)</x:f>
      </x:c>
      <x:c r="I125" s="32" t="str">
        <x:f>IF($H125="","",'03_Functionalities'!$D125)</x:f>
      </x:c>
      <x:c r="J125" s="32" t="str">
        <x:f>IF($H125="","",'03_Functionalities'!$E125)</x:f>
      </x:c>
      <x:c r="K125" s="32" t="str">
        <x:f>IF($H125="","",'03_Functionalities'!$F125)</x:f>
      </x:c>
      <x:c r="L125" s="32" t="str">
        <x:f>IF($H125="","",'03_Functionalities'!$G125)</x:f>
      </x:c>
      <x:c r="M125" s="32" t="str">
        <x:f>IF($H125="","",'03_Functionalities'!$H125)</x:f>
      </x:c>
      <x:c r="N125" s="32" t="str">
        <x:f>IF($H125="","",'03_Functionalities'!$I125)</x:f>
      </x:c>
      <x:c r="O125" s="32" t="str">
        <x:f>IF($H125="","",'03_Functionalities'!$J125)</x:f>
      </x:c>
      <x:c r="P125" s="32" t="str">
        <x:f>IF($H125="","",'03_Functionalities'!$K125)</x:f>
      </x:c>
      <x:c r="Q125" s="32" t="str">
        <x:f>IF($H125="","",'03_Functionalities'!$L125)</x:f>
      </x:c>
      <x:c r="R125" s="32" t="str">
        <x:f>IF($H125="","",'03_Functionalities'!$M125)</x:f>
      </x:c>
      <x:c r="S125" s="32" t="str">
        <x:f>IF($H125="","",'03_Functionalities'!$N125)</x:f>
      </x:c>
      <x:c r="T125" s="32" t="str">
        <x:f>IF($H125="","",'03_Functionalities'!$O125)</x:f>
      </x:c>
      <x:c r="U125" s="32" t="str">
        <x:f>IF($A125="","",IFERROR(XLOOKUP($A125,'01_Products'!$A$5:$A$500,'01_Products'!$G$5:$G$500),""))</x:f>
      </x:c>
      <x:c r="V125" s="32" t="str">
        <x:f>IF($D125="","",IFERROR(XLOOKUP($D125,'02_Features'!$A$5:$A$1000,'02_Features'!$J$5:$J$1000),""))</x:f>
      </x:c>
      <x:c r="W125" s="32" t="str">
        <x:f>IF($H125="","",'03_Functionalities'!$P125)</x:f>
      </x:c>
      <x:c r="X125" s="32" t="str">
        <x:f>IF($H125="","",'03_Functionalities'!$Q125)</x:f>
      </x:c>
      <x:c r="Y125" s="38"/>
      <x:c r="Z125" s="38"/>
    </x:row>
    <x:row r="126" ht="18" customHeight="1">
      <x:c r="A126" s="32" t="str">
        <x:f>IF('03_Functionalities'!$A126="","",'03_Functionalities'!$C126)</x:f>
      </x:c>
      <x:c r="B126" s="32" t="str">
        <x:f>IF($A126="","",IFERROR(XLOOKUP($A126,'01_Products'!$A$5:$A$500,'01_Products'!$B$5:$B$500),""))</x:f>
      </x:c>
      <x:c r="C126" s="32" t="str">
        <x:f>IF($A126="","",IFERROR(XLOOKUP($A126,'01_Products'!$A$5:$A$500,'01_Products'!$C$5:$C$500),""))</x:f>
      </x:c>
      <x:c r="D126" s="32" t="str">
        <x:f>IF('03_Functionalities'!$A126="","",'03_Functionalities'!$B126)</x:f>
      </x:c>
      <x:c r="E126" s="32" t="str">
        <x:f>IF($D126="","",IFERROR(XLOOKUP($D126,'02_Features'!$A$5:$A$1000,'02_Features'!$C$5:$C$1000),""))</x:f>
      </x:c>
      <x:c r="F126" s="32" t="str">
        <x:f>IF($D126="","",IFERROR(XLOOKUP($D126,'02_Features'!$A$5:$A$1000,'02_Features'!$D$5:$D$1000),""))</x:f>
      </x:c>
      <x:c r="G126" s="32" t="str">
        <x:f>IF($D126="","",IFERROR(XLOOKUP($D126,'02_Features'!$A$5:$A$1000,'02_Features'!$E$5:$E$1000),""))</x:f>
      </x:c>
      <x:c r="H126" s="32" t="str">
        <x:f>IF('03_Functionalities'!$A126="","",'03_Functionalities'!$A126)</x:f>
      </x:c>
      <x:c r="I126" s="32" t="str">
        <x:f>IF($H126="","",'03_Functionalities'!$D126)</x:f>
      </x:c>
      <x:c r="J126" s="32" t="str">
        <x:f>IF($H126="","",'03_Functionalities'!$E126)</x:f>
      </x:c>
      <x:c r="K126" s="32" t="str">
        <x:f>IF($H126="","",'03_Functionalities'!$F126)</x:f>
      </x:c>
      <x:c r="L126" s="32" t="str">
        <x:f>IF($H126="","",'03_Functionalities'!$G126)</x:f>
      </x:c>
      <x:c r="M126" s="32" t="str">
        <x:f>IF($H126="","",'03_Functionalities'!$H126)</x:f>
      </x:c>
      <x:c r="N126" s="32" t="str">
        <x:f>IF($H126="","",'03_Functionalities'!$I126)</x:f>
      </x:c>
      <x:c r="O126" s="32" t="str">
        <x:f>IF($H126="","",'03_Functionalities'!$J126)</x:f>
      </x:c>
      <x:c r="P126" s="32" t="str">
        <x:f>IF($H126="","",'03_Functionalities'!$K126)</x:f>
      </x:c>
      <x:c r="Q126" s="32" t="str">
        <x:f>IF($H126="","",'03_Functionalities'!$L126)</x:f>
      </x:c>
      <x:c r="R126" s="32" t="str">
        <x:f>IF($H126="","",'03_Functionalities'!$M126)</x:f>
      </x:c>
      <x:c r="S126" s="32" t="str">
        <x:f>IF($H126="","",'03_Functionalities'!$N126)</x:f>
      </x:c>
      <x:c r="T126" s="32" t="str">
        <x:f>IF($H126="","",'03_Functionalities'!$O126)</x:f>
      </x:c>
      <x:c r="U126" s="32" t="str">
        <x:f>IF($A126="","",IFERROR(XLOOKUP($A126,'01_Products'!$A$5:$A$500,'01_Products'!$G$5:$G$500),""))</x:f>
      </x:c>
      <x:c r="V126" s="32" t="str">
        <x:f>IF($D126="","",IFERROR(XLOOKUP($D126,'02_Features'!$A$5:$A$1000,'02_Features'!$J$5:$J$1000),""))</x:f>
      </x:c>
      <x:c r="W126" s="32" t="str">
        <x:f>IF($H126="","",'03_Functionalities'!$P126)</x:f>
      </x:c>
      <x:c r="X126" s="32" t="str">
        <x:f>IF($H126="","",'03_Functionalities'!$Q126)</x:f>
      </x:c>
      <x:c r="Y126" s="38"/>
      <x:c r="Z126" s="38"/>
    </x:row>
    <x:row r="127" ht="18" customHeight="1">
      <x:c r="A127" s="32" t="str">
        <x:f>IF('03_Functionalities'!$A127="","",'03_Functionalities'!$C127)</x:f>
      </x:c>
      <x:c r="B127" s="32" t="str">
        <x:f>IF($A127="","",IFERROR(XLOOKUP($A127,'01_Products'!$A$5:$A$500,'01_Products'!$B$5:$B$500),""))</x:f>
      </x:c>
      <x:c r="C127" s="32" t="str">
        <x:f>IF($A127="","",IFERROR(XLOOKUP($A127,'01_Products'!$A$5:$A$500,'01_Products'!$C$5:$C$500),""))</x:f>
      </x:c>
      <x:c r="D127" s="32" t="str">
        <x:f>IF('03_Functionalities'!$A127="","",'03_Functionalities'!$B127)</x:f>
      </x:c>
      <x:c r="E127" s="32" t="str">
        <x:f>IF($D127="","",IFERROR(XLOOKUP($D127,'02_Features'!$A$5:$A$1000,'02_Features'!$C$5:$C$1000),""))</x:f>
      </x:c>
      <x:c r="F127" s="32" t="str">
        <x:f>IF($D127="","",IFERROR(XLOOKUP($D127,'02_Features'!$A$5:$A$1000,'02_Features'!$D$5:$D$1000),""))</x:f>
      </x:c>
      <x:c r="G127" s="32" t="str">
        <x:f>IF($D127="","",IFERROR(XLOOKUP($D127,'02_Features'!$A$5:$A$1000,'02_Features'!$E$5:$E$1000),""))</x:f>
      </x:c>
      <x:c r="H127" s="32" t="str">
        <x:f>IF('03_Functionalities'!$A127="","",'03_Functionalities'!$A127)</x:f>
      </x:c>
      <x:c r="I127" s="32" t="str">
        <x:f>IF($H127="","",'03_Functionalities'!$D127)</x:f>
      </x:c>
      <x:c r="J127" s="32" t="str">
        <x:f>IF($H127="","",'03_Functionalities'!$E127)</x:f>
      </x:c>
      <x:c r="K127" s="32" t="str">
        <x:f>IF($H127="","",'03_Functionalities'!$F127)</x:f>
      </x:c>
      <x:c r="L127" s="32" t="str">
        <x:f>IF($H127="","",'03_Functionalities'!$G127)</x:f>
      </x:c>
      <x:c r="M127" s="32" t="str">
        <x:f>IF($H127="","",'03_Functionalities'!$H127)</x:f>
      </x:c>
      <x:c r="N127" s="32" t="str">
        <x:f>IF($H127="","",'03_Functionalities'!$I127)</x:f>
      </x:c>
      <x:c r="O127" s="32" t="str">
        <x:f>IF($H127="","",'03_Functionalities'!$J127)</x:f>
      </x:c>
      <x:c r="P127" s="32" t="str">
        <x:f>IF($H127="","",'03_Functionalities'!$K127)</x:f>
      </x:c>
      <x:c r="Q127" s="32" t="str">
        <x:f>IF($H127="","",'03_Functionalities'!$L127)</x:f>
      </x:c>
      <x:c r="R127" s="32" t="str">
        <x:f>IF($H127="","",'03_Functionalities'!$M127)</x:f>
      </x:c>
      <x:c r="S127" s="32" t="str">
        <x:f>IF($H127="","",'03_Functionalities'!$N127)</x:f>
      </x:c>
      <x:c r="T127" s="32" t="str">
        <x:f>IF($H127="","",'03_Functionalities'!$O127)</x:f>
      </x:c>
      <x:c r="U127" s="32" t="str">
        <x:f>IF($A127="","",IFERROR(XLOOKUP($A127,'01_Products'!$A$5:$A$500,'01_Products'!$G$5:$G$500),""))</x:f>
      </x:c>
      <x:c r="V127" s="32" t="str">
        <x:f>IF($D127="","",IFERROR(XLOOKUP($D127,'02_Features'!$A$5:$A$1000,'02_Features'!$J$5:$J$1000),""))</x:f>
      </x:c>
      <x:c r="W127" s="32" t="str">
        <x:f>IF($H127="","",'03_Functionalities'!$P127)</x:f>
      </x:c>
      <x:c r="X127" s="32" t="str">
        <x:f>IF($H127="","",'03_Functionalities'!$Q127)</x:f>
      </x:c>
      <x:c r="Y127" s="38"/>
      <x:c r="Z127" s="38"/>
    </x:row>
    <x:row r="128" ht="18" customHeight="1">
      <x:c r="A128" s="32" t="str">
        <x:f>IF('03_Functionalities'!$A128="","",'03_Functionalities'!$C128)</x:f>
      </x:c>
      <x:c r="B128" s="32" t="str">
        <x:f>IF($A128="","",IFERROR(XLOOKUP($A128,'01_Products'!$A$5:$A$500,'01_Products'!$B$5:$B$500),""))</x:f>
      </x:c>
      <x:c r="C128" s="32" t="str">
        <x:f>IF($A128="","",IFERROR(XLOOKUP($A128,'01_Products'!$A$5:$A$500,'01_Products'!$C$5:$C$500),""))</x:f>
      </x:c>
      <x:c r="D128" s="32" t="str">
        <x:f>IF('03_Functionalities'!$A128="","",'03_Functionalities'!$B128)</x:f>
      </x:c>
      <x:c r="E128" s="32" t="str">
        <x:f>IF($D128="","",IFERROR(XLOOKUP($D128,'02_Features'!$A$5:$A$1000,'02_Features'!$C$5:$C$1000),""))</x:f>
      </x:c>
      <x:c r="F128" s="32" t="str">
        <x:f>IF($D128="","",IFERROR(XLOOKUP($D128,'02_Features'!$A$5:$A$1000,'02_Features'!$D$5:$D$1000),""))</x:f>
      </x:c>
      <x:c r="G128" s="32" t="str">
        <x:f>IF($D128="","",IFERROR(XLOOKUP($D128,'02_Features'!$A$5:$A$1000,'02_Features'!$E$5:$E$1000),""))</x:f>
      </x:c>
      <x:c r="H128" s="32" t="str">
        <x:f>IF('03_Functionalities'!$A128="","",'03_Functionalities'!$A128)</x:f>
      </x:c>
      <x:c r="I128" s="32" t="str">
        <x:f>IF($H128="","",'03_Functionalities'!$D128)</x:f>
      </x:c>
      <x:c r="J128" s="32" t="str">
        <x:f>IF($H128="","",'03_Functionalities'!$E128)</x:f>
      </x:c>
      <x:c r="K128" s="32" t="str">
        <x:f>IF($H128="","",'03_Functionalities'!$F128)</x:f>
      </x:c>
      <x:c r="L128" s="32" t="str">
        <x:f>IF($H128="","",'03_Functionalities'!$G128)</x:f>
      </x:c>
      <x:c r="M128" s="32" t="str">
        <x:f>IF($H128="","",'03_Functionalities'!$H128)</x:f>
      </x:c>
      <x:c r="N128" s="32" t="str">
        <x:f>IF($H128="","",'03_Functionalities'!$I128)</x:f>
      </x:c>
      <x:c r="O128" s="32" t="str">
        <x:f>IF($H128="","",'03_Functionalities'!$J128)</x:f>
      </x:c>
      <x:c r="P128" s="32" t="str">
        <x:f>IF($H128="","",'03_Functionalities'!$K128)</x:f>
      </x:c>
      <x:c r="Q128" s="32" t="str">
        <x:f>IF($H128="","",'03_Functionalities'!$L128)</x:f>
      </x:c>
      <x:c r="R128" s="32" t="str">
        <x:f>IF($H128="","",'03_Functionalities'!$M128)</x:f>
      </x:c>
      <x:c r="S128" s="32" t="str">
        <x:f>IF($H128="","",'03_Functionalities'!$N128)</x:f>
      </x:c>
      <x:c r="T128" s="32" t="str">
        <x:f>IF($H128="","",'03_Functionalities'!$O128)</x:f>
      </x:c>
      <x:c r="U128" s="32" t="str">
        <x:f>IF($A128="","",IFERROR(XLOOKUP($A128,'01_Products'!$A$5:$A$500,'01_Products'!$G$5:$G$500),""))</x:f>
      </x:c>
      <x:c r="V128" s="32" t="str">
        <x:f>IF($D128="","",IFERROR(XLOOKUP($D128,'02_Features'!$A$5:$A$1000,'02_Features'!$J$5:$J$1000),""))</x:f>
      </x:c>
      <x:c r="W128" s="32" t="str">
        <x:f>IF($H128="","",'03_Functionalities'!$P128)</x:f>
      </x:c>
      <x:c r="X128" s="32" t="str">
        <x:f>IF($H128="","",'03_Functionalities'!$Q128)</x:f>
      </x:c>
      <x:c r="Y128" s="38"/>
      <x:c r="Z128" s="38"/>
    </x:row>
    <x:row r="129" ht="18" customHeight="1">
      <x:c r="A129" s="32" t="str">
        <x:f>IF('03_Functionalities'!$A129="","",'03_Functionalities'!$C129)</x:f>
      </x:c>
      <x:c r="B129" s="32" t="str">
        <x:f>IF($A129="","",IFERROR(XLOOKUP($A129,'01_Products'!$A$5:$A$500,'01_Products'!$B$5:$B$500),""))</x:f>
      </x:c>
      <x:c r="C129" s="32" t="str">
        <x:f>IF($A129="","",IFERROR(XLOOKUP($A129,'01_Products'!$A$5:$A$500,'01_Products'!$C$5:$C$500),""))</x:f>
      </x:c>
      <x:c r="D129" s="32" t="str">
        <x:f>IF('03_Functionalities'!$A129="","",'03_Functionalities'!$B129)</x:f>
      </x:c>
      <x:c r="E129" s="32" t="str">
        <x:f>IF($D129="","",IFERROR(XLOOKUP($D129,'02_Features'!$A$5:$A$1000,'02_Features'!$C$5:$C$1000),""))</x:f>
      </x:c>
      <x:c r="F129" s="32" t="str">
        <x:f>IF($D129="","",IFERROR(XLOOKUP($D129,'02_Features'!$A$5:$A$1000,'02_Features'!$D$5:$D$1000),""))</x:f>
      </x:c>
      <x:c r="G129" s="32" t="str">
        <x:f>IF($D129="","",IFERROR(XLOOKUP($D129,'02_Features'!$A$5:$A$1000,'02_Features'!$E$5:$E$1000),""))</x:f>
      </x:c>
      <x:c r="H129" s="32" t="str">
        <x:f>IF('03_Functionalities'!$A129="","",'03_Functionalities'!$A129)</x:f>
      </x:c>
      <x:c r="I129" s="32" t="str">
        <x:f>IF($H129="","",'03_Functionalities'!$D129)</x:f>
      </x:c>
      <x:c r="J129" s="32" t="str">
        <x:f>IF($H129="","",'03_Functionalities'!$E129)</x:f>
      </x:c>
      <x:c r="K129" s="32" t="str">
        <x:f>IF($H129="","",'03_Functionalities'!$F129)</x:f>
      </x:c>
      <x:c r="L129" s="32" t="str">
        <x:f>IF($H129="","",'03_Functionalities'!$G129)</x:f>
      </x:c>
      <x:c r="M129" s="32" t="str">
        <x:f>IF($H129="","",'03_Functionalities'!$H129)</x:f>
      </x:c>
      <x:c r="N129" s="32" t="str">
        <x:f>IF($H129="","",'03_Functionalities'!$I129)</x:f>
      </x:c>
      <x:c r="O129" s="32" t="str">
        <x:f>IF($H129="","",'03_Functionalities'!$J129)</x:f>
      </x:c>
      <x:c r="P129" s="32" t="str">
        <x:f>IF($H129="","",'03_Functionalities'!$K129)</x:f>
      </x:c>
      <x:c r="Q129" s="32" t="str">
        <x:f>IF($H129="","",'03_Functionalities'!$L129)</x:f>
      </x:c>
      <x:c r="R129" s="32" t="str">
        <x:f>IF($H129="","",'03_Functionalities'!$M129)</x:f>
      </x:c>
      <x:c r="S129" s="32" t="str">
        <x:f>IF($H129="","",'03_Functionalities'!$N129)</x:f>
      </x:c>
      <x:c r="T129" s="32" t="str">
        <x:f>IF($H129="","",'03_Functionalities'!$O129)</x:f>
      </x:c>
      <x:c r="U129" s="32" t="str">
        <x:f>IF($A129="","",IFERROR(XLOOKUP($A129,'01_Products'!$A$5:$A$500,'01_Products'!$G$5:$G$500),""))</x:f>
      </x:c>
      <x:c r="V129" s="32" t="str">
        <x:f>IF($D129="","",IFERROR(XLOOKUP($D129,'02_Features'!$A$5:$A$1000,'02_Features'!$J$5:$J$1000),""))</x:f>
      </x:c>
      <x:c r="W129" s="32" t="str">
        <x:f>IF($H129="","",'03_Functionalities'!$P129)</x:f>
      </x:c>
      <x:c r="X129" s="32" t="str">
        <x:f>IF($H129="","",'03_Functionalities'!$Q129)</x:f>
      </x:c>
      <x:c r="Y129" s="38"/>
      <x:c r="Z129" s="38"/>
    </x:row>
    <x:row r="130" ht="18" customHeight="1">
      <x:c r="A130" s="32" t="str">
        <x:f>IF('03_Functionalities'!$A130="","",'03_Functionalities'!$C130)</x:f>
      </x:c>
      <x:c r="B130" s="32" t="str">
        <x:f>IF($A130="","",IFERROR(XLOOKUP($A130,'01_Products'!$A$5:$A$500,'01_Products'!$B$5:$B$500),""))</x:f>
      </x:c>
      <x:c r="C130" s="32" t="str">
        <x:f>IF($A130="","",IFERROR(XLOOKUP($A130,'01_Products'!$A$5:$A$500,'01_Products'!$C$5:$C$500),""))</x:f>
      </x:c>
      <x:c r="D130" s="32" t="str">
        <x:f>IF('03_Functionalities'!$A130="","",'03_Functionalities'!$B130)</x:f>
      </x:c>
      <x:c r="E130" s="32" t="str">
        <x:f>IF($D130="","",IFERROR(XLOOKUP($D130,'02_Features'!$A$5:$A$1000,'02_Features'!$C$5:$C$1000),""))</x:f>
      </x:c>
      <x:c r="F130" s="32" t="str">
        <x:f>IF($D130="","",IFERROR(XLOOKUP($D130,'02_Features'!$A$5:$A$1000,'02_Features'!$D$5:$D$1000),""))</x:f>
      </x:c>
      <x:c r="G130" s="32" t="str">
        <x:f>IF($D130="","",IFERROR(XLOOKUP($D130,'02_Features'!$A$5:$A$1000,'02_Features'!$E$5:$E$1000),""))</x:f>
      </x:c>
      <x:c r="H130" s="32" t="str">
        <x:f>IF('03_Functionalities'!$A130="","",'03_Functionalities'!$A130)</x:f>
      </x:c>
      <x:c r="I130" s="32" t="str">
        <x:f>IF($H130="","",'03_Functionalities'!$D130)</x:f>
      </x:c>
      <x:c r="J130" s="32" t="str">
        <x:f>IF($H130="","",'03_Functionalities'!$E130)</x:f>
      </x:c>
      <x:c r="K130" s="32" t="str">
        <x:f>IF($H130="","",'03_Functionalities'!$F130)</x:f>
      </x:c>
      <x:c r="L130" s="32" t="str">
        <x:f>IF($H130="","",'03_Functionalities'!$G130)</x:f>
      </x:c>
      <x:c r="M130" s="32" t="str">
        <x:f>IF($H130="","",'03_Functionalities'!$H130)</x:f>
      </x:c>
      <x:c r="N130" s="32" t="str">
        <x:f>IF($H130="","",'03_Functionalities'!$I130)</x:f>
      </x:c>
      <x:c r="O130" s="32" t="str">
        <x:f>IF($H130="","",'03_Functionalities'!$J130)</x:f>
      </x:c>
      <x:c r="P130" s="32" t="str">
        <x:f>IF($H130="","",'03_Functionalities'!$K130)</x:f>
      </x:c>
      <x:c r="Q130" s="32" t="str">
        <x:f>IF($H130="","",'03_Functionalities'!$L130)</x:f>
      </x:c>
      <x:c r="R130" s="32" t="str">
        <x:f>IF($H130="","",'03_Functionalities'!$M130)</x:f>
      </x:c>
      <x:c r="S130" s="32" t="str">
        <x:f>IF($H130="","",'03_Functionalities'!$N130)</x:f>
      </x:c>
      <x:c r="T130" s="32" t="str">
        <x:f>IF($H130="","",'03_Functionalities'!$O130)</x:f>
      </x:c>
      <x:c r="U130" s="32" t="str">
        <x:f>IF($A130="","",IFERROR(XLOOKUP($A130,'01_Products'!$A$5:$A$500,'01_Products'!$G$5:$G$500),""))</x:f>
      </x:c>
      <x:c r="V130" s="32" t="str">
        <x:f>IF($D130="","",IFERROR(XLOOKUP($D130,'02_Features'!$A$5:$A$1000,'02_Features'!$J$5:$J$1000),""))</x:f>
      </x:c>
      <x:c r="W130" s="32" t="str">
        <x:f>IF($H130="","",'03_Functionalities'!$P130)</x:f>
      </x:c>
      <x:c r="X130" s="32" t="str">
        <x:f>IF($H130="","",'03_Functionalities'!$Q130)</x:f>
      </x:c>
      <x:c r="Y130" s="38"/>
      <x:c r="Z130" s="38"/>
    </x:row>
    <x:row r="131" ht="18" customHeight="1">
      <x:c r="A131" s="32" t="str">
        <x:f>IF('03_Functionalities'!$A131="","",'03_Functionalities'!$C131)</x:f>
      </x:c>
      <x:c r="B131" s="32" t="str">
        <x:f>IF($A131="","",IFERROR(XLOOKUP($A131,'01_Products'!$A$5:$A$500,'01_Products'!$B$5:$B$500),""))</x:f>
      </x:c>
      <x:c r="C131" s="32" t="str">
        <x:f>IF($A131="","",IFERROR(XLOOKUP($A131,'01_Products'!$A$5:$A$500,'01_Products'!$C$5:$C$500),""))</x:f>
      </x:c>
      <x:c r="D131" s="32" t="str">
        <x:f>IF('03_Functionalities'!$A131="","",'03_Functionalities'!$B131)</x:f>
      </x:c>
      <x:c r="E131" s="32" t="str">
        <x:f>IF($D131="","",IFERROR(XLOOKUP($D131,'02_Features'!$A$5:$A$1000,'02_Features'!$C$5:$C$1000),""))</x:f>
      </x:c>
      <x:c r="F131" s="32" t="str">
        <x:f>IF($D131="","",IFERROR(XLOOKUP($D131,'02_Features'!$A$5:$A$1000,'02_Features'!$D$5:$D$1000),""))</x:f>
      </x:c>
      <x:c r="G131" s="32" t="str">
        <x:f>IF($D131="","",IFERROR(XLOOKUP($D131,'02_Features'!$A$5:$A$1000,'02_Features'!$E$5:$E$1000),""))</x:f>
      </x:c>
      <x:c r="H131" s="32" t="str">
        <x:f>IF('03_Functionalities'!$A131="","",'03_Functionalities'!$A131)</x:f>
      </x:c>
      <x:c r="I131" s="32" t="str">
        <x:f>IF($H131="","",'03_Functionalities'!$D131)</x:f>
      </x:c>
      <x:c r="J131" s="32" t="str">
        <x:f>IF($H131="","",'03_Functionalities'!$E131)</x:f>
      </x:c>
      <x:c r="K131" s="32" t="str">
        <x:f>IF($H131="","",'03_Functionalities'!$F131)</x:f>
      </x:c>
      <x:c r="L131" s="32" t="str">
        <x:f>IF($H131="","",'03_Functionalities'!$G131)</x:f>
      </x:c>
      <x:c r="M131" s="32" t="str">
        <x:f>IF($H131="","",'03_Functionalities'!$H131)</x:f>
      </x:c>
      <x:c r="N131" s="32" t="str">
        <x:f>IF($H131="","",'03_Functionalities'!$I131)</x:f>
      </x:c>
      <x:c r="O131" s="32" t="str">
        <x:f>IF($H131="","",'03_Functionalities'!$J131)</x:f>
      </x:c>
      <x:c r="P131" s="32" t="str">
        <x:f>IF($H131="","",'03_Functionalities'!$K131)</x:f>
      </x:c>
      <x:c r="Q131" s="32" t="str">
        <x:f>IF($H131="","",'03_Functionalities'!$L131)</x:f>
      </x:c>
      <x:c r="R131" s="32" t="str">
        <x:f>IF($H131="","",'03_Functionalities'!$M131)</x:f>
      </x:c>
      <x:c r="S131" s="32" t="str">
        <x:f>IF($H131="","",'03_Functionalities'!$N131)</x:f>
      </x:c>
      <x:c r="T131" s="32" t="str">
        <x:f>IF($H131="","",'03_Functionalities'!$O131)</x:f>
      </x:c>
      <x:c r="U131" s="32" t="str">
        <x:f>IF($A131="","",IFERROR(XLOOKUP($A131,'01_Products'!$A$5:$A$500,'01_Products'!$G$5:$G$500),""))</x:f>
      </x:c>
      <x:c r="V131" s="32" t="str">
        <x:f>IF($D131="","",IFERROR(XLOOKUP($D131,'02_Features'!$A$5:$A$1000,'02_Features'!$J$5:$J$1000),""))</x:f>
      </x:c>
      <x:c r="W131" s="32" t="str">
        <x:f>IF($H131="","",'03_Functionalities'!$P131)</x:f>
      </x:c>
      <x:c r="X131" s="32" t="str">
        <x:f>IF($H131="","",'03_Functionalities'!$Q131)</x:f>
      </x:c>
      <x:c r="Y131" s="38"/>
      <x:c r="Z131" s="38"/>
    </x:row>
    <x:row r="132" ht="18" customHeight="1">
      <x:c r="A132" s="32" t="str">
        <x:f>IF('03_Functionalities'!$A132="","",'03_Functionalities'!$C132)</x:f>
      </x:c>
      <x:c r="B132" s="32" t="str">
        <x:f>IF($A132="","",IFERROR(XLOOKUP($A132,'01_Products'!$A$5:$A$500,'01_Products'!$B$5:$B$500),""))</x:f>
      </x:c>
      <x:c r="C132" s="32" t="str">
        <x:f>IF($A132="","",IFERROR(XLOOKUP($A132,'01_Products'!$A$5:$A$500,'01_Products'!$C$5:$C$500),""))</x:f>
      </x:c>
      <x:c r="D132" s="32" t="str">
        <x:f>IF('03_Functionalities'!$A132="","",'03_Functionalities'!$B132)</x:f>
      </x:c>
      <x:c r="E132" s="32" t="str">
        <x:f>IF($D132="","",IFERROR(XLOOKUP($D132,'02_Features'!$A$5:$A$1000,'02_Features'!$C$5:$C$1000),""))</x:f>
      </x:c>
      <x:c r="F132" s="32" t="str">
        <x:f>IF($D132="","",IFERROR(XLOOKUP($D132,'02_Features'!$A$5:$A$1000,'02_Features'!$D$5:$D$1000),""))</x:f>
      </x:c>
      <x:c r="G132" s="32" t="str">
        <x:f>IF($D132="","",IFERROR(XLOOKUP($D132,'02_Features'!$A$5:$A$1000,'02_Features'!$E$5:$E$1000),""))</x:f>
      </x:c>
      <x:c r="H132" s="32" t="str">
        <x:f>IF('03_Functionalities'!$A132="","",'03_Functionalities'!$A132)</x:f>
      </x:c>
      <x:c r="I132" s="32" t="str">
        <x:f>IF($H132="","",'03_Functionalities'!$D132)</x:f>
      </x:c>
      <x:c r="J132" s="32" t="str">
        <x:f>IF($H132="","",'03_Functionalities'!$E132)</x:f>
      </x:c>
      <x:c r="K132" s="32" t="str">
        <x:f>IF($H132="","",'03_Functionalities'!$F132)</x:f>
      </x:c>
      <x:c r="L132" s="32" t="str">
        <x:f>IF($H132="","",'03_Functionalities'!$G132)</x:f>
      </x:c>
      <x:c r="M132" s="32" t="str">
        <x:f>IF($H132="","",'03_Functionalities'!$H132)</x:f>
      </x:c>
      <x:c r="N132" s="32" t="str">
        <x:f>IF($H132="","",'03_Functionalities'!$I132)</x:f>
      </x:c>
      <x:c r="O132" s="32" t="str">
        <x:f>IF($H132="","",'03_Functionalities'!$J132)</x:f>
      </x:c>
      <x:c r="P132" s="32" t="str">
        <x:f>IF($H132="","",'03_Functionalities'!$K132)</x:f>
      </x:c>
      <x:c r="Q132" s="32" t="str">
        <x:f>IF($H132="","",'03_Functionalities'!$L132)</x:f>
      </x:c>
      <x:c r="R132" s="32" t="str">
        <x:f>IF($H132="","",'03_Functionalities'!$M132)</x:f>
      </x:c>
      <x:c r="S132" s="32" t="str">
        <x:f>IF($H132="","",'03_Functionalities'!$N132)</x:f>
      </x:c>
      <x:c r="T132" s="32" t="str">
        <x:f>IF($H132="","",'03_Functionalities'!$O132)</x:f>
      </x:c>
      <x:c r="U132" s="32" t="str">
        <x:f>IF($A132="","",IFERROR(XLOOKUP($A132,'01_Products'!$A$5:$A$500,'01_Products'!$G$5:$G$500),""))</x:f>
      </x:c>
      <x:c r="V132" s="32" t="str">
        <x:f>IF($D132="","",IFERROR(XLOOKUP($D132,'02_Features'!$A$5:$A$1000,'02_Features'!$J$5:$J$1000),""))</x:f>
      </x:c>
      <x:c r="W132" s="32" t="str">
        <x:f>IF($H132="","",'03_Functionalities'!$P132)</x:f>
      </x:c>
      <x:c r="X132" s="32" t="str">
        <x:f>IF($H132="","",'03_Functionalities'!$Q132)</x:f>
      </x:c>
      <x:c r="Y132" s="38"/>
      <x:c r="Z132" s="38"/>
    </x:row>
    <x:row r="133" ht="18" customHeight="1">
      <x:c r="A133" s="32" t="str">
        <x:f>IF('03_Functionalities'!$A133="","",'03_Functionalities'!$C133)</x:f>
      </x:c>
      <x:c r="B133" s="32" t="str">
        <x:f>IF($A133="","",IFERROR(XLOOKUP($A133,'01_Products'!$A$5:$A$500,'01_Products'!$B$5:$B$500),""))</x:f>
      </x:c>
      <x:c r="C133" s="32" t="str">
        <x:f>IF($A133="","",IFERROR(XLOOKUP($A133,'01_Products'!$A$5:$A$500,'01_Products'!$C$5:$C$500),""))</x:f>
      </x:c>
      <x:c r="D133" s="32" t="str">
        <x:f>IF('03_Functionalities'!$A133="","",'03_Functionalities'!$B133)</x:f>
      </x:c>
      <x:c r="E133" s="32" t="str">
        <x:f>IF($D133="","",IFERROR(XLOOKUP($D133,'02_Features'!$A$5:$A$1000,'02_Features'!$C$5:$C$1000),""))</x:f>
      </x:c>
      <x:c r="F133" s="32" t="str">
        <x:f>IF($D133="","",IFERROR(XLOOKUP($D133,'02_Features'!$A$5:$A$1000,'02_Features'!$D$5:$D$1000),""))</x:f>
      </x:c>
      <x:c r="G133" s="32" t="str">
        <x:f>IF($D133="","",IFERROR(XLOOKUP($D133,'02_Features'!$A$5:$A$1000,'02_Features'!$E$5:$E$1000),""))</x:f>
      </x:c>
      <x:c r="H133" s="32" t="str">
        <x:f>IF('03_Functionalities'!$A133="","",'03_Functionalities'!$A133)</x:f>
      </x:c>
      <x:c r="I133" s="32" t="str">
        <x:f>IF($H133="","",'03_Functionalities'!$D133)</x:f>
      </x:c>
      <x:c r="J133" s="32" t="str">
        <x:f>IF($H133="","",'03_Functionalities'!$E133)</x:f>
      </x:c>
      <x:c r="K133" s="32" t="str">
        <x:f>IF($H133="","",'03_Functionalities'!$F133)</x:f>
      </x:c>
      <x:c r="L133" s="32" t="str">
        <x:f>IF($H133="","",'03_Functionalities'!$G133)</x:f>
      </x:c>
      <x:c r="M133" s="32" t="str">
        <x:f>IF($H133="","",'03_Functionalities'!$H133)</x:f>
      </x:c>
      <x:c r="N133" s="32" t="str">
        <x:f>IF($H133="","",'03_Functionalities'!$I133)</x:f>
      </x:c>
      <x:c r="O133" s="32" t="str">
        <x:f>IF($H133="","",'03_Functionalities'!$J133)</x:f>
      </x:c>
      <x:c r="P133" s="32" t="str">
        <x:f>IF($H133="","",'03_Functionalities'!$K133)</x:f>
      </x:c>
      <x:c r="Q133" s="32" t="str">
        <x:f>IF($H133="","",'03_Functionalities'!$L133)</x:f>
      </x:c>
      <x:c r="R133" s="32" t="str">
        <x:f>IF($H133="","",'03_Functionalities'!$M133)</x:f>
      </x:c>
      <x:c r="S133" s="32" t="str">
        <x:f>IF($H133="","",'03_Functionalities'!$N133)</x:f>
      </x:c>
      <x:c r="T133" s="32" t="str">
        <x:f>IF($H133="","",'03_Functionalities'!$O133)</x:f>
      </x:c>
      <x:c r="U133" s="32" t="str">
        <x:f>IF($A133="","",IFERROR(XLOOKUP($A133,'01_Products'!$A$5:$A$500,'01_Products'!$G$5:$G$500),""))</x:f>
      </x:c>
      <x:c r="V133" s="32" t="str">
        <x:f>IF($D133="","",IFERROR(XLOOKUP($D133,'02_Features'!$A$5:$A$1000,'02_Features'!$J$5:$J$1000),""))</x:f>
      </x:c>
      <x:c r="W133" s="32" t="str">
        <x:f>IF($H133="","",'03_Functionalities'!$P133)</x:f>
      </x:c>
      <x:c r="X133" s="32" t="str">
        <x:f>IF($H133="","",'03_Functionalities'!$Q133)</x:f>
      </x:c>
      <x:c r="Y133" s="38"/>
      <x:c r="Z133" s="38"/>
    </x:row>
    <x:row r="134" ht="18" customHeight="1">
      <x:c r="A134" s="32" t="str">
        <x:f>IF('03_Functionalities'!$A134="","",'03_Functionalities'!$C134)</x:f>
      </x:c>
      <x:c r="B134" s="32" t="str">
        <x:f>IF($A134="","",IFERROR(XLOOKUP($A134,'01_Products'!$A$5:$A$500,'01_Products'!$B$5:$B$500),""))</x:f>
      </x:c>
      <x:c r="C134" s="32" t="str">
        <x:f>IF($A134="","",IFERROR(XLOOKUP($A134,'01_Products'!$A$5:$A$500,'01_Products'!$C$5:$C$500),""))</x:f>
      </x:c>
      <x:c r="D134" s="32" t="str">
        <x:f>IF('03_Functionalities'!$A134="","",'03_Functionalities'!$B134)</x:f>
      </x:c>
      <x:c r="E134" s="32" t="str">
        <x:f>IF($D134="","",IFERROR(XLOOKUP($D134,'02_Features'!$A$5:$A$1000,'02_Features'!$C$5:$C$1000),""))</x:f>
      </x:c>
      <x:c r="F134" s="32" t="str">
        <x:f>IF($D134="","",IFERROR(XLOOKUP($D134,'02_Features'!$A$5:$A$1000,'02_Features'!$D$5:$D$1000),""))</x:f>
      </x:c>
      <x:c r="G134" s="32" t="str">
        <x:f>IF($D134="","",IFERROR(XLOOKUP($D134,'02_Features'!$A$5:$A$1000,'02_Features'!$E$5:$E$1000),""))</x:f>
      </x:c>
      <x:c r="H134" s="32" t="str">
        <x:f>IF('03_Functionalities'!$A134="","",'03_Functionalities'!$A134)</x:f>
      </x:c>
      <x:c r="I134" s="32" t="str">
        <x:f>IF($H134="","",'03_Functionalities'!$D134)</x:f>
      </x:c>
      <x:c r="J134" s="32" t="str">
        <x:f>IF($H134="","",'03_Functionalities'!$E134)</x:f>
      </x:c>
      <x:c r="K134" s="32" t="str">
        <x:f>IF($H134="","",'03_Functionalities'!$F134)</x:f>
      </x:c>
      <x:c r="L134" s="32" t="str">
        <x:f>IF($H134="","",'03_Functionalities'!$G134)</x:f>
      </x:c>
      <x:c r="M134" s="32" t="str">
        <x:f>IF($H134="","",'03_Functionalities'!$H134)</x:f>
      </x:c>
      <x:c r="N134" s="32" t="str">
        <x:f>IF($H134="","",'03_Functionalities'!$I134)</x:f>
      </x:c>
      <x:c r="O134" s="32" t="str">
        <x:f>IF($H134="","",'03_Functionalities'!$J134)</x:f>
      </x:c>
      <x:c r="P134" s="32" t="str">
        <x:f>IF($H134="","",'03_Functionalities'!$K134)</x:f>
      </x:c>
      <x:c r="Q134" s="32" t="str">
        <x:f>IF($H134="","",'03_Functionalities'!$L134)</x:f>
      </x:c>
      <x:c r="R134" s="32" t="str">
        <x:f>IF($H134="","",'03_Functionalities'!$M134)</x:f>
      </x:c>
      <x:c r="S134" s="32" t="str">
        <x:f>IF($H134="","",'03_Functionalities'!$N134)</x:f>
      </x:c>
      <x:c r="T134" s="32" t="str">
        <x:f>IF($H134="","",'03_Functionalities'!$O134)</x:f>
      </x:c>
      <x:c r="U134" s="32" t="str">
        <x:f>IF($A134="","",IFERROR(XLOOKUP($A134,'01_Products'!$A$5:$A$500,'01_Products'!$G$5:$G$500),""))</x:f>
      </x:c>
      <x:c r="V134" s="32" t="str">
        <x:f>IF($D134="","",IFERROR(XLOOKUP($D134,'02_Features'!$A$5:$A$1000,'02_Features'!$J$5:$J$1000),""))</x:f>
      </x:c>
      <x:c r="W134" s="32" t="str">
        <x:f>IF($H134="","",'03_Functionalities'!$P134)</x:f>
      </x:c>
      <x:c r="X134" s="32" t="str">
        <x:f>IF($H134="","",'03_Functionalities'!$Q134)</x:f>
      </x:c>
      <x:c r="Y134" s="38"/>
      <x:c r="Z134" s="38"/>
    </x:row>
    <x:row r="135" ht="18" customHeight="1">
      <x:c r="A135" s="32" t="str">
        <x:f>IF('03_Functionalities'!$A135="","",'03_Functionalities'!$C135)</x:f>
      </x:c>
      <x:c r="B135" s="32" t="str">
        <x:f>IF($A135="","",IFERROR(XLOOKUP($A135,'01_Products'!$A$5:$A$500,'01_Products'!$B$5:$B$500),""))</x:f>
      </x:c>
      <x:c r="C135" s="32" t="str">
        <x:f>IF($A135="","",IFERROR(XLOOKUP($A135,'01_Products'!$A$5:$A$500,'01_Products'!$C$5:$C$500),""))</x:f>
      </x:c>
      <x:c r="D135" s="32" t="str">
        <x:f>IF('03_Functionalities'!$A135="","",'03_Functionalities'!$B135)</x:f>
      </x:c>
      <x:c r="E135" s="32" t="str">
        <x:f>IF($D135="","",IFERROR(XLOOKUP($D135,'02_Features'!$A$5:$A$1000,'02_Features'!$C$5:$C$1000),""))</x:f>
      </x:c>
      <x:c r="F135" s="32" t="str">
        <x:f>IF($D135="","",IFERROR(XLOOKUP($D135,'02_Features'!$A$5:$A$1000,'02_Features'!$D$5:$D$1000),""))</x:f>
      </x:c>
      <x:c r="G135" s="32" t="str">
        <x:f>IF($D135="","",IFERROR(XLOOKUP($D135,'02_Features'!$A$5:$A$1000,'02_Features'!$E$5:$E$1000),""))</x:f>
      </x:c>
      <x:c r="H135" s="32" t="str">
        <x:f>IF('03_Functionalities'!$A135="","",'03_Functionalities'!$A135)</x:f>
      </x:c>
      <x:c r="I135" s="32" t="str">
        <x:f>IF($H135="","",'03_Functionalities'!$D135)</x:f>
      </x:c>
      <x:c r="J135" s="32" t="str">
        <x:f>IF($H135="","",'03_Functionalities'!$E135)</x:f>
      </x:c>
      <x:c r="K135" s="32" t="str">
        <x:f>IF($H135="","",'03_Functionalities'!$F135)</x:f>
      </x:c>
      <x:c r="L135" s="32" t="str">
        <x:f>IF($H135="","",'03_Functionalities'!$G135)</x:f>
      </x:c>
      <x:c r="M135" s="32" t="str">
        <x:f>IF($H135="","",'03_Functionalities'!$H135)</x:f>
      </x:c>
      <x:c r="N135" s="32" t="str">
        <x:f>IF($H135="","",'03_Functionalities'!$I135)</x:f>
      </x:c>
      <x:c r="O135" s="32" t="str">
        <x:f>IF($H135="","",'03_Functionalities'!$J135)</x:f>
      </x:c>
      <x:c r="P135" s="32" t="str">
        <x:f>IF($H135="","",'03_Functionalities'!$K135)</x:f>
      </x:c>
      <x:c r="Q135" s="32" t="str">
        <x:f>IF($H135="","",'03_Functionalities'!$L135)</x:f>
      </x:c>
      <x:c r="R135" s="32" t="str">
        <x:f>IF($H135="","",'03_Functionalities'!$M135)</x:f>
      </x:c>
      <x:c r="S135" s="32" t="str">
        <x:f>IF($H135="","",'03_Functionalities'!$N135)</x:f>
      </x:c>
      <x:c r="T135" s="32" t="str">
        <x:f>IF($H135="","",'03_Functionalities'!$O135)</x:f>
      </x:c>
      <x:c r="U135" s="32" t="str">
        <x:f>IF($A135="","",IFERROR(XLOOKUP($A135,'01_Products'!$A$5:$A$500,'01_Products'!$G$5:$G$500),""))</x:f>
      </x:c>
      <x:c r="V135" s="32" t="str">
        <x:f>IF($D135="","",IFERROR(XLOOKUP($D135,'02_Features'!$A$5:$A$1000,'02_Features'!$J$5:$J$1000),""))</x:f>
      </x:c>
      <x:c r="W135" s="32" t="str">
        <x:f>IF($H135="","",'03_Functionalities'!$P135)</x:f>
      </x:c>
      <x:c r="X135" s="32" t="str">
        <x:f>IF($H135="","",'03_Functionalities'!$Q135)</x:f>
      </x:c>
      <x:c r="Y135" s="38"/>
      <x:c r="Z135" s="38"/>
    </x:row>
    <x:row r="136" ht="18" customHeight="1">
      <x:c r="A136" s="32" t="str">
        <x:f>IF('03_Functionalities'!$A136="","",'03_Functionalities'!$C136)</x:f>
      </x:c>
      <x:c r="B136" s="32" t="str">
        <x:f>IF($A136="","",IFERROR(XLOOKUP($A136,'01_Products'!$A$5:$A$500,'01_Products'!$B$5:$B$500),""))</x:f>
      </x:c>
      <x:c r="C136" s="32" t="str">
        <x:f>IF($A136="","",IFERROR(XLOOKUP($A136,'01_Products'!$A$5:$A$500,'01_Products'!$C$5:$C$500),""))</x:f>
      </x:c>
      <x:c r="D136" s="32" t="str">
        <x:f>IF('03_Functionalities'!$A136="","",'03_Functionalities'!$B136)</x:f>
      </x:c>
      <x:c r="E136" s="32" t="str">
        <x:f>IF($D136="","",IFERROR(XLOOKUP($D136,'02_Features'!$A$5:$A$1000,'02_Features'!$C$5:$C$1000),""))</x:f>
      </x:c>
      <x:c r="F136" s="32" t="str">
        <x:f>IF($D136="","",IFERROR(XLOOKUP($D136,'02_Features'!$A$5:$A$1000,'02_Features'!$D$5:$D$1000),""))</x:f>
      </x:c>
      <x:c r="G136" s="32" t="str">
        <x:f>IF($D136="","",IFERROR(XLOOKUP($D136,'02_Features'!$A$5:$A$1000,'02_Features'!$E$5:$E$1000),""))</x:f>
      </x:c>
      <x:c r="H136" s="32" t="str">
        <x:f>IF('03_Functionalities'!$A136="","",'03_Functionalities'!$A136)</x:f>
      </x:c>
      <x:c r="I136" s="32" t="str">
        <x:f>IF($H136="","",'03_Functionalities'!$D136)</x:f>
      </x:c>
      <x:c r="J136" s="32" t="str">
        <x:f>IF($H136="","",'03_Functionalities'!$E136)</x:f>
      </x:c>
      <x:c r="K136" s="32" t="str">
        <x:f>IF($H136="","",'03_Functionalities'!$F136)</x:f>
      </x:c>
      <x:c r="L136" s="32" t="str">
        <x:f>IF($H136="","",'03_Functionalities'!$G136)</x:f>
      </x:c>
      <x:c r="M136" s="32" t="str">
        <x:f>IF($H136="","",'03_Functionalities'!$H136)</x:f>
      </x:c>
      <x:c r="N136" s="32" t="str">
        <x:f>IF($H136="","",'03_Functionalities'!$I136)</x:f>
      </x:c>
      <x:c r="O136" s="32" t="str">
        <x:f>IF($H136="","",'03_Functionalities'!$J136)</x:f>
      </x:c>
      <x:c r="P136" s="32" t="str">
        <x:f>IF($H136="","",'03_Functionalities'!$K136)</x:f>
      </x:c>
      <x:c r="Q136" s="32" t="str">
        <x:f>IF($H136="","",'03_Functionalities'!$L136)</x:f>
      </x:c>
      <x:c r="R136" s="32" t="str">
        <x:f>IF($H136="","",'03_Functionalities'!$M136)</x:f>
      </x:c>
      <x:c r="S136" s="32" t="str">
        <x:f>IF($H136="","",'03_Functionalities'!$N136)</x:f>
      </x:c>
      <x:c r="T136" s="32" t="str">
        <x:f>IF($H136="","",'03_Functionalities'!$O136)</x:f>
      </x:c>
      <x:c r="U136" s="32" t="str">
        <x:f>IF($A136="","",IFERROR(XLOOKUP($A136,'01_Products'!$A$5:$A$500,'01_Products'!$G$5:$G$500),""))</x:f>
      </x:c>
      <x:c r="V136" s="32" t="str">
        <x:f>IF($D136="","",IFERROR(XLOOKUP($D136,'02_Features'!$A$5:$A$1000,'02_Features'!$J$5:$J$1000),""))</x:f>
      </x:c>
      <x:c r="W136" s="32" t="str">
        <x:f>IF($H136="","",'03_Functionalities'!$P136)</x:f>
      </x:c>
      <x:c r="X136" s="32" t="str">
        <x:f>IF($H136="","",'03_Functionalities'!$Q136)</x:f>
      </x:c>
      <x:c r="Y136" s="38"/>
      <x:c r="Z136" s="38"/>
    </x:row>
    <x:row r="137" ht="18" customHeight="1">
      <x:c r="A137" s="32" t="str">
        <x:f>IF('03_Functionalities'!$A137="","",'03_Functionalities'!$C137)</x:f>
      </x:c>
      <x:c r="B137" s="32" t="str">
        <x:f>IF($A137="","",IFERROR(XLOOKUP($A137,'01_Products'!$A$5:$A$500,'01_Products'!$B$5:$B$500),""))</x:f>
      </x:c>
      <x:c r="C137" s="32" t="str">
        <x:f>IF($A137="","",IFERROR(XLOOKUP($A137,'01_Products'!$A$5:$A$500,'01_Products'!$C$5:$C$500),""))</x:f>
      </x:c>
      <x:c r="D137" s="32" t="str">
        <x:f>IF('03_Functionalities'!$A137="","",'03_Functionalities'!$B137)</x:f>
      </x:c>
      <x:c r="E137" s="32" t="str">
        <x:f>IF($D137="","",IFERROR(XLOOKUP($D137,'02_Features'!$A$5:$A$1000,'02_Features'!$C$5:$C$1000),""))</x:f>
      </x:c>
      <x:c r="F137" s="32" t="str">
        <x:f>IF($D137="","",IFERROR(XLOOKUP($D137,'02_Features'!$A$5:$A$1000,'02_Features'!$D$5:$D$1000),""))</x:f>
      </x:c>
      <x:c r="G137" s="32" t="str">
        <x:f>IF($D137="","",IFERROR(XLOOKUP($D137,'02_Features'!$A$5:$A$1000,'02_Features'!$E$5:$E$1000),""))</x:f>
      </x:c>
      <x:c r="H137" s="32" t="str">
        <x:f>IF('03_Functionalities'!$A137="","",'03_Functionalities'!$A137)</x:f>
      </x:c>
      <x:c r="I137" s="32" t="str">
        <x:f>IF($H137="","",'03_Functionalities'!$D137)</x:f>
      </x:c>
      <x:c r="J137" s="32" t="str">
        <x:f>IF($H137="","",'03_Functionalities'!$E137)</x:f>
      </x:c>
      <x:c r="K137" s="32" t="str">
        <x:f>IF($H137="","",'03_Functionalities'!$F137)</x:f>
      </x:c>
      <x:c r="L137" s="32" t="str">
        <x:f>IF($H137="","",'03_Functionalities'!$G137)</x:f>
      </x:c>
      <x:c r="M137" s="32" t="str">
        <x:f>IF($H137="","",'03_Functionalities'!$H137)</x:f>
      </x:c>
      <x:c r="N137" s="32" t="str">
        <x:f>IF($H137="","",'03_Functionalities'!$I137)</x:f>
      </x:c>
      <x:c r="O137" s="32" t="str">
        <x:f>IF($H137="","",'03_Functionalities'!$J137)</x:f>
      </x:c>
      <x:c r="P137" s="32" t="str">
        <x:f>IF($H137="","",'03_Functionalities'!$K137)</x:f>
      </x:c>
      <x:c r="Q137" s="32" t="str">
        <x:f>IF($H137="","",'03_Functionalities'!$L137)</x:f>
      </x:c>
      <x:c r="R137" s="32" t="str">
        <x:f>IF($H137="","",'03_Functionalities'!$M137)</x:f>
      </x:c>
      <x:c r="S137" s="32" t="str">
        <x:f>IF($H137="","",'03_Functionalities'!$N137)</x:f>
      </x:c>
      <x:c r="T137" s="32" t="str">
        <x:f>IF($H137="","",'03_Functionalities'!$O137)</x:f>
      </x:c>
      <x:c r="U137" s="32" t="str">
        <x:f>IF($A137="","",IFERROR(XLOOKUP($A137,'01_Products'!$A$5:$A$500,'01_Products'!$G$5:$G$500),""))</x:f>
      </x:c>
      <x:c r="V137" s="32" t="str">
        <x:f>IF($D137="","",IFERROR(XLOOKUP($D137,'02_Features'!$A$5:$A$1000,'02_Features'!$J$5:$J$1000),""))</x:f>
      </x:c>
      <x:c r="W137" s="32" t="str">
        <x:f>IF($H137="","",'03_Functionalities'!$P137)</x:f>
      </x:c>
      <x:c r="X137" s="32" t="str">
        <x:f>IF($H137="","",'03_Functionalities'!$Q137)</x:f>
      </x:c>
      <x:c r="Y137" s="38"/>
      <x:c r="Z137" s="38"/>
    </x:row>
    <x:row r="138" ht="18" customHeight="1">
      <x:c r="A138" s="32" t="str">
        <x:f>IF('03_Functionalities'!$A138="","",'03_Functionalities'!$C138)</x:f>
      </x:c>
      <x:c r="B138" s="32" t="str">
        <x:f>IF($A138="","",IFERROR(XLOOKUP($A138,'01_Products'!$A$5:$A$500,'01_Products'!$B$5:$B$500),""))</x:f>
      </x:c>
      <x:c r="C138" s="32" t="str">
        <x:f>IF($A138="","",IFERROR(XLOOKUP($A138,'01_Products'!$A$5:$A$500,'01_Products'!$C$5:$C$500),""))</x:f>
      </x:c>
      <x:c r="D138" s="32" t="str">
        <x:f>IF('03_Functionalities'!$A138="","",'03_Functionalities'!$B138)</x:f>
      </x:c>
      <x:c r="E138" s="32" t="str">
        <x:f>IF($D138="","",IFERROR(XLOOKUP($D138,'02_Features'!$A$5:$A$1000,'02_Features'!$C$5:$C$1000),""))</x:f>
      </x:c>
      <x:c r="F138" s="32" t="str">
        <x:f>IF($D138="","",IFERROR(XLOOKUP($D138,'02_Features'!$A$5:$A$1000,'02_Features'!$D$5:$D$1000),""))</x:f>
      </x:c>
      <x:c r="G138" s="32" t="str">
        <x:f>IF($D138="","",IFERROR(XLOOKUP($D138,'02_Features'!$A$5:$A$1000,'02_Features'!$E$5:$E$1000),""))</x:f>
      </x:c>
      <x:c r="H138" s="32" t="str">
        <x:f>IF('03_Functionalities'!$A138="","",'03_Functionalities'!$A138)</x:f>
      </x:c>
      <x:c r="I138" s="32" t="str">
        <x:f>IF($H138="","",'03_Functionalities'!$D138)</x:f>
      </x:c>
      <x:c r="J138" s="32" t="str">
        <x:f>IF($H138="","",'03_Functionalities'!$E138)</x:f>
      </x:c>
      <x:c r="K138" s="32" t="str">
        <x:f>IF($H138="","",'03_Functionalities'!$F138)</x:f>
      </x:c>
      <x:c r="L138" s="32" t="str">
        <x:f>IF($H138="","",'03_Functionalities'!$G138)</x:f>
      </x:c>
      <x:c r="M138" s="32" t="str">
        <x:f>IF($H138="","",'03_Functionalities'!$H138)</x:f>
      </x:c>
      <x:c r="N138" s="32" t="str">
        <x:f>IF($H138="","",'03_Functionalities'!$I138)</x:f>
      </x:c>
      <x:c r="O138" s="32" t="str">
        <x:f>IF($H138="","",'03_Functionalities'!$J138)</x:f>
      </x:c>
      <x:c r="P138" s="32" t="str">
        <x:f>IF($H138="","",'03_Functionalities'!$K138)</x:f>
      </x:c>
      <x:c r="Q138" s="32" t="str">
        <x:f>IF($H138="","",'03_Functionalities'!$L138)</x:f>
      </x:c>
      <x:c r="R138" s="32" t="str">
        <x:f>IF($H138="","",'03_Functionalities'!$M138)</x:f>
      </x:c>
      <x:c r="S138" s="32" t="str">
        <x:f>IF($H138="","",'03_Functionalities'!$N138)</x:f>
      </x:c>
      <x:c r="T138" s="32" t="str">
        <x:f>IF($H138="","",'03_Functionalities'!$O138)</x:f>
      </x:c>
      <x:c r="U138" s="32" t="str">
        <x:f>IF($A138="","",IFERROR(XLOOKUP($A138,'01_Products'!$A$5:$A$500,'01_Products'!$G$5:$G$500),""))</x:f>
      </x:c>
      <x:c r="V138" s="32" t="str">
        <x:f>IF($D138="","",IFERROR(XLOOKUP($D138,'02_Features'!$A$5:$A$1000,'02_Features'!$J$5:$J$1000),""))</x:f>
      </x:c>
      <x:c r="W138" s="32" t="str">
        <x:f>IF($H138="","",'03_Functionalities'!$P138)</x:f>
      </x:c>
      <x:c r="X138" s="32" t="str">
        <x:f>IF($H138="","",'03_Functionalities'!$Q138)</x:f>
      </x:c>
      <x:c r="Y138" s="38"/>
      <x:c r="Z138" s="38"/>
    </x:row>
    <x:row r="139" ht="18" customHeight="1">
      <x:c r="A139" s="32" t="str">
        <x:f>IF('03_Functionalities'!$A139="","",'03_Functionalities'!$C139)</x:f>
      </x:c>
      <x:c r="B139" s="32" t="str">
        <x:f>IF($A139="","",IFERROR(XLOOKUP($A139,'01_Products'!$A$5:$A$500,'01_Products'!$B$5:$B$500),""))</x:f>
      </x:c>
      <x:c r="C139" s="32" t="str">
        <x:f>IF($A139="","",IFERROR(XLOOKUP($A139,'01_Products'!$A$5:$A$500,'01_Products'!$C$5:$C$500),""))</x:f>
      </x:c>
      <x:c r="D139" s="32" t="str">
        <x:f>IF('03_Functionalities'!$A139="","",'03_Functionalities'!$B139)</x:f>
      </x:c>
      <x:c r="E139" s="32" t="str">
        <x:f>IF($D139="","",IFERROR(XLOOKUP($D139,'02_Features'!$A$5:$A$1000,'02_Features'!$C$5:$C$1000),""))</x:f>
      </x:c>
      <x:c r="F139" s="32" t="str">
        <x:f>IF($D139="","",IFERROR(XLOOKUP($D139,'02_Features'!$A$5:$A$1000,'02_Features'!$D$5:$D$1000),""))</x:f>
      </x:c>
      <x:c r="G139" s="32" t="str">
        <x:f>IF($D139="","",IFERROR(XLOOKUP($D139,'02_Features'!$A$5:$A$1000,'02_Features'!$E$5:$E$1000),""))</x:f>
      </x:c>
      <x:c r="H139" s="32" t="str">
        <x:f>IF('03_Functionalities'!$A139="","",'03_Functionalities'!$A139)</x:f>
      </x:c>
      <x:c r="I139" s="32" t="str">
        <x:f>IF($H139="","",'03_Functionalities'!$D139)</x:f>
      </x:c>
      <x:c r="J139" s="32" t="str">
        <x:f>IF($H139="","",'03_Functionalities'!$E139)</x:f>
      </x:c>
      <x:c r="K139" s="32" t="str">
        <x:f>IF($H139="","",'03_Functionalities'!$F139)</x:f>
      </x:c>
      <x:c r="L139" s="32" t="str">
        <x:f>IF($H139="","",'03_Functionalities'!$G139)</x:f>
      </x:c>
      <x:c r="M139" s="32" t="str">
        <x:f>IF($H139="","",'03_Functionalities'!$H139)</x:f>
      </x:c>
      <x:c r="N139" s="32" t="str">
        <x:f>IF($H139="","",'03_Functionalities'!$I139)</x:f>
      </x:c>
      <x:c r="O139" s="32" t="str">
        <x:f>IF($H139="","",'03_Functionalities'!$J139)</x:f>
      </x:c>
      <x:c r="P139" s="32" t="str">
        <x:f>IF($H139="","",'03_Functionalities'!$K139)</x:f>
      </x:c>
      <x:c r="Q139" s="32" t="str">
        <x:f>IF($H139="","",'03_Functionalities'!$L139)</x:f>
      </x:c>
      <x:c r="R139" s="32" t="str">
        <x:f>IF($H139="","",'03_Functionalities'!$M139)</x:f>
      </x:c>
      <x:c r="S139" s="32" t="str">
        <x:f>IF($H139="","",'03_Functionalities'!$N139)</x:f>
      </x:c>
      <x:c r="T139" s="32" t="str">
        <x:f>IF($H139="","",'03_Functionalities'!$O139)</x:f>
      </x:c>
      <x:c r="U139" s="32" t="str">
        <x:f>IF($A139="","",IFERROR(XLOOKUP($A139,'01_Products'!$A$5:$A$500,'01_Products'!$G$5:$G$500),""))</x:f>
      </x:c>
      <x:c r="V139" s="32" t="str">
        <x:f>IF($D139="","",IFERROR(XLOOKUP($D139,'02_Features'!$A$5:$A$1000,'02_Features'!$J$5:$J$1000),""))</x:f>
      </x:c>
      <x:c r="W139" s="32" t="str">
        <x:f>IF($H139="","",'03_Functionalities'!$P139)</x:f>
      </x:c>
      <x:c r="X139" s="32" t="str">
        <x:f>IF($H139="","",'03_Functionalities'!$Q139)</x:f>
      </x:c>
      <x:c r="Y139" s="38"/>
      <x:c r="Z139" s="38"/>
    </x:row>
    <x:row r="140" ht="18" customHeight="1">
      <x:c r="A140" s="32" t="str">
        <x:f>IF('03_Functionalities'!$A140="","",'03_Functionalities'!$C140)</x:f>
      </x:c>
      <x:c r="B140" s="32" t="str">
        <x:f>IF($A140="","",IFERROR(XLOOKUP($A140,'01_Products'!$A$5:$A$500,'01_Products'!$B$5:$B$500),""))</x:f>
      </x:c>
      <x:c r="C140" s="32" t="str">
        <x:f>IF($A140="","",IFERROR(XLOOKUP($A140,'01_Products'!$A$5:$A$500,'01_Products'!$C$5:$C$500),""))</x:f>
      </x:c>
      <x:c r="D140" s="32" t="str">
        <x:f>IF('03_Functionalities'!$A140="","",'03_Functionalities'!$B140)</x:f>
      </x:c>
      <x:c r="E140" s="32" t="str">
        <x:f>IF($D140="","",IFERROR(XLOOKUP($D140,'02_Features'!$A$5:$A$1000,'02_Features'!$C$5:$C$1000),""))</x:f>
      </x:c>
      <x:c r="F140" s="32" t="str">
        <x:f>IF($D140="","",IFERROR(XLOOKUP($D140,'02_Features'!$A$5:$A$1000,'02_Features'!$D$5:$D$1000),""))</x:f>
      </x:c>
      <x:c r="G140" s="32" t="str">
        <x:f>IF($D140="","",IFERROR(XLOOKUP($D140,'02_Features'!$A$5:$A$1000,'02_Features'!$E$5:$E$1000),""))</x:f>
      </x:c>
      <x:c r="H140" s="32" t="str">
        <x:f>IF('03_Functionalities'!$A140="","",'03_Functionalities'!$A140)</x:f>
      </x:c>
      <x:c r="I140" s="32" t="str">
        <x:f>IF($H140="","",'03_Functionalities'!$D140)</x:f>
      </x:c>
      <x:c r="J140" s="32" t="str">
        <x:f>IF($H140="","",'03_Functionalities'!$E140)</x:f>
      </x:c>
      <x:c r="K140" s="32" t="str">
        <x:f>IF($H140="","",'03_Functionalities'!$F140)</x:f>
      </x:c>
      <x:c r="L140" s="32" t="str">
        <x:f>IF($H140="","",'03_Functionalities'!$G140)</x:f>
      </x:c>
      <x:c r="M140" s="32" t="str">
        <x:f>IF($H140="","",'03_Functionalities'!$H140)</x:f>
      </x:c>
      <x:c r="N140" s="32" t="str">
        <x:f>IF($H140="","",'03_Functionalities'!$I140)</x:f>
      </x:c>
      <x:c r="O140" s="32" t="str">
        <x:f>IF($H140="","",'03_Functionalities'!$J140)</x:f>
      </x:c>
      <x:c r="P140" s="32" t="str">
        <x:f>IF($H140="","",'03_Functionalities'!$K140)</x:f>
      </x:c>
      <x:c r="Q140" s="32" t="str">
        <x:f>IF($H140="","",'03_Functionalities'!$L140)</x:f>
      </x:c>
      <x:c r="R140" s="32" t="str">
        <x:f>IF($H140="","",'03_Functionalities'!$M140)</x:f>
      </x:c>
      <x:c r="S140" s="32" t="str">
        <x:f>IF($H140="","",'03_Functionalities'!$N140)</x:f>
      </x:c>
      <x:c r="T140" s="32" t="str">
        <x:f>IF($H140="","",'03_Functionalities'!$O140)</x:f>
      </x:c>
      <x:c r="U140" s="32" t="str">
        <x:f>IF($A140="","",IFERROR(XLOOKUP($A140,'01_Products'!$A$5:$A$500,'01_Products'!$G$5:$G$500),""))</x:f>
      </x:c>
      <x:c r="V140" s="32" t="str">
        <x:f>IF($D140="","",IFERROR(XLOOKUP($D140,'02_Features'!$A$5:$A$1000,'02_Features'!$J$5:$J$1000),""))</x:f>
      </x:c>
      <x:c r="W140" s="32" t="str">
        <x:f>IF($H140="","",'03_Functionalities'!$P140)</x:f>
      </x:c>
      <x:c r="X140" s="32" t="str">
        <x:f>IF($H140="","",'03_Functionalities'!$Q140)</x:f>
      </x:c>
      <x:c r="Y140" s="38"/>
      <x:c r="Z140" s="38"/>
    </x:row>
    <x:row r="141" ht="18" customHeight="1">
      <x:c r="A141" s="32" t="str">
        <x:f>IF('03_Functionalities'!$A141="","",'03_Functionalities'!$C141)</x:f>
      </x:c>
      <x:c r="B141" s="32" t="str">
        <x:f>IF($A141="","",IFERROR(XLOOKUP($A141,'01_Products'!$A$5:$A$500,'01_Products'!$B$5:$B$500),""))</x:f>
      </x:c>
      <x:c r="C141" s="32" t="str">
        <x:f>IF($A141="","",IFERROR(XLOOKUP($A141,'01_Products'!$A$5:$A$500,'01_Products'!$C$5:$C$500),""))</x:f>
      </x:c>
      <x:c r="D141" s="32" t="str">
        <x:f>IF('03_Functionalities'!$A141="","",'03_Functionalities'!$B141)</x:f>
      </x:c>
      <x:c r="E141" s="32" t="str">
        <x:f>IF($D141="","",IFERROR(XLOOKUP($D141,'02_Features'!$A$5:$A$1000,'02_Features'!$C$5:$C$1000),""))</x:f>
      </x:c>
      <x:c r="F141" s="32" t="str">
        <x:f>IF($D141="","",IFERROR(XLOOKUP($D141,'02_Features'!$A$5:$A$1000,'02_Features'!$D$5:$D$1000),""))</x:f>
      </x:c>
      <x:c r="G141" s="32" t="str">
        <x:f>IF($D141="","",IFERROR(XLOOKUP($D141,'02_Features'!$A$5:$A$1000,'02_Features'!$E$5:$E$1000),""))</x:f>
      </x:c>
      <x:c r="H141" s="32" t="str">
        <x:f>IF('03_Functionalities'!$A141="","",'03_Functionalities'!$A141)</x:f>
      </x:c>
      <x:c r="I141" s="32" t="str">
        <x:f>IF($H141="","",'03_Functionalities'!$D141)</x:f>
      </x:c>
      <x:c r="J141" s="32" t="str">
        <x:f>IF($H141="","",'03_Functionalities'!$E141)</x:f>
      </x:c>
      <x:c r="K141" s="32" t="str">
        <x:f>IF($H141="","",'03_Functionalities'!$F141)</x:f>
      </x:c>
      <x:c r="L141" s="32" t="str">
        <x:f>IF($H141="","",'03_Functionalities'!$G141)</x:f>
      </x:c>
      <x:c r="M141" s="32" t="str">
        <x:f>IF($H141="","",'03_Functionalities'!$H141)</x:f>
      </x:c>
      <x:c r="N141" s="32" t="str">
        <x:f>IF($H141="","",'03_Functionalities'!$I141)</x:f>
      </x:c>
      <x:c r="O141" s="32" t="str">
        <x:f>IF($H141="","",'03_Functionalities'!$J141)</x:f>
      </x:c>
      <x:c r="P141" s="32" t="str">
        <x:f>IF($H141="","",'03_Functionalities'!$K141)</x:f>
      </x:c>
      <x:c r="Q141" s="32" t="str">
        <x:f>IF($H141="","",'03_Functionalities'!$L141)</x:f>
      </x:c>
      <x:c r="R141" s="32" t="str">
        <x:f>IF($H141="","",'03_Functionalities'!$M141)</x:f>
      </x:c>
      <x:c r="S141" s="32" t="str">
        <x:f>IF($H141="","",'03_Functionalities'!$N141)</x:f>
      </x:c>
      <x:c r="T141" s="32" t="str">
        <x:f>IF($H141="","",'03_Functionalities'!$O141)</x:f>
      </x:c>
      <x:c r="U141" s="32" t="str">
        <x:f>IF($A141="","",IFERROR(XLOOKUP($A141,'01_Products'!$A$5:$A$500,'01_Products'!$G$5:$G$500),""))</x:f>
      </x:c>
      <x:c r="V141" s="32" t="str">
        <x:f>IF($D141="","",IFERROR(XLOOKUP($D141,'02_Features'!$A$5:$A$1000,'02_Features'!$J$5:$J$1000),""))</x:f>
      </x:c>
      <x:c r="W141" s="32" t="str">
        <x:f>IF($H141="","",'03_Functionalities'!$P141)</x:f>
      </x:c>
      <x:c r="X141" s="32" t="str">
        <x:f>IF($H141="","",'03_Functionalities'!$Q141)</x:f>
      </x:c>
      <x:c r="Y141" s="38"/>
      <x:c r="Z141" s="38"/>
    </x:row>
    <x:row r="142" ht="18" customHeight="1">
      <x:c r="A142" s="32" t="str">
        <x:f>IF('03_Functionalities'!$A142="","",'03_Functionalities'!$C142)</x:f>
      </x:c>
      <x:c r="B142" s="32" t="str">
        <x:f>IF($A142="","",IFERROR(XLOOKUP($A142,'01_Products'!$A$5:$A$500,'01_Products'!$B$5:$B$500),""))</x:f>
      </x:c>
      <x:c r="C142" s="32" t="str">
        <x:f>IF($A142="","",IFERROR(XLOOKUP($A142,'01_Products'!$A$5:$A$500,'01_Products'!$C$5:$C$500),""))</x:f>
      </x:c>
      <x:c r="D142" s="32" t="str">
        <x:f>IF('03_Functionalities'!$A142="","",'03_Functionalities'!$B142)</x:f>
      </x:c>
      <x:c r="E142" s="32" t="str">
        <x:f>IF($D142="","",IFERROR(XLOOKUP($D142,'02_Features'!$A$5:$A$1000,'02_Features'!$C$5:$C$1000),""))</x:f>
      </x:c>
      <x:c r="F142" s="32" t="str">
        <x:f>IF($D142="","",IFERROR(XLOOKUP($D142,'02_Features'!$A$5:$A$1000,'02_Features'!$D$5:$D$1000),""))</x:f>
      </x:c>
      <x:c r="G142" s="32" t="str">
        <x:f>IF($D142="","",IFERROR(XLOOKUP($D142,'02_Features'!$A$5:$A$1000,'02_Features'!$E$5:$E$1000),""))</x:f>
      </x:c>
      <x:c r="H142" s="32" t="str">
        <x:f>IF('03_Functionalities'!$A142="","",'03_Functionalities'!$A142)</x:f>
      </x:c>
      <x:c r="I142" s="32" t="str">
        <x:f>IF($H142="","",'03_Functionalities'!$D142)</x:f>
      </x:c>
      <x:c r="J142" s="32" t="str">
        <x:f>IF($H142="","",'03_Functionalities'!$E142)</x:f>
      </x:c>
      <x:c r="K142" s="32" t="str">
        <x:f>IF($H142="","",'03_Functionalities'!$F142)</x:f>
      </x:c>
      <x:c r="L142" s="32" t="str">
        <x:f>IF($H142="","",'03_Functionalities'!$G142)</x:f>
      </x:c>
      <x:c r="M142" s="32" t="str">
        <x:f>IF($H142="","",'03_Functionalities'!$H142)</x:f>
      </x:c>
      <x:c r="N142" s="32" t="str">
        <x:f>IF($H142="","",'03_Functionalities'!$I142)</x:f>
      </x:c>
      <x:c r="O142" s="32" t="str">
        <x:f>IF($H142="","",'03_Functionalities'!$J142)</x:f>
      </x:c>
      <x:c r="P142" s="32" t="str">
        <x:f>IF($H142="","",'03_Functionalities'!$K142)</x:f>
      </x:c>
      <x:c r="Q142" s="32" t="str">
        <x:f>IF($H142="","",'03_Functionalities'!$L142)</x:f>
      </x:c>
      <x:c r="R142" s="32" t="str">
        <x:f>IF($H142="","",'03_Functionalities'!$M142)</x:f>
      </x:c>
      <x:c r="S142" s="32" t="str">
        <x:f>IF($H142="","",'03_Functionalities'!$N142)</x:f>
      </x:c>
      <x:c r="T142" s="32" t="str">
        <x:f>IF($H142="","",'03_Functionalities'!$O142)</x:f>
      </x:c>
      <x:c r="U142" s="32" t="str">
        <x:f>IF($A142="","",IFERROR(XLOOKUP($A142,'01_Products'!$A$5:$A$500,'01_Products'!$G$5:$G$500),""))</x:f>
      </x:c>
      <x:c r="V142" s="32" t="str">
        <x:f>IF($D142="","",IFERROR(XLOOKUP($D142,'02_Features'!$A$5:$A$1000,'02_Features'!$J$5:$J$1000),""))</x:f>
      </x:c>
      <x:c r="W142" s="32" t="str">
        <x:f>IF($H142="","",'03_Functionalities'!$P142)</x:f>
      </x:c>
      <x:c r="X142" s="32" t="str">
        <x:f>IF($H142="","",'03_Functionalities'!$Q142)</x:f>
      </x:c>
      <x:c r="Y142" s="38"/>
      <x:c r="Z142" s="38"/>
    </x:row>
    <x:row r="143" ht="18" customHeight="1">
      <x:c r="A143" s="32" t="str">
        <x:f>IF('03_Functionalities'!$A143="","",'03_Functionalities'!$C143)</x:f>
      </x:c>
      <x:c r="B143" s="32" t="str">
        <x:f>IF($A143="","",IFERROR(XLOOKUP($A143,'01_Products'!$A$5:$A$500,'01_Products'!$B$5:$B$500),""))</x:f>
      </x:c>
      <x:c r="C143" s="32" t="str">
        <x:f>IF($A143="","",IFERROR(XLOOKUP($A143,'01_Products'!$A$5:$A$500,'01_Products'!$C$5:$C$500),""))</x:f>
      </x:c>
      <x:c r="D143" s="32" t="str">
        <x:f>IF('03_Functionalities'!$A143="","",'03_Functionalities'!$B143)</x:f>
      </x:c>
      <x:c r="E143" s="32" t="str">
        <x:f>IF($D143="","",IFERROR(XLOOKUP($D143,'02_Features'!$A$5:$A$1000,'02_Features'!$C$5:$C$1000),""))</x:f>
      </x:c>
      <x:c r="F143" s="32" t="str">
        <x:f>IF($D143="","",IFERROR(XLOOKUP($D143,'02_Features'!$A$5:$A$1000,'02_Features'!$D$5:$D$1000),""))</x:f>
      </x:c>
      <x:c r="G143" s="32" t="str">
        <x:f>IF($D143="","",IFERROR(XLOOKUP($D143,'02_Features'!$A$5:$A$1000,'02_Features'!$E$5:$E$1000),""))</x:f>
      </x:c>
      <x:c r="H143" s="32" t="str">
        <x:f>IF('03_Functionalities'!$A143="","",'03_Functionalities'!$A143)</x:f>
      </x:c>
      <x:c r="I143" s="32" t="str">
        <x:f>IF($H143="","",'03_Functionalities'!$D143)</x:f>
      </x:c>
      <x:c r="J143" s="32" t="str">
        <x:f>IF($H143="","",'03_Functionalities'!$E143)</x:f>
      </x:c>
      <x:c r="K143" s="32" t="str">
        <x:f>IF($H143="","",'03_Functionalities'!$F143)</x:f>
      </x:c>
      <x:c r="L143" s="32" t="str">
        <x:f>IF($H143="","",'03_Functionalities'!$G143)</x:f>
      </x:c>
      <x:c r="M143" s="32" t="str">
        <x:f>IF($H143="","",'03_Functionalities'!$H143)</x:f>
      </x:c>
      <x:c r="N143" s="32" t="str">
        <x:f>IF($H143="","",'03_Functionalities'!$I143)</x:f>
      </x:c>
      <x:c r="O143" s="32" t="str">
        <x:f>IF($H143="","",'03_Functionalities'!$J143)</x:f>
      </x:c>
      <x:c r="P143" s="32" t="str">
        <x:f>IF($H143="","",'03_Functionalities'!$K143)</x:f>
      </x:c>
      <x:c r="Q143" s="32" t="str">
        <x:f>IF($H143="","",'03_Functionalities'!$L143)</x:f>
      </x:c>
      <x:c r="R143" s="32" t="str">
        <x:f>IF($H143="","",'03_Functionalities'!$M143)</x:f>
      </x:c>
      <x:c r="S143" s="32" t="str">
        <x:f>IF($H143="","",'03_Functionalities'!$N143)</x:f>
      </x:c>
      <x:c r="T143" s="32" t="str">
        <x:f>IF($H143="","",'03_Functionalities'!$O143)</x:f>
      </x:c>
      <x:c r="U143" s="32" t="str">
        <x:f>IF($A143="","",IFERROR(XLOOKUP($A143,'01_Products'!$A$5:$A$500,'01_Products'!$G$5:$G$500),""))</x:f>
      </x:c>
      <x:c r="V143" s="32" t="str">
        <x:f>IF($D143="","",IFERROR(XLOOKUP($D143,'02_Features'!$A$5:$A$1000,'02_Features'!$J$5:$J$1000),""))</x:f>
      </x:c>
      <x:c r="W143" s="32" t="str">
        <x:f>IF($H143="","",'03_Functionalities'!$P143)</x:f>
      </x:c>
      <x:c r="X143" s="32" t="str">
        <x:f>IF($H143="","",'03_Functionalities'!$Q143)</x:f>
      </x:c>
      <x:c r="Y143" s="38"/>
      <x:c r="Z143" s="38"/>
    </x:row>
    <x:row r="144" ht="18" customHeight="1">
      <x:c r="A144" s="32" t="str">
        <x:f>IF('03_Functionalities'!$A144="","",'03_Functionalities'!$C144)</x:f>
      </x:c>
      <x:c r="B144" s="32" t="str">
        <x:f>IF($A144="","",IFERROR(XLOOKUP($A144,'01_Products'!$A$5:$A$500,'01_Products'!$B$5:$B$500),""))</x:f>
      </x:c>
      <x:c r="C144" s="32" t="str">
        <x:f>IF($A144="","",IFERROR(XLOOKUP($A144,'01_Products'!$A$5:$A$500,'01_Products'!$C$5:$C$500),""))</x:f>
      </x:c>
      <x:c r="D144" s="32" t="str">
        <x:f>IF('03_Functionalities'!$A144="","",'03_Functionalities'!$B144)</x:f>
      </x:c>
      <x:c r="E144" s="32" t="str">
        <x:f>IF($D144="","",IFERROR(XLOOKUP($D144,'02_Features'!$A$5:$A$1000,'02_Features'!$C$5:$C$1000),""))</x:f>
      </x:c>
      <x:c r="F144" s="32" t="str">
        <x:f>IF($D144="","",IFERROR(XLOOKUP($D144,'02_Features'!$A$5:$A$1000,'02_Features'!$D$5:$D$1000),""))</x:f>
      </x:c>
      <x:c r="G144" s="32" t="str">
        <x:f>IF($D144="","",IFERROR(XLOOKUP($D144,'02_Features'!$A$5:$A$1000,'02_Features'!$E$5:$E$1000),""))</x:f>
      </x:c>
      <x:c r="H144" s="32" t="str">
        <x:f>IF('03_Functionalities'!$A144="","",'03_Functionalities'!$A144)</x:f>
      </x:c>
      <x:c r="I144" s="32" t="str">
        <x:f>IF($H144="","",'03_Functionalities'!$D144)</x:f>
      </x:c>
      <x:c r="J144" s="32" t="str">
        <x:f>IF($H144="","",'03_Functionalities'!$E144)</x:f>
      </x:c>
      <x:c r="K144" s="32" t="str">
        <x:f>IF($H144="","",'03_Functionalities'!$F144)</x:f>
      </x:c>
      <x:c r="L144" s="32" t="str">
        <x:f>IF($H144="","",'03_Functionalities'!$G144)</x:f>
      </x:c>
      <x:c r="M144" s="32" t="str">
        <x:f>IF($H144="","",'03_Functionalities'!$H144)</x:f>
      </x:c>
      <x:c r="N144" s="32" t="str">
        <x:f>IF($H144="","",'03_Functionalities'!$I144)</x:f>
      </x:c>
      <x:c r="O144" s="32" t="str">
        <x:f>IF($H144="","",'03_Functionalities'!$J144)</x:f>
      </x:c>
      <x:c r="P144" s="32" t="str">
        <x:f>IF($H144="","",'03_Functionalities'!$K144)</x:f>
      </x:c>
      <x:c r="Q144" s="32" t="str">
        <x:f>IF($H144="","",'03_Functionalities'!$L144)</x:f>
      </x:c>
      <x:c r="R144" s="32" t="str">
        <x:f>IF($H144="","",'03_Functionalities'!$M144)</x:f>
      </x:c>
      <x:c r="S144" s="32" t="str">
        <x:f>IF($H144="","",'03_Functionalities'!$N144)</x:f>
      </x:c>
      <x:c r="T144" s="32" t="str">
        <x:f>IF($H144="","",'03_Functionalities'!$O144)</x:f>
      </x:c>
      <x:c r="U144" s="32" t="str">
        <x:f>IF($A144="","",IFERROR(XLOOKUP($A144,'01_Products'!$A$5:$A$500,'01_Products'!$G$5:$G$500),""))</x:f>
      </x:c>
      <x:c r="V144" s="32" t="str">
        <x:f>IF($D144="","",IFERROR(XLOOKUP($D144,'02_Features'!$A$5:$A$1000,'02_Features'!$J$5:$J$1000),""))</x:f>
      </x:c>
      <x:c r="W144" s="32" t="str">
        <x:f>IF($H144="","",'03_Functionalities'!$P144)</x:f>
      </x:c>
      <x:c r="X144" s="32" t="str">
        <x:f>IF($H144="","",'03_Functionalities'!$Q144)</x:f>
      </x:c>
      <x:c r="Y144" s="38"/>
      <x:c r="Z144" s="38"/>
    </x:row>
    <x:row r="145" ht="18" customHeight="1">
      <x:c r="A145" s="32" t="str">
        <x:f>IF('03_Functionalities'!$A145="","",'03_Functionalities'!$C145)</x:f>
      </x:c>
      <x:c r="B145" s="32" t="str">
        <x:f>IF($A145="","",IFERROR(XLOOKUP($A145,'01_Products'!$A$5:$A$500,'01_Products'!$B$5:$B$500),""))</x:f>
      </x:c>
      <x:c r="C145" s="32" t="str">
        <x:f>IF($A145="","",IFERROR(XLOOKUP($A145,'01_Products'!$A$5:$A$500,'01_Products'!$C$5:$C$500),""))</x:f>
      </x:c>
      <x:c r="D145" s="32" t="str">
        <x:f>IF('03_Functionalities'!$A145="","",'03_Functionalities'!$B145)</x:f>
      </x:c>
      <x:c r="E145" s="32" t="str">
        <x:f>IF($D145="","",IFERROR(XLOOKUP($D145,'02_Features'!$A$5:$A$1000,'02_Features'!$C$5:$C$1000),""))</x:f>
      </x:c>
      <x:c r="F145" s="32" t="str">
        <x:f>IF($D145="","",IFERROR(XLOOKUP($D145,'02_Features'!$A$5:$A$1000,'02_Features'!$D$5:$D$1000),""))</x:f>
      </x:c>
      <x:c r="G145" s="32" t="str">
        <x:f>IF($D145="","",IFERROR(XLOOKUP($D145,'02_Features'!$A$5:$A$1000,'02_Features'!$E$5:$E$1000),""))</x:f>
      </x:c>
      <x:c r="H145" s="32" t="str">
        <x:f>IF('03_Functionalities'!$A145="","",'03_Functionalities'!$A145)</x:f>
      </x:c>
      <x:c r="I145" s="32" t="str">
        <x:f>IF($H145="","",'03_Functionalities'!$D145)</x:f>
      </x:c>
      <x:c r="J145" s="32" t="str">
        <x:f>IF($H145="","",'03_Functionalities'!$E145)</x:f>
      </x:c>
      <x:c r="K145" s="32" t="str">
        <x:f>IF($H145="","",'03_Functionalities'!$F145)</x:f>
      </x:c>
      <x:c r="L145" s="32" t="str">
        <x:f>IF($H145="","",'03_Functionalities'!$G145)</x:f>
      </x:c>
      <x:c r="M145" s="32" t="str">
        <x:f>IF($H145="","",'03_Functionalities'!$H145)</x:f>
      </x:c>
      <x:c r="N145" s="32" t="str">
        <x:f>IF($H145="","",'03_Functionalities'!$I145)</x:f>
      </x:c>
      <x:c r="O145" s="32" t="str">
        <x:f>IF($H145="","",'03_Functionalities'!$J145)</x:f>
      </x:c>
      <x:c r="P145" s="32" t="str">
        <x:f>IF($H145="","",'03_Functionalities'!$K145)</x:f>
      </x:c>
      <x:c r="Q145" s="32" t="str">
        <x:f>IF($H145="","",'03_Functionalities'!$L145)</x:f>
      </x:c>
      <x:c r="R145" s="32" t="str">
        <x:f>IF($H145="","",'03_Functionalities'!$M145)</x:f>
      </x:c>
      <x:c r="S145" s="32" t="str">
        <x:f>IF($H145="","",'03_Functionalities'!$N145)</x:f>
      </x:c>
      <x:c r="T145" s="32" t="str">
        <x:f>IF($H145="","",'03_Functionalities'!$O145)</x:f>
      </x:c>
      <x:c r="U145" s="32" t="str">
        <x:f>IF($A145="","",IFERROR(XLOOKUP($A145,'01_Products'!$A$5:$A$500,'01_Products'!$G$5:$G$500),""))</x:f>
      </x:c>
      <x:c r="V145" s="32" t="str">
        <x:f>IF($D145="","",IFERROR(XLOOKUP($D145,'02_Features'!$A$5:$A$1000,'02_Features'!$J$5:$J$1000),""))</x:f>
      </x:c>
      <x:c r="W145" s="32" t="str">
        <x:f>IF($H145="","",'03_Functionalities'!$P145)</x:f>
      </x:c>
      <x:c r="X145" s="32" t="str">
        <x:f>IF($H145="","",'03_Functionalities'!$Q145)</x:f>
      </x:c>
      <x:c r="Y145" s="38"/>
      <x:c r="Z145" s="38"/>
    </x:row>
    <x:row r="146" ht="18" customHeight="1">
      <x:c r="A146" s="32" t="str">
        <x:f>IF('03_Functionalities'!$A146="","",'03_Functionalities'!$C146)</x:f>
      </x:c>
      <x:c r="B146" s="32" t="str">
        <x:f>IF($A146="","",IFERROR(XLOOKUP($A146,'01_Products'!$A$5:$A$500,'01_Products'!$B$5:$B$500),""))</x:f>
      </x:c>
      <x:c r="C146" s="32" t="str">
        <x:f>IF($A146="","",IFERROR(XLOOKUP($A146,'01_Products'!$A$5:$A$500,'01_Products'!$C$5:$C$500),""))</x:f>
      </x:c>
      <x:c r="D146" s="32" t="str">
        <x:f>IF('03_Functionalities'!$A146="","",'03_Functionalities'!$B146)</x:f>
      </x:c>
      <x:c r="E146" s="32" t="str">
        <x:f>IF($D146="","",IFERROR(XLOOKUP($D146,'02_Features'!$A$5:$A$1000,'02_Features'!$C$5:$C$1000),""))</x:f>
      </x:c>
      <x:c r="F146" s="32" t="str">
        <x:f>IF($D146="","",IFERROR(XLOOKUP($D146,'02_Features'!$A$5:$A$1000,'02_Features'!$D$5:$D$1000),""))</x:f>
      </x:c>
      <x:c r="G146" s="32" t="str">
        <x:f>IF($D146="","",IFERROR(XLOOKUP($D146,'02_Features'!$A$5:$A$1000,'02_Features'!$E$5:$E$1000),""))</x:f>
      </x:c>
      <x:c r="H146" s="32" t="str">
        <x:f>IF('03_Functionalities'!$A146="","",'03_Functionalities'!$A146)</x:f>
      </x:c>
      <x:c r="I146" s="32" t="str">
        <x:f>IF($H146="","",'03_Functionalities'!$D146)</x:f>
      </x:c>
      <x:c r="J146" s="32" t="str">
        <x:f>IF($H146="","",'03_Functionalities'!$E146)</x:f>
      </x:c>
      <x:c r="K146" s="32" t="str">
        <x:f>IF($H146="","",'03_Functionalities'!$F146)</x:f>
      </x:c>
      <x:c r="L146" s="32" t="str">
        <x:f>IF($H146="","",'03_Functionalities'!$G146)</x:f>
      </x:c>
      <x:c r="M146" s="32" t="str">
        <x:f>IF($H146="","",'03_Functionalities'!$H146)</x:f>
      </x:c>
      <x:c r="N146" s="32" t="str">
        <x:f>IF($H146="","",'03_Functionalities'!$I146)</x:f>
      </x:c>
      <x:c r="O146" s="32" t="str">
        <x:f>IF($H146="","",'03_Functionalities'!$J146)</x:f>
      </x:c>
      <x:c r="P146" s="32" t="str">
        <x:f>IF($H146="","",'03_Functionalities'!$K146)</x:f>
      </x:c>
      <x:c r="Q146" s="32" t="str">
        <x:f>IF($H146="","",'03_Functionalities'!$L146)</x:f>
      </x:c>
      <x:c r="R146" s="32" t="str">
        <x:f>IF($H146="","",'03_Functionalities'!$M146)</x:f>
      </x:c>
      <x:c r="S146" s="32" t="str">
        <x:f>IF($H146="","",'03_Functionalities'!$N146)</x:f>
      </x:c>
      <x:c r="T146" s="32" t="str">
        <x:f>IF($H146="","",'03_Functionalities'!$O146)</x:f>
      </x:c>
      <x:c r="U146" s="32" t="str">
        <x:f>IF($A146="","",IFERROR(XLOOKUP($A146,'01_Products'!$A$5:$A$500,'01_Products'!$G$5:$G$500),""))</x:f>
      </x:c>
      <x:c r="V146" s="32" t="str">
        <x:f>IF($D146="","",IFERROR(XLOOKUP($D146,'02_Features'!$A$5:$A$1000,'02_Features'!$J$5:$J$1000),""))</x:f>
      </x:c>
      <x:c r="W146" s="32" t="str">
        <x:f>IF($H146="","",'03_Functionalities'!$P146)</x:f>
      </x:c>
      <x:c r="X146" s="32" t="str">
        <x:f>IF($H146="","",'03_Functionalities'!$Q146)</x:f>
      </x:c>
      <x:c r="Y146" s="38"/>
      <x:c r="Z146" s="38"/>
    </x:row>
    <x:row r="147" ht="18" customHeight="1">
      <x:c r="A147" s="32" t="str">
        <x:f>IF('03_Functionalities'!$A147="","",'03_Functionalities'!$C147)</x:f>
      </x:c>
      <x:c r="B147" s="32" t="str">
        <x:f>IF($A147="","",IFERROR(XLOOKUP($A147,'01_Products'!$A$5:$A$500,'01_Products'!$B$5:$B$500),""))</x:f>
      </x:c>
      <x:c r="C147" s="32" t="str">
        <x:f>IF($A147="","",IFERROR(XLOOKUP($A147,'01_Products'!$A$5:$A$500,'01_Products'!$C$5:$C$500),""))</x:f>
      </x:c>
      <x:c r="D147" s="32" t="str">
        <x:f>IF('03_Functionalities'!$A147="","",'03_Functionalities'!$B147)</x:f>
      </x:c>
      <x:c r="E147" s="32" t="str">
        <x:f>IF($D147="","",IFERROR(XLOOKUP($D147,'02_Features'!$A$5:$A$1000,'02_Features'!$C$5:$C$1000),""))</x:f>
      </x:c>
      <x:c r="F147" s="32" t="str">
        <x:f>IF($D147="","",IFERROR(XLOOKUP($D147,'02_Features'!$A$5:$A$1000,'02_Features'!$D$5:$D$1000),""))</x:f>
      </x:c>
      <x:c r="G147" s="32" t="str">
        <x:f>IF($D147="","",IFERROR(XLOOKUP($D147,'02_Features'!$A$5:$A$1000,'02_Features'!$E$5:$E$1000),""))</x:f>
      </x:c>
      <x:c r="H147" s="32" t="str">
        <x:f>IF('03_Functionalities'!$A147="","",'03_Functionalities'!$A147)</x:f>
      </x:c>
      <x:c r="I147" s="32" t="str">
        <x:f>IF($H147="","",'03_Functionalities'!$D147)</x:f>
      </x:c>
      <x:c r="J147" s="32" t="str">
        <x:f>IF($H147="","",'03_Functionalities'!$E147)</x:f>
      </x:c>
      <x:c r="K147" s="32" t="str">
        <x:f>IF($H147="","",'03_Functionalities'!$F147)</x:f>
      </x:c>
      <x:c r="L147" s="32" t="str">
        <x:f>IF($H147="","",'03_Functionalities'!$G147)</x:f>
      </x:c>
      <x:c r="M147" s="32" t="str">
        <x:f>IF($H147="","",'03_Functionalities'!$H147)</x:f>
      </x:c>
      <x:c r="N147" s="32" t="str">
        <x:f>IF($H147="","",'03_Functionalities'!$I147)</x:f>
      </x:c>
      <x:c r="O147" s="32" t="str">
        <x:f>IF($H147="","",'03_Functionalities'!$J147)</x:f>
      </x:c>
      <x:c r="P147" s="32" t="str">
        <x:f>IF($H147="","",'03_Functionalities'!$K147)</x:f>
      </x:c>
      <x:c r="Q147" s="32" t="str">
        <x:f>IF($H147="","",'03_Functionalities'!$L147)</x:f>
      </x:c>
      <x:c r="R147" s="32" t="str">
        <x:f>IF($H147="","",'03_Functionalities'!$M147)</x:f>
      </x:c>
      <x:c r="S147" s="32" t="str">
        <x:f>IF($H147="","",'03_Functionalities'!$N147)</x:f>
      </x:c>
      <x:c r="T147" s="32" t="str">
        <x:f>IF($H147="","",'03_Functionalities'!$O147)</x:f>
      </x:c>
      <x:c r="U147" s="32" t="str">
        <x:f>IF($A147="","",IFERROR(XLOOKUP($A147,'01_Products'!$A$5:$A$500,'01_Products'!$G$5:$G$500),""))</x:f>
      </x:c>
      <x:c r="V147" s="32" t="str">
        <x:f>IF($D147="","",IFERROR(XLOOKUP($D147,'02_Features'!$A$5:$A$1000,'02_Features'!$J$5:$J$1000),""))</x:f>
      </x:c>
      <x:c r="W147" s="32" t="str">
        <x:f>IF($H147="","",'03_Functionalities'!$P147)</x:f>
      </x:c>
      <x:c r="X147" s="32" t="str">
        <x:f>IF($H147="","",'03_Functionalities'!$Q147)</x:f>
      </x:c>
      <x:c r="Y147" s="38"/>
      <x:c r="Z147" s="38"/>
    </x:row>
    <x:row r="148" ht="18" customHeight="1">
      <x:c r="A148" s="32" t="str">
        <x:f>IF('03_Functionalities'!$A148="","",'03_Functionalities'!$C148)</x:f>
      </x:c>
      <x:c r="B148" s="32" t="str">
        <x:f>IF($A148="","",IFERROR(XLOOKUP($A148,'01_Products'!$A$5:$A$500,'01_Products'!$B$5:$B$500),""))</x:f>
      </x:c>
      <x:c r="C148" s="32" t="str">
        <x:f>IF($A148="","",IFERROR(XLOOKUP($A148,'01_Products'!$A$5:$A$500,'01_Products'!$C$5:$C$500),""))</x:f>
      </x:c>
      <x:c r="D148" s="32" t="str">
        <x:f>IF('03_Functionalities'!$A148="","",'03_Functionalities'!$B148)</x:f>
      </x:c>
      <x:c r="E148" s="32" t="str">
        <x:f>IF($D148="","",IFERROR(XLOOKUP($D148,'02_Features'!$A$5:$A$1000,'02_Features'!$C$5:$C$1000),""))</x:f>
      </x:c>
      <x:c r="F148" s="32" t="str">
        <x:f>IF($D148="","",IFERROR(XLOOKUP($D148,'02_Features'!$A$5:$A$1000,'02_Features'!$D$5:$D$1000),""))</x:f>
      </x:c>
      <x:c r="G148" s="32" t="str">
        <x:f>IF($D148="","",IFERROR(XLOOKUP($D148,'02_Features'!$A$5:$A$1000,'02_Features'!$E$5:$E$1000),""))</x:f>
      </x:c>
      <x:c r="H148" s="32" t="str">
        <x:f>IF('03_Functionalities'!$A148="","",'03_Functionalities'!$A148)</x:f>
      </x:c>
      <x:c r="I148" s="32" t="str">
        <x:f>IF($H148="","",'03_Functionalities'!$D148)</x:f>
      </x:c>
      <x:c r="J148" s="32" t="str">
        <x:f>IF($H148="","",'03_Functionalities'!$E148)</x:f>
      </x:c>
      <x:c r="K148" s="32" t="str">
        <x:f>IF($H148="","",'03_Functionalities'!$F148)</x:f>
      </x:c>
      <x:c r="L148" s="32" t="str">
        <x:f>IF($H148="","",'03_Functionalities'!$G148)</x:f>
      </x:c>
      <x:c r="M148" s="32" t="str">
        <x:f>IF($H148="","",'03_Functionalities'!$H148)</x:f>
      </x:c>
      <x:c r="N148" s="32" t="str">
        <x:f>IF($H148="","",'03_Functionalities'!$I148)</x:f>
      </x:c>
      <x:c r="O148" s="32" t="str">
        <x:f>IF($H148="","",'03_Functionalities'!$J148)</x:f>
      </x:c>
      <x:c r="P148" s="32" t="str">
        <x:f>IF($H148="","",'03_Functionalities'!$K148)</x:f>
      </x:c>
      <x:c r="Q148" s="32" t="str">
        <x:f>IF($H148="","",'03_Functionalities'!$L148)</x:f>
      </x:c>
      <x:c r="R148" s="32" t="str">
        <x:f>IF($H148="","",'03_Functionalities'!$M148)</x:f>
      </x:c>
      <x:c r="S148" s="32" t="str">
        <x:f>IF($H148="","",'03_Functionalities'!$N148)</x:f>
      </x:c>
      <x:c r="T148" s="32" t="str">
        <x:f>IF($H148="","",'03_Functionalities'!$O148)</x:f>
      </x:c>
      <x:c r="U148" s="32" t="str">
        <x:f>IF($A148="","",IFERROR(XLOOKUP($A148,'01_Products'!$A$5:$A$500,'01_Products'!$G$5:$G$500),""))</x:f>
      </x:c>
      <x:c r="V148" s="32" t="str">
        <x:f>IF($D148="","",IFERROR(XLOOKUP($D148,'02_Features'!$A$5:$A$1000,'02_Features'!$J$5:$J$1000),""))</x:f>
      </x:c>
      <x:c r="W148" s="32" t="str">
        <x:f>IF($H148="","",'03_Functionalities'!$P148)</x:f>
      </x:c>
      <x:c r="X148" s="32" t="str">
        <x:f>IF($H148="","",'03_Functionalities'!$Q148)</x:f>
      </x:c>
      <x:c r="Y148" s="38"/>
      <x:c r="Z148" s="38"/>
    </x:row>
    <x:row r="149" ht="18" customHeight="1">
      <x:c r="A149" s="32" t="str">
        <x:f>IF('03_Functionalities'!$A149="","",'03_Functionalities'!$C149)</x:f>
      </x:c>
      <x:c r="B149" s="32" t="str">
        <x:f>IF($A149="","",IFERROR(XLOOKUP($A149,'01_Products'!$A$5:$A$500,'01_Products'!$B$5:$B$500),""))</x:f>
      </x:c>
      <x:c r="C149" s="32" t="str">
        <x:f>IF($A149="","",IFERROR(XLOOKUP($A149,'01_Products'!$A$5:$A$500,'01_Products'!$C$5:$C$500),""))</x:f>
      </x:c>
      <x:c r="D149" s="32" t="str">
        <x:f>IF('03_Functionalities'!$A149="","",'03_Functionalities'!$B149)</x:f>
      </x:c>
      <x:c r="E149" s="32" t="str">
        <x:f>IF($D149="","",IFERROR(XLOOKUP($D149,'02_Features'!$A$5:$A$1000,'02_Features'!$C$5:$C$1000),""))</x:f>
      </x:c>
      <x:c r="F149" s="32" t="str">
        <x:f>IF($D149="","",IFERROR(XLOOKUP($D149,'02_Features'!$A$5:$A$1000,'02_Features'!$D$5:$D$1000),""))</x:f>
      </x:c>
      <x:c r="G149" s="32" t="str">
        <x:f>IF($D149="","",IFERROR(XLOOKUP($D149,'02_Features'!$A$5:$A$1000,'02_Features'!$E$5:$E$1000),""))</x:f>
      </x:c>
      <x:c r="H149" s="32" t="str">
        <x:f>IF('03_Functionalities'!$A149="","",'03_Functionalities'!$A149)</x:f>
      </x:c>
      <x:c r="I149" s="32" t="str">
        <x:f>IF($H149="","",'03_Functionalities'!$D149)</x:f>
      </x:c>
      <x:c r="J149" s="32" t="str">
        <x:f>IF($H149="","",'03_Functionalities'!$E149)</x:f>
      </x:c>
      <x:c r="K149" s="32" t="str">
        <x:f>IF($H149="","",'03_Functionalities'!$F149)</x:f>
      </x:c>
      <x:c r="L149" s="32" t="str">
        <x:f>IF($H149="","",'03_Functionalities'!$G149)</x:f>
      </x:c>
      <x:c r="M149" s="32" t="str">
        <x:f>IF($H149="","",'03_Functionalities'!$H149)</x:f>
      </x:c>
      <x:c r="N149" s="32" t="str">
        <x:f>IF($H149="","",'03_Functionalities'!$I149)</x:f>
      </x:c>
      <x:c r="O149" s="32" t="str">
        <x:f>IF($H149="","",'03_Functionalities'!$J149)</x:f>
      </x:c>
      <x:c r="P149" s="32" t="str">
        <x:f>IF($H149="","",'03_Functionalities'!$K149)</x:f>
      </x:c>
      <x:c r="Q149" s="32" t="str">
        <x:f>IF($H149="","",'03_Functionalities'!$L149)</x:f>
      </x:c>
      <x:c r="R149" s="32" t="str">
        <x:f>IF($H149="","",'03_Functionalities'!$M149)</x:f>
      </x:c>
      <x:c r="S149" s="32" t="str">
        <x:f>IF($H149="","",'03_Functionalities'!$N149)</x:f>
      </x:c>
      <x:c r="T149" s="32" t="str">
        <x:f>IF($H149="","",'03_Functionalities'!$O149)</x:f>
      </x:c>
      <x:c r="U149" s="32" t="str">
        <x:f>IF($A149="","",IFERROR(XLOOKUP($A149,'01_Products'!$A$5:$A$500,'01_Products'!$G$5:$G$500),""))</x:f>
      </x:c>
      <x:c r="V149" s="32" t="str">
        <x:f>IF($D149="","",IFERROR(XLOOKUP($D149,'02_Features'!$A$5:$A$1000,'02_Features'!$J$5:$J$1000),""))</x:f>
      </x:c>
      <x:c r="W149" s="32" t="str">
        <x:f>IF($H149="","",'03_Functionalities'!$P149)</x:f>
      </x:c>
      <x:c r="X149" s="32" t="str">
        <x:f>IF($H149="","",'03_Functionalities'!$Q149)</x:f>
      </x:c>
      <x:c r="Y149" s="38"/>
      <x:c r="Z149" s="38"/>
    </x:row>
    <x:row r="150" ht="18" customHeight="1">
      <x:c r="A150" s="32" t="str">
        <x:f>IF('03_Functionalities'!$A150="","",'03_Functionalities'!$C150)</x:f>
      </x:c>
      <x:c r="B150" s="32" t="str">
        <x:f>IF($A150="","",IFERROR(XLOOKUP($A150,'01_Products'!$A$5:$A$500,'01_Products'!$B$5:$B$500),""))</x:f>
      </x:c>
      <x:c r="C150" s="32" t="str">
        <x:f>IF($A150="","",IFERROR(XLOOKUP($A150,'01_Products'!$A$5:$A$500,'01_Products'!$C$5:$C$500),""))</x:f>
      </x:c>
      <x:c r="D150" s="32" t="str">
        <x:f>IF('03_Functionalities'!$A150="","",'03_Functionalities'!$B150)</x:f>
      </x:c>
      <x:c r="E150" s="32" t="str">
        <x:f>IF($D150="","",IFERROR(XLOOKUP($D150,'02_Features'!$A$5:$A$1000,'02_Features'!$C$5:$C$1000),""))</x:f>
      </x:c>
      <x:c r="F150" s="32" t="str">
        <x:f>IF($D150="","",IFERROR(XLOOKUP($D150,'02_Features'!$A$5:$A$1000,'02_Features'!$D$5:$D$1000),""))</x:f>
      </x:c>
      <x:c r="G150" s="32" t="str">
        <x:f>IF($D150="","",IFERROR(XLOOKUP($D150,'02_Features'!$A$5:$A$1000,'02_Features'!$E$5:$E$1000),""))</x:f>
      </x:c>
      <x:c r="H150" s="32" t="str">
        <x:f>IF('03_Functionalities'!$A150="","",'03_Functionalities'!$A150)</x:f>
      </x:c>
      <x:c r="I150" s="32" t="str">
        <x:f>IF($H150="","",'03_Functionalities'!$D150)</x:f>
      </x:c>
      <x:c r="J150" s="32" t="str">
        <x:f>IF($H150="","",'03_Functionalities'!$E150)</x:f>
      </x:c>
      <x:c r="K150" s="32" t="str">
        <x:f>IF($H150="","",'03_Functionalities'!$F150)</x:f>
      </x:c>
      <x:c r="L150" s="32" t="str">
        <x:f>IF($H150="","",'03_Functionalities'!$G150)</x:f>
      </x:c>
      <x:c r="M150" s="32" t="str">
        <x:f>IF($H150="","",'03_Functionalities'!$H150)</x:f>
      </x:c>
      <x:c r="N150" s="32" t="str">
        <x:f>IF($H150="","",'03_Functionalities'!$I150)</x:f>
      </x:c>
      <x:c r="O150" s="32" t="str">
        <x:f>IF($H150="","",'03_Functionalities'!$J150)</x:f>
      </x:c>
      <x:c r="P150" s="32" t="str">
        <x:f>IF($H150="","",'03_Functionalities'!$K150)</x:f>
      </x:c>
      <x:c r="Q150" s="32" t="str">
        <x:f>IF($H150="","",'03_Functionalities'!$L150)</x:f>
      </x:c>
      <x:c r="R150" s="32" t="str">
        <x:f>IF($H150="","",'03_Functionalities'!$M150)</x:f>
      </x:c>
      <x:c r="S150" s="32" t="str">
        <x:f>IF($H150="","",'03_Functionalities'!$N150)</x:f>
      </x:c>
      <x:c r="T150" s="32" t="str">
        <x:f>IF($H150="","",'03_Functionalities'!$O150)</x:f>
      </x:c>
      <x:c r="U150" s="32" t="str">
        <x:f>IF($A150="","",IFERROR(XLOOKUP($A150,'01_Products'!$A$5:$A$500,'01_Products'!$G$5:$G$500),""))</x:f>
      </x:c>
      <x:c r="V150" s="32" t="str">
        <x:f>IF($D150="","",IFERROR(XLOOKUP($D150,'02_Features'!$A$5:$A$1000,'02_Features'!$J$5:$J$1000),""))</x:f>
      </x:c>
      <x:c r="W150" s="32" t="str">
        <x:f>IF($H150="","",'03_Functionalities'!$P150)</x:f>
      </x:c>
      <x:c r="X150" s="32" t="str">
        <x:f>IF($H150="","",'03_Functionalities'!$Q150)</x:f>
      </x:c>
      <x:c r="Y150" s="38"/>
      <x:c r="Z150" s="38"/>
    </x:row>
    <x:row r="151" ht="18" customHeight="1">
      <x:c r="A151" s="32" t="str">
        <x:f>IF('03_Functionalities'!$A151="","",'03_Functionalities'!$C151)</x:f>
      </x:c>
      <x:c r="B151" s="32" t="str">
        <x:f>IF($A151="","",IFERROR(XLOOKUP($A151,'01_Products'!$A$5:$A$500,'01_Products'!$B$5:$B$500),""))</x:f>
      </x:c>
      <x:c r="C151" s="32" t="str">
        <x:f>IF($A151="","",IFERROR(XLOOKUP($A151,'01_Products'!$A$5:$A$500,'01_Products'!$C$5:$C$500),""))</x:f>
      </x:c>
      <x:c r="D151" s="32" t="str">
        <x:f>IF('03_Functionalities'!$A151="","",'03_Functionalities'!$B151)</x:f>
      </x:c>
      <x:c r="E151" s="32" t="str">
        <x:f>IF($D151="","",IFERROR(XLOOKUP($D151,'02_Features'!$A$5:$A$1000,'02_Features'!$C$5:$C$1000),""))</x:f>
      </x:c>
      <x:c r="F151" s="32" t="str">
        <x:f>IF($D151="","",IFERROR(XLOOKUP($D151,'02_Features'!$A$5:$A$1000,'02_Features'!$D$5:$D$1000),""))</x:f>
      </x:c>
      <x:c r="G151" s="32" t="str">
        <x:f>IF($D151="","",IFERROR(XLOOKUP($D151,'02_Features'!$A$5:$A$1000,'02_Features'!$E$5:$E$1000),""))</x:f>
      </x:c>
      <x:c r="H151" s="32" t="str">
        <x:f>IF('03_Functionalities'!$A151="","",'03_Functionalities'!$A151)</x:f>
      </x:c>
      <x:c r="I151" s="32" t="str">
        <x:f>IF($H151="","",'03_Functionalities'!$D151)</x:f>
      </x:c>
      <x:c r="J151" s="32" t="str">
        <x:f>IF($H151="","",'03_Functionalities'!$E151)</x:f>
      </x:c>
      <x:c r="K151" s="32" t="str">
        <x:f>IF($H151="","",'03_Functionalities'!$F151)</x:f>
      </x:c>
      <x:c r="L151" s="32" t="str">
        <x:f>IF($H151="","",'03_Functionalities'!$G151)</x:f>
      </x:c>
      <x:c r="M151" s="32" t="str">
        <x:f>IF($H151="","",'03_Functionalities'!$H151)</x:f>
      </x:c>
      <x:c r="N151" s="32" t="str">
        <x:f>IF($H151="","",'03_Functionalities'!$I151)</x:f>
      </x:c>
      <x:c r="O151" s="32" t="str">
        <x:f>IF($H151="","",'03_Functionalities'!$J151)</x:f>
      </x:c>
      <x:c r="P151" s="32" t="str">
        <x:f>IF($H151="","",'03_Functionalities'!$K151)</x:f>
      </x:c>
      <x:c r="Q151" s="32" t="str">
        <x:f>IF($H151="","",'03_Functionalities'!$L151)</x:f>
      </x:c>
      <x:c r="R151" s="32" t="str">
        <x:f>IF($H151="","",'03_Functionalities'!$M151)</x:f>
      </x:c>
      <x:c r="S151" s="32" t="str">
        <x:f>IF($H151="","",'03_Functionalities'!$N151)</x:f>
      </x:c>
      <x:c r="T151" s="32" t="str">
        <x:f>IF($H151="","",'03_Functionalities'!$O151)</x:f>
      </x:c>
      <x:c r="U151" s="32" t="str">
        <x:f>IF($A151="","",IFERROR(XLOOKUP($A151,'01_Products'!$A$5:$A$500,'01_Products'!$G$5:$G$500),""))</x:f>
      </x:c>
      <x:c r="V151" s="32" t="str">
        <x:f>IF($D151="","",IFERROR(XLOOKUP($D151,'02_Features'!$A$5:$A$1000,'02_Features'!$J$5:$J$1000),""))</x:f>
      </x:c>
      <x:c r="W151" s="32" t="str">
        <x:f>IF($H151="","",'03_Functionalities'!$P151)</x:f>
      </x:c>
      <x:c r="X151" s="32" t="str">
        <x:f>IF($H151="","",'03_Functionalities'!$Q151)</x:f>
      </x:c>
      <x:c r="Y151" s="38"/>
      <x:c r="Z151" s="38"/>
    </x:row>
    <x:row r="152" ht="18" customHeight="1">
      <x:c r="A152" s="32" t="str">
        <x:f>IF('03_Functionalities'!$A152="","",'03_Functionalities'!$C152)</x:f>
      </x:c>
      <x:c r="B152" s="32" t="str">
        <x:f>IF($A152="","",IFERROR(XLOOKUP($A152,'01_Products'!$A$5:$A$500,'01_Products'!$B$5:$B$500),""))</x:f>
      </x:c>
      <x:c r="C152" s="32" t="str">
        <x:f>IF($A152="","",IFERROR(XLOOKUP($A152,'01_Products'!$A$5:$A$500,'01_Products'!$C$5:$C$500),""))</x:f>
      </x:c>
      <x:c r="D152" s="32" t="str">
        <x:f>IF('03_Functionalities'!$A152="","",'03_Functionalities'!$B152)</x:f>
      </x:c>
      <x:c r="E152" s="32" t="str">
        <x:f>IF($D152="","",IFERROR(XLOOKUP($D152,'02_Features'!$A$5:$A$1000,'02_Features'!$C$5:$C$1000),""))</x:f>
      </x:c>
      <x:c r="F152" s="32" t="str">
        <x:f>IF($D152="","",IFERROR(XLOOKUP($D152,'02_Features'!$A$5:$A$1000,'02_Features'!$D$5:$D$1000),""))</x:f>
      </x:c>
      <x:c r="G152" s="32" t="str">
        <x:f>IF($D152="","",IFERROR(XLOOKUP($D152,'02_Features'!$A$5:$A$1000,'02_Features'!$E$5:$E$1000),""))</x:f>
      </x:c>
      <x:c r="H152" s="32" t="str">
        <x:f>IF('03_Functionalities'!$A152="","",'03_Functionalities'!$A152)</x:f>
      </x:c>
      <x:c r="I152" s="32" t="str">
        <x:f>IF($H152="","",'03_Functionalities'!$D152)</x:f>
      </x:c>
      <x:c r="J152" s="32" t="str">
        <x:f>IF($H152="","",'03_Functionalities'!$E152)</x:f>
      </x:c>
      <x:c r="K152" s="32" t="str">
        <x:f>IF($H152="","",'03_Functionalities'!$F152)</x:f>
      </x:c>
      <x:c r="L152" s="32" t="str">
        <x:f>IF($H152="","",'03_Functionalities'!$G152)</x:f>
      </x:c>
      <x:c r="M152" s="32" t="str">
        <x:f>IF($H152="","",'03_Functionalities'!$H152)</x:f>
      </x:c>
      <x:c r="N152" s="32" t="str">
        <x:f>IF($H152="","",'03_Functionalities'!$I152)</x:f>
      </x:c>
      <x:c r="O152" s="32" t="str">
        <x:f>IF($H152="","",'03_Functionalities'!$J152)</x:f>
      </x:c>
      <x:c r="P152" s="32" t="str">
        <x:f>IF($H152="","",'03_Functionalities'!$K152)</x:f>
      </x:c>
      <x:c r="Q152" s="32" t="str">
        <x:f>IF($H152="","",'03_Functionalities'!$L152)</x:f>
      </x:c>
      <x:c r="R152" s="32" t="str">
        <x:f>IF($H152="","",'03_Functionalities'!$M152)</x:f>
      </x:c>
      <x:c r="S152" s="32" t="str">
        <x:f>IF($H152="","",'03_Functionalities'!$N152)</x:f>
      </x:c>
      <x:c r="T152" s="32" t="str">
        <x:f>IF($H152="","",'03_Functionalities'!$O152)</x:f>
      </x:c>
      <x:c r="U152" s="32" t="str">
        <x:f>IF($A152="","",IFERROR(XLOOKUP($A152,'01_Products'!$A$5:$A$500,'01_Products'!$G$5:$G$500),""))</x:f>
      </x:c>
      <x:c r="V152" s="32" t="str">
        <x:f>IF($D152="","",IFERROR(XLOOKUP($D152,'02_Features'!$A$5:$A$1000,'02_Features'!$J$5:$J$1000),""))</x:f>
      </x:c>
      <x:c r="W152" s="32" t="str">
        <x:f>IF($H152="","",'03_Functionalities'!$P152)</x:f>
      </x:c>
      <x:c r="X152" s="32" t="str">
        <x:f>IF($H152="","",'03_Functionalities'!$Q152)</x:f>
      </x:c>
      <x:c r="Y152" s="38"/>
      <x:c r="Z152" s="38"/>
    </x:row>
    <x:row r="153" ht="18" customHeight="1">
      <x:c r="A153" s="32" t="str">
        <x:f>IF('03_Functionalities'!$A153="","",'03_Functionalities'!$C153)</x:f>
      </x:c>
      <x:c r="B153" s="32" t="str">
        <x:f>IF($A153="","",IFERROR(XLOOKUP($A153,'01_Products'!$A$5:$A$500,'01_Products'!$B$5:$B$500),""))</x:f>
      </x:c>
      <x:c r="C153" s="32" t="str">
        <x:f>IF($A153="","",IFERROR(XLOOKUP($A153,'01_Products'!$A$5:$A$500,'01_Products'!$C$5:$C$500),""))</x:f>
      </x:c>
      <x:c r="D153" s="32" t="str">
        <x:f>IF('03_Functionalities'!$A153="","",'03_Functionalities'!$B153)</x:f>
      </x:c>
      <x:c r="E153" s="32" t="str">
        <x:f>IF($D153="","",IFERROR(XLOOKUP($D153,'02_Features'!$A$5:$A$1000,'02_Features'!$C$5:$C$1000),""))</x:f>
      </x:c>
      <x:c r="F153" s="32" t="str">
        <x:f>IF($D153="","",IFERROR(XLOOKUP($D153,'02_Features'!$A$5:$A$1000,'02_Features'!$D$5:$D$1000),""))</x:f>
      </x:c>
      <x:c r="G153" s="32" t="str">
        <x:f>IF($D153="","",IFERROR(XLOOKUP($D153,'02_Features'!$A$5:$A$1000,'02_Features'!$E$5:$E$1000),""))</x:f>
      </x:c>
      <x:c r="H153" s="32" t="str">
        <x:f>IF('03_Functionalities'!$A153="","",'03_Functionalities'!$A153)</x:f>
      </x:c>
      <x:c r="I153" s="32" t="str">
        <x:f>IF($H153="","",'03_Functionalities'!$D153)</x:f>
      </x:c>
      <x:c r="J153" s="32" t="str">
        <x:f>IF($H153="","",'03_Functionalities'!$E153)</x:f>
      </x:c>
      <x:c r="K153" s="32" t="str">
        <x:f>IF($H153="","",'03_Functionalities'!$F153)</x:f>
      </x:c>
      <x:c r="L153" s="32" t="str">
        <x:f>IF($H153="","",'03_Functionalities'!$G153)</x:f>
      </x:c>
      <x:c r="M153" s="32" t="str">
        <x:f>IF($H153="","",'03_Functionalities'!$H153)</x:f>
      </x:c>
      <x:c r="N153" s="32" t="str">
        <x:f>IF($H153="","",'03_Functionalities'!$I153)</x:f>
      </x:c>
      <x:c r="O153" s="32" t="str">
        <x:f>IF($H153="","",'03_Functionalities'!$J153)</x:f>
      </x:c>
      <x:c r="P153" s="32" t="str">
        <x:f>IF($H153="","",'03_Functionalities'!$K153)</x:f>
      </x:c>
      <x:c r="Q153" s="32" t="str">
        <x:f>IF($H153="","",'03_Functionalities'!$L153)</x:f>
      </x:c>
      <x:c r="R153" s="32" t="str">
        <x:f>IF($H153="","",'03_Functionalities'!$M153)</x:f>
      </x:c>
      <x:c r="S153" s="32" t="str">
        <x:f>IF($H153="","",'03_Functionalities'!$N153)</x:f>
      </x:c>
      <x:c r="T153" s="32" t="str">
        <x:f>IF($H153="","",'03_Functionalities'!$O153)</x:f>
      </x:c>
      <x:c r="U153" s="32" t="str">
        <x:f>IF($A153="","",IFERROR(XLOOKUP($A153,'01_Products'!$A$5:$A$500,'01_Products'!$G$5:$G$500),""))</x:f>
      </x:c>
      <x:c r="V153" s="32" t="str">
        <x:f>IF($D153="","",IFERROR(XLOOKUP($D153,'02_Features'!$A$5:$A$1000,'02_Features'!$J$5:$J$1000),""))</x:f>
      </x:c>
      <x:c r="W153" s="32" t="str">
        <x:f>IF($H153="","",'03_Functionalities'!$P153)</x:f>
      </x:c>
      <x:c r="X153" s="32" t="str">
        <x:f>IF($H153="","",'03_Functionalities'!$Q153)</x:f>
      </x:c>
      <x:c r="Y153" s="38"/>
      <x:c r="Z153" s="38"/>
    </x:row>
    <x:row r="154" ht="18" customHeight="1">
      <x:c r="A154" s="32" t="str">
        <x:f>IF('03_Functionalities'!$A154="","",'03_Functionalities'!$C154)</x:f>
      </x:c>
      <x:c r="B154" s="32" t="str">
        <x:f>IF($A154="","",IFERROR(XLOOKUP($A154,'01_Products'!$A$5:$A$500,'01_Products'!$B$5:$B$500),""))</x:f>
      </x:c>
      <x:c r="C154" s="32" t="str">
        <x:f>IF($A154="","",IFERROR(XLOOKUP($A154,'01_Products'!$A$5:$A$500,'01_Products'!$C$5:$C$500),""))</x:f>
      </x:c>
      <x:c r="D154" s="32" t="str">
        <x:f>IF('03_Functionalities'!$A154="","",'03_Functionalities'!$B154)</x:f>
      </x:c>
      <x:c r="E154" s="32" t="str">
        <x:f>IF($D154="","",IFERROR(XLOOKUP($D154,'02_Features'!$A$5:$A$1000,'02_Features'!$C$5:$C$1000),""))</x:f>
      </x:c>
      <x:c r="F154" s="32" t="str">
        <x:f>IF($D154="","",IFERROR(XLOOKUP($D154,'02_Features'!$A$5:$A$1000,'02_Features'!$D$5:$D$1000),""))</x:f>
      </x:c>
      <x:c r="G154" s="32" t="str">
        <x:f>IF($D154="","",IFERROR(XLOOKUP($D154,'02_Features'!$A$5:$A$1000,'02_Features'!$E$5:$E$1000),""))</x:f>
      </x:c>
      <x:c r="H154" s="32" t="str">
        <x:f>IF('03_Functionalities'!$A154="","",'03_Functionalities'!$A154)</x:f>
      </x:c>
      <x:c r="I154" s="32" t="str">
        <x:f>IF($H154="","",'03_Functionalities'!$D154)</x:f>
      </x:c>
      <x:c r="J154" s="32" t="str">
        <x:f>IF($H154="","",'03_Functionalities'!$E154)</x:f>
      </x:c>
      <x:c r="K154" s="32" t="str">
        <x:f>IF($H154="","",'03_Functionalities'!$F154)</x:f>
      </x:c>
      <x:c r="L154" s="32" t="str">
        <x:f>IF($H154="","",'03_Functionalities'!$G154)</x:f>
      </x:c>
      <x:c r="M154" s="32" t="str">
        <x:f>IF($H154="","",'03_Functionalities'!$H154)</x:f>
      </x:c>
      <x:c r="N154" s="32" t="str">
        <x:f>IF($H154="","",'03_Functionalities'!$I154)</x:f>
      </x:c>
      <x:c r="O154" s="32" t="str">
        <x:f>IF($H154="","",'03_Functionalities'!$J154)</x:f>
      </x:c>
      <x:c r="P154" s="32" t="str">
        <x:f>IF($H154="","",'03_Functionalities'!$K154)</x:f>
      </x:c>
      <x:c r="Q154" s="32" t="str">
        <x:f>IF($H154="","",'03_Functionalities'!$L154)</x:f>
      </x:c>
      <x:c r="R154" s="32" t="str">
        <x:f>IF($H154="","",'03_Functionalities'!$M154)</x:f>
      </x:c>
      <x:c r="S154" s="32" t="str">
        <x:f>IF($H154="","",'03_Functionalities'!$N154)</x:f>
      </x:c>
      <x:c r="T154" s="32" t="str">
        <x:f>IF($H154="","",'03_Functionalities'!$O154)</x:f>
      </x:c>
      <x:c r="U154" s="32" t="str">
        <x:f>IF($A154="","",IFERROR(XLOOKUP($A154,'01_Products'!$A$5:$A$500,'01_Products'!$G$5:$G$500),""))</x:f>
      </x:c>
      <x:c r="V154" s="32" t="str">
        <x:f>IF($D154="","",IFERROR(XLOOKUP($D154,'02_Features'!$A$5:$A$1000,'02_Features'!$J$5:$J$1000),""))</x:f>
      </x:c>
      <x:c r="W154" s="32" t="str">
        <x:f>IF($H154="","",'03_Functionalities'!$P154)</x:f>
      </x:c>
      <x:c r="X154" s="32" t="str">
        <x:f>IF($H154="","",'03_Functionalities'!$Q154)</x:f>
      </x:c>
      <x:c r="Y154" s="38"/>
      <x:c r="Z154" s="38"/>
    </x:row>
    <x:row r="155" ht="18" customHeight="1">
      <x:c r="A155" s="32" t="str">
        <x:f>IF('03_Functionalities'!$A155="","",'03_Functionalities'!$C155)</x:f>
      </x:c>
      <x:c r="B155" s="32" t="str">
        <x:f>IF($A155="","",IFERROR(XLOOKUP($A155,'01_Products'!$A$5:$A$500,'01_Products'!$B$5:$B$500),""))</x:f>
      </x:c>
      <x:c r="C155" s="32" t="str">
        <x:f>IF($A155="","",IFERROR(XLOOKUP($A155,'01_Products'!$A$5:$A$500,'01_Products'!$C$5:$C$500),""))</x:f>
      </x:c>
      <x:c r="D155" s="32" t="str">
        <x:f>IF('03_Functionalities'!$A155="","",'03_Functionalities'!$B155)</x:f>
      </x:c>
      <x:c r="E155" s="32" t="str">
        <x:f>IF($D155="","",IFERROR(XLOOKUP($D155,'02_Features'!$A$5:$A$1000,'02_Features'!$C$5:$C$1000),""))</x:f>
      </x:c>
      <x:c r="F155" s="32" t="str">
        <x:f>IF($D155="","",IFERROR(XLOOKUP($D155,'02_Features'!$A$5:$A$1000,'02_Features'!$D$5:$D$1000),""))</x:f>
      </x:c>
      <x:c r="G155" s="32" t="str">
        <x:f>IF($D155="","",IFERROR(XLOOKUP($D155,'02_Features'!$A$5:$A$1000,'02_Features'!$E$5:$E$1000),""))</x:f>
      </x:c>
      <x:c r="H155" s="32" t="str">
        <x:f>IF('03_Functionalities'!$A155="","",'03_Functionalities'!$A155)</x:f>
      </x:c>
      <x:c r="I155" s="32" t="str">
        <x:f>IF($H155="","",'03_Functionalities'!$D155)</x:f>
      </x:c>
      <x:c r="J155" s="32" t="str">
        <x:f>IF($H155="","",'03_Functionalities'!$E155)</x:f>
      </x:c>
      <x:c r="K155" s="32" t="str">
        <x:f>IF($H155="","",'03_Functionalities'!$F155)</x:f>
      </x:c>
      <x:c r="L155" s="32" t="str">
        <x:f>IF($H155="","",'03_Functionalities'!$G155)</x:f>
      </x:c>
      <x:c r="M155" s="32" t="str">
        <x:f>IF($H155="","",'03_Functionalities'!$H155)</x:f>
      </x:c>
      <x:c r="N155" s="32" t="str">
        <x:f>IF($H155="","",'03_Functionalities'!$I155)</x:f>
      </x:c>
      <x:c r="O155" s="32" t="str">
        <x:f>IF($H155="","",'03_Functionalities'!$J155)</x:f>
      </x:c>
      <x:c r="P155" s="32" t="str">
        <x:f>IF($H155="","",'03_Functionalities'!$K155)</x:f>
      </x:c>
      <x:c r="Q155" s="32" t="str">
        <x:f>IF($H155="","",'03_Functionalities'!$L155)</x:f>
      </x:c>
      <x:c r="R155" s="32" t="str">
        <x:f>IF($H155="","",'03_Functionalities'!$M155)</x:f>
      </x:c>
      <x:c r="S155" s="32" t="str">
        <x:f>IF($H155="","",'03_Functionalities'!$N155)</x:f>
      </x:c>
      <x:c r="T155" s="32" t="str">
        <x:f>IF($H155="","",'03_Functionalities'!$O155)</x:f>
      </x:c>
      <x:c r="U155" s="32" t="str">
        <x:f>IF($A155="","",IFERROR(XLOOKUP($A155,'01_Products'!$A$5:$A$500,'01_Products'!$G$5:$G$500),""))</x:f>
      </x:c>
      <x:c r="V155" s="32" t="str">
        <x:f>IF($D155="","",IFERROR(XLOOKUP($D155,'02_Features'!$A$5:$A$1000,'02_Features'!$J$5:$J$1000),""))</x:f>
      </x:c>
      <x:c r="W155" s="32" t="str">
        <x:f>IF($H155="","",'03_Functionalities'!$P155)</x:f>
      </x:c>
      <x:c r="X155" s="32" t="str">
        <x:f>IF($H155="","",'03_Functionalities'!$Q155)</x:f>
      </x:c>
      <x:c r="Y155" s="38"/>
      <x:c r="Z155" s="38"/>
    </x:row>
    <x:row r="156" ht="18" customHeight="1">
      <x:c r="A156" s="32" t="str">
        <x:f>IF('03_Functionalities'!$A156="","",'03_Functionalities'!$C156)</x:f>
      </x:c>
      <x:c r="B156" s="32" t="str">
        <x:f>IF($A156="","",IFERROR(XLOOKUP($A156,'01_Products'!$A$5:$A$500,'01_Products'!$B$5:$B$500),""))</x:f>
      </x:c>
      <x:c r="C156" s="32" t="str">
        <x:f>IF($A156="","",IFERROR(XLOOKUP($A156,'01_Products'!$A$5:$A$500,'01_Products'!$C$5:$C$500),""))</x:f>
      </x:c>
      <x:c r="D156" s="32" t="str">
        <x:f>IF('03_Functionalities'!$A156="","",'03_Functionalities'!$B156)</x:f>
      </x:c>
      <x:c r="E156" s="32" t="str">
        <x:f>IF($D156="","",IFERROR(XLOOKUP($D156,'02_Features'!$A$5:$A$1000,'02_Features'!$C$5:$C$1000),""))</x:f>
      </x:c>
      <x:c r="F156" s="32" t="str">
        <x:f>IF($D156="","",IFERROR(XLOOKUP($D156,'02_Features'!$A$5:$A$1000,'02_Features'!$D$5:$D$1000),""))</x:f>
      </x:c>
      <x:c r="G156" s="32" t="str">
        <x:f>IF($D156="","",IFERROR(XLOOKUP($D156,'02_Features'!$A$5:$A$1000,'02_Features'!$E$5:$E$1000),""))</x:f>
      </x:c>
      <x:c r="H156" s="32" t="str">
        <x:f>IF('03_Functionalities'!$A156="","",'03_Functionalities'!$A156)</x:f>
      </x:c>
      <x:c r="I156" s="32" t="str">
        <x:f>IF($H156="","",'03_Functionalities'!$D156)</x:f>
      </x:c>
      <x:c r="J156" s="32" t="str">
        <x:f>IF($H156="","",'03_Functionalities'!$E156)</x:f>
      </x:c>
      <x:c r="K156" s="32" t="str">
        <x:f>IF($H156="","",'03_Functionalities'!$F156)</x:f>
      </x:c>
      <x:c r="L156" s="32" t="str">
        <x:f>IF($H156="","",'03_Functionalities'!$G156)</x:f>
      </x:c>
      <x:c r="M156" s="32" t="str">
        <x:f>IF($H156="","",'03_Functionalities'!$H156)</x:f>
      </x:c>
      <x:c r="N156" s="32" t="str">
        <x:f>IF($H156="","",'03_Functionalities'!$I156)</x:f>
      </x:c>
      <x:c r="O156" s="32" t="str">
        <x:f>IF($H156="","",'03_Functionalities'!$J156)</x:f>
      </x:c>
      <x:c r="P156" s="32" t="str">
        <x:f>IF($H156="","",'03_Functionalities'!$K156)</x:f>
      </x:c>
      <x:c r="Q156" s="32" t="str">
        <x:f>IF($H156="","",'03_Functionalities'!$L156)</x:f>
      </x:c>
      <x:c r="R156" s="32" t="str">
        <x:f>IF($H156="","",'03_Functionalities'!$M156)</x:f>
      </x:c>
      <x:c r="S156" s="32" t="str">
        <x:f>IF($H156="","",'03_Functionalities'!$N156)</x:f>
      </x:c>
      <x:c r="T156" s="32" t="str">
        <x:f>IF($H156="","",'03_Functionalities'!$O156)</x:f>
      </x:c>
      <x:c r="U156" s="32" t="str">
        <x:f>IF($A156="","",IFERROR(XLOOKUP($A156,'01_Products'!$A$5:$A$500,'01_Products'!$G$5:$G$500),""))</x:f>
      </x:c>
      <x:c r="V156" s="32" t="str">
        <x:f>IF($D156="","",IFERROR(XLOOKUP($D156,'02_Features'!$A$5:$A$1000,'02_Features'!$J$5:$J$1000),""))</x:f>
      </x:c>
      <x:c r="W156" s="32" t="str">
        <x:f>IF($H156="","",'03_Functionalities'!$P156)</x:f>
      </x:c>
      <x:c r="X156" s="32" t="str">
        <x:f>IF($H156="","",'03_Functionalities'!$Q156)</x:f>
      </x:c>
      <x:c r="Y156" s="38"/>
      <x:c r="Z156" s="38"/>
    </x:row>
    <x:row r="157" ht="18" customHeight="1">
      <x:c r="A157" s="32" t="str">
        <x:f>IF('03_Functionalities'!$A157="","",'03_Functionalities'!$C157)</x:f>
      </x:c>
      <x:c r="B157" s="32" t="str">
        <x:f>IF($A157="","",IFERROR(XLOOKUP($A157,'01_Products'!$A$5:$A$500,'01_Products'!$B$5:$B$500),""))</x:f>
      </x:c>
      <x:c r="C157" s="32" t="str">
        <x:f>IF($A157="","",IFERROR(XLOOKUP($A157,'01_Products'!$A$5:$A$500,'01_Products'!$C$5:$C$500),""))</x:f>
      </x:c>
      <x:c r="D157" s="32" t="str">
        <x:f>IF('03_Functionalities'!$A157="","",'03_Functionalities'!$B157)</x:f>
      </x:c>
      <x:c r="E157" s="32" t="str">
        <x:f>IF($D157="","",IFERROR(XLOOKUP($D157,'02_Features'!$A$5:$A$1000,'02_Features'!$C$5:$C$1000),""))</x:f>
      </x:c>
      <x:c r="F157" s="32" t="str">
        <x:f>IF($D157="","",IFERROR(XLOOKUP($D157,'02_Features'!$A$5:$A$1000,'02_Features'!$D$5:$D$1000),""))</x:f>
      </x:c>
      <x:c r="G157" s="32" t="str">
        <x:f>IF($D157="","",IFERROR(XLOOKUP($D157,'02_Features'!$A$5:$A$1000,'02_Features'!$E$5:$E$1000),""))</x:f>
      </x:c>
      <x:c r="H157" s="32" t="str">
        <x:f>IF('03_Functionalities'!$A157="","",'03_Functionalities'!$A157)</x:f>
      </x:c>
      <x:c r="I157" s="32" t="str">
        <x:f>IF($H157="","",'03_Functionalities'!$D157)</x:f>
      </x:c>
      <x:c r="J157" s="32" t="str">
        <x:f>IF($H157="","",'03_Functionalities'!$E157)</x:f>
      </x:c>
      <x:c r="K157" s="32" t="str">
        <x:f>IF($H157="","",'03_Functionalities'!$F157)</x:f>
      </x:c>
      <x:c r="L157" s="32" t="str">
        <x:f>IF($H157="","",'03_Functionalities'!$G157)</x:f>
      </x:c>
      <x:c r="M157" s="32" t="str">
        <x:f>IF($H157="","",'03_Functionalities'!$H157)</x:f>
      </x:c>
      <x:c r="N157" s="32" t="str">
        <x:f>IF($H157="","",'03_Functionalities'!$I157)</x:f>
      </x:c>
      <x:c r="O157" s="32" t="str">
        <x:f>IF($H157="","",'03_Functionalities'!$J157)</x:f>
      </x:c>
      <x:c r="P157" s="32" t="str">
        <x:f>IF($H157="","",'03_Functionalities'!$K157)</x:f>
      </x:c>
      <x:c r="Q157" s="32" t="str">
        <x:f>IF($H157="","",'03_Functionalities'!$L157)</x:f>
      </x:c>
      <x:c r="R157" s="32" t="str">
        <x:f>IF($H157="","",'03_Functionalities'!$M157)</x:f>
      </x:c>
      <x:c r="S157" s="32" t="str">
        <x:f>IF($H157="","",'03_Functionalities'!$N157)</x:f>
      </x:c>
      <x:c r="T157" s="32" t="str">
        <x:f>IF($H157="","",'03_Functionalities'!$O157)</x:f>
      </x:c>
      <x:c r="U157" s="32" t="str">
        <x:f>IF($A157="","",IFERROR(XLOOKUP($A157,'01_Products'!$A$5:$A$500,'01_Products'!$G$5:$G$500),""))</x:f>
      </x:c>
      <x:c r="V157" s="32" t="str">
        <x:f>IF($D157="","",IFERROR(XLOOKUP($D157,'02_Features'!$A$5:$A$1000,'02_Features'!$J$5:$J$1000),""))</x:f>
      </x:c>
      <x:c r="W157" s="32" t="str">
        <x:f>IF($H157="","",'03_Functionalities'!$P157)</x:f>
      </x:c>
      <x:c r="X157" s="32" t="str">
        <x:f>IF($H157="","",'03_Functionalities'!$Q157)</x:f>
      </x:c>
      <x:c r="Y157" s="38"/>
      <x:c r="Z157" s="38"/>
    </x:row>
    <x:row r="158" ht="18" customHeight="1">
      <x:c r="A158" s="32" t="str">
        <x:f>IF('03_Functionalities'!$A158="","",'03_Functionalities'!$C158)</x:f>
      </x:c>
      <x:c r="B158" s="32" t="str">
        <x:f>IF($A158="","",IFERROR(XLOOKUP($A158,'01_Products'!$A$5:$A$500,'01_Products'!$B$5:$B$500),""))</x:f>
      </x:c>
      <x:c r="C158" s="32" t="str">
        <x:f>IF($A158="","",IFERROR(XLOOKUP($A158,'01_Products'!$A$5:$A$500,'01_Products'!$C$5:$C$500),""))</x:f>
      </x:c>
      <x:c r="D158" s="32" t="str">
        <x:f>IF('03_Functionalities'!$A158="","",'03_Functionalities'!$B158)</x:f>
      </x:c>
      <x:c r="E158" s="32" t="str">
        <x:f>IF($D158="","",IFERROR(XLOOKUP($D158,'02_Features'!$A$5:$A$1000,'02_Features'!$C$5:$C$1000),""))</x:f>
      </x:c>
      <x:c r="F158" s="32" t="str">
        <x:f>IF($D158="","",IFERROR(XLOOKUP($D158,'02_Features'!$A$5:$A$1000,'02_Features'!$D$5:$D$1000),""))</x:f>
      </x:c>
      <x:c r="G158" s="32" t="str">
        <x:f>IF($D158="","",IFERROR(XLOOKUP($D158,'02_Features'!$A$5:$A$1000,'02_Features'!$E$5:$E$1000),""))</x:f>
      </x:c>
      <x:c r="H158" s="32" t="str">
        <x:f>IF('03_Functionalities'!$A158="","",'03_Functionalities'!$A158)</x:f>
      </x:c>
      <x:c r="I158" s="32" t="str">
        <x:f>IF($H158="","",'03_Functionalities'!$D158)</x:f>
      </x:c>
      <x:c r="J158" s="32" t="str">
        <x:f>IF($H158="","",'03_Functionalities'!$E158)</x:f>
      </x:c>
      <x:c r="K158" s="32" t="str">
        <x:f>IF($H158="","",'03_Functionalities'!$F158)</x:f>
      </x:c>
      <x:c r="L158" s="32" t="str">
        <x:f>IF($H158="","",'03_Functionalities'!$G158)</x:f>
      </x:c>
      <x:c r="M158" s="32" t="str">
        <x:f>IF($H158="","",'03_Functionalities'!$H158)</x:f>
      </x:c>
      <x:c r="N158" s="32" t="str">
        <x:f>IF($H158="","",'03_Functionalities'!$I158)</x:f>
      </x:c>
      <x:c r="O158" s="32" t="str">
        <x:f>IF($H158="","",'03_Functionalities'!$J158)</x:f>
      </x:c>
      <x:c r="P158" s="32" t="str">
        <x:f>IF($H158="","",'03_Functionalities'!$K158)</x:f>
      </x:c>
      <x:c r="Q158" s="32" t="str">
        <x:f>IF($H158="","",'03_Functionalities'!$L158)</x:f>
      </x:c>
      <x:c r="R158" s="32" t="str">
        <x:f>IF($H158="","",'03_Functionalities'!$M158)</x:f>
      </x:c>
      <x:c r="S158" s="32" t="str">
        <x:f>IF($H158="","",'03_Functionalities'!$N158)</x:f>
      </x:c>
      <x:c r="T158" s="32" t="str">
        <x:f>IF($H158="","",'03_Functionalities'!$O158)</x:f>
      </x:c>
      <x:c r="U158" s="32" t="str">
        <x:f>IF($A158="","",IFERROR(XLOOKUP($A158,'01_Products'!$A$5:$A$500,'01_Products'!$G$5:$G$500),""))</x:f>
      </x:c>
      <x:c r="V158" s="32" t="str">
        <x:f>IF($D158="","",IFERROR(XLOOKUP($D158,'02_Features'!$A$5:$A$1000,'02_Features'!$J$5:$J$1000),""))</x:f>
      </x:c>
      <x:c r="W158" s="32" t="str">
        <x:f>IF($H158="","",'03_Functionalities'!$P158)</x:f>
      </x:c>
      <x:c r="X158" s="32" t="str">
        <x:f>IF($H158="","",'03_Functionalities'!$Q158)</x:f>
      </x:c>
      <x:c r="Y158" s="38"/>
      <x:c r="Z158" s="38"/>
    </x:row>
    <x:row r="159" ht="18" customHeight="1">
      <x:c r="A159" s="32" t="str">
        <x:f>IF('03_Functionalities'!$A159="","",'03_Functionalities'!$C159)</x:f>
      </x:c>
      <x:c r="B159" s="32" t="str">
        <x:f>IF($A159="","",IFERROR(XLOOKUP($A159,'01_Products'!$A$5:$A$500,'01_Products'!$B$5:$B$500),""))</x:f>
      </x:c>
      <x:c r="C159" s="32" t="str">
        <x:f>IF($A159="","",IFERROR(XLOOKUP($A159,'01_Products'!$A$5:$A$500,'01_Products'!$C$5:$C$500),""))</x:f>
      </x:c>
      <x:c r="D159" s="32" t="str">
        <x:f>IF('03_Functionalities'!$A159="","",'03_Functionalities'!$B159)</x:f>
      </x:c>
      <x:c r="E159" s="32" t="str">
        <x:f>IF($D159="","",IFERROR(XLOOKUP($D159,'02_Features'!$A$5:$A$1000,'02_Features'!$C$5:$C$1000),""))</x:f>
      </x:c>
      <x:c r="F159" s="32" t="str">
        <x:f>IF($D159="","",IFERROR(XLOOKUP($D159,'02_Features'!$A$5:$A$1000,'02_Features'!$D$5:$D$1000),""))</x:f>
      </x:c>
      <x:c r="G159" s="32" t="str">
        <x:f>IF($D159="","",IFERROR(XLOOKUP($D159,'02_Features'!$A$5:$A$1000,'02_Features'!$E$5:$E$1000),""))</x:f>
      </x:c>
      <x:c r="H159" s="32" t="str">
        <x:f>IF('03_Functionalities'!$A159="","",'03_Functionalities'!$A159)</x:f>
      </x:c>
      <x:c r="I159" s="32" t="str">
        <x:f>IF($H159="","",'03_Functionalities'!$D159)</x:f>
      </x:c>
      <x:c r="J159" s="32" t="str">
        <x:f>IF($H159="","",'03_Functionalities'!$E159)</x:f>
      </x:c>
      <x:c r="K159" s="32" t="str">
        <x:f>IF($H159="","",'03_Functionalities'!$F159)</x:f>
      </x:c>
      <x:c r="L159" s="32" t="str">
        <x:f>IF($H159="","",'03_Functionalities'!$G159)</x:f>
      </x:c>
      <x:c r="M159" s="32" t="str">
        <x:f>IF($H159="","",'03_Functionalities'!$H159)</x:f>
      </x:c>
      <x:c r="N159" s="32" t="str">
        <x:f>IF($H159="","",'03_Functionalities'!$I159)</x:f>
      </x:c>
      <x:c r="O159" s="32" t="str">
        <x:f>IF($H159="","",'03_Functionalities'!$J159)</x:f>
      </x:c>
      <x:c r="P159" s="32" t="str">
        <x:f>IF($H159="","",'03_Functionalities'!$K159)</x:f>
      </x:c>
      <x:c r="Q159" s="32" t="str">
        <x:f>IF($H159="","",'03_Functionalities'!$L159)</x:f>
      </x:c>
      <x:c r="R159" s="32" t="str">
        <x:f>IF($H159="","",'03_Functionalities'!$M159)</x:f>
      </x:c>
      <x:c r="S159" s="32" t="str">
        <x:f>IF($H159="","",'03_Functionalities'!$N159)</x:f>
      </x:c>
      <x:c r="T159" s="32" t="str">
        <x:f>IF($H159="","",'03_Functionalities'!$O159)</x:f>
      </x:c>
      <x:c r="U159" s="32" t="str">
        <x:f>IF($A159="","",IFERROR(XLOOKUP($A159,'01_Products'!$A$5:$A$500,'01_Products'!$G$5:$G$500),""))</x:f>
      </x:c>
      <x:c r="V159" s="32" t="str">
        <x:f>IF($D159="","",IFERROR(XLOOKUP($D159,'02_Features'!$A$5:$A$1000,'02_Features'!$J$5:$J$1000),""))</x:f>
      </x:c>
      <x:c r="W159" s="32" t="str">
        <x:f>IF($H159="","",'03_Functionalities'!$P159)</x:f>
      </x:c>
      <x:c r="X159" s="32" t="str">
        <x:f>IF($H159="","",'03_Functionalities'!$Q159)</x:f>
      </x:c>
      <x:c r="Y159" s="38"/>
      <x:c r="Z159" s="38"/>
    </x:row>
    <x:row r="160" ht="18" customHeight="1">
      <x:c r="A160" s="32" t="str">
        <x:f>IF('03_Functionalities'!$A160="","",'03_Functionalities'!$C160)</x:f>
      </x:c>
      <x:c r="B160" s="32" t="str">
        <x:f>IF($A160="","",IFERROR(XLOOKUP($A160,'01_Products'!$A$5:$A$500,'01_Products'!$B$5:$B$500),""))</x:f>
      </x:c>
      <x:c r="C160" s="32" t="str">
        <x:f>IF($A160="","",IFERROR(XLOOKUP($A160,'01_Products'!$A$5:$A$500,'01_Products'!$C$5:$C$500),""))</x:f>
      </x:c>
      <x:c r="D160" s="32" t="str">
        <x:f>IF('03_Functionalities'!$A160="","",'03_Functionalities'!$B160)</x:f>
      </x:c>
      <x:c r="E160" s="32" t="str">
        <x:f>IF($D160="","",IFERROR(XLOOKUP($D160,'02_Features'!$A$5:$A$1000,'02_Features'!$C$5:$C$1000),""))</x:f>
      </x:c>
      <x:c r="F160" s="32" t="str">
        <x:f>IF($D160="","",IFERROR(XLOOKUP($D160,'02_Features'!$A$5:$A$1000,'02_Features'!$D$5:$D$1000),""))</x:f>
      </x:c>
      <x:c r="G160" s="32" t="str">
        <x:f>IF($D160="","",IFERROR(XLOOKUP($D160,'02_Features'!$A$5:$A$1000,'02_Features'!$E$5:$E$1000),""))</x:f>
      </x:c>
      <x:c r="H160" s="32" t="str">
        <x:f>IF('03_Functionalities'!$A160="","",'03_Functionalities'!$A160)</x:f>
      </x:c>
      <x:c r="I160" s="32" t="str">
        <x:f>IF($H160="","",'03_Functionalities'!$D160)</x:f>
      </x:c>
      <x:c r="J160" s="32" t="str">
        <x:f>IF($H160="","",'03_Functionalities'!$E160)</x:f>
      </x:c>
      <x:c r="K160" s="32" t="str">
        <x:f>IF($H160="","",'03_Functionalities'!$F160)</x:f>
      </x:c>
      <x:c r="L160" s="32" t="str">
        <x:f>IF($H160="","",'03_Functionalities'!$G160)</x:f>
      </x:c>
      <x:c r="M160" s="32" t="str">
        <x:f>IF($H160="","",'03_Functionalities'!$H160)</x:f>
      </x:c>
      <x:c r="N160" s="32" t="str">
        <x:f>IF($H160="","",'03_Functionalities'!$I160)</x:f>
      </x:c>
      <x:c r="O160" s="32" t="str">
        <x:f>IF($H160="","",'03_Functionalities'!$J160)</x:f>
      </x:c>
      <x:c r="P160" s="32" t="str">
        <x:f>IF($H160="","",'03_Functionalities'!$K160)</x:f>
      </x:c>
      <x:c r="Q160" s="32" t="str">
        <x:f>IF($H160="","",'03_Functionalities'!$L160)</x:f>
      </x:c>
      <x:c r="R160" s="32" t="str">
        <x:f>IF($H160="","",'03_Functionalities'!$M160)</x:f>
      </x:c>
      <x:c r="S160" s="32" t="str">
        <x:f>IF($H160="","",'03_Functionalities'!$N160)</x:f>
      </x:c>
      <x:c r="T160" s="32" t="str">
        <x:f>IF($H160="","",'03_Functionalities'!$O160)</x:f>
      </x:c>
      <x:c r="U160" s="32" t="str">
        <x:f>IF($A160="","",IFERROR(XLOOKUP($A160,'01_Products'!$A$5:$A$500,'01_Products'!$G$5:$G$500),""))</x:f>
      </x:c>
      <x:c r="V160" s="32" t="str">
        <x:f>IF($D160="","",IFERROR(XLOOKUP($D160,'02_Features'!$A$5:$A$1000,'02_Features'!$J$5:$J$1000),""))</x:f>
      </x:c>
      <x:c r="W160" s="32" t="str">
        <x:f>IF($H160="","",'03_Functionalities'!$P160)</x:f>
      </x:c>
      <x:c r="X160" s="32" t="str">
        <x:f>IF($H160="","",'03_Functionalities'!$Q160)</x:f>
      </x:c>
      <x:c r="Y160" s="38"/>
      <x:c r="Z160" s="38"/>
    </x:row>
    <x:row r="161" ht="18" customHeight="1">
      <x:c r="A161" s="32" t="str">
        <x:f>IF('03_Functionalities'!$A161="","",'03_Functionalities'!$C161)</x:f>
      </x:c>
      <x:c r="B161" s="32" t="str">
        <x:f>IF($A161="","",IFERROR(XLOOKUP($A161,'01_Products'!$A$5:$A$500,'01_Products'!$B$5:$B$500),""))</x:f>
      </x:c>
      <x:c r="C161" s="32" t="str">
        <x:f>IF($A161="","",IFERROR(XLOOKUP($A161,'01_Products'!$A$5:$A$500,'01_Products'!$C$5:$C$500),""))</x:f>
      </x:c>
      <x:c r="D161" s="32" t="str">
        <x:f>IF('03_Functionalities'!$A161="","",'03_Functionalities'!$B161)</x:f>
      </x:c>
      <x:c r="E161" s="32" t="str">
        <x:f>IF($D161="","",IFERROR(XLOOKUP($D161,'02_Features'!$A$5:$A$1000,'02_Features'!$C$5:$C$1000),""))</x:f>
      </x:c>
      <x:c r="F161" s="32" t="str">
        <x:f>IF($D161="","",IFERROR(XLOOKUP($D161,'02_Features'!$A$5:$A$1000,'02_Features'!$D$5:$D$1000),""))</x:f>
      </x:c>
      <x:c r="G161" s="32" t="str">
        <x:f>IF($D161="","",IFERROR(XLOOKUP($D161,'02_Features'!$A$5:$A$1000,'02_Features'!$E$5:$E$1000),""))</x:f>
      </x:c>
      <x:c r="H161" s="32" t="str">
        <x:f>IF('03_Functionalities'!$A161="","",'03_Functionalities'!$A161)</x:f>
      </x:c>
      <x:c r="I161" s="32" t="str">
        <x:f>IF($H161="","",'03_Functionalities'!$D161)</x:f>
      </x:c>
      <x:c r="J161" s="32" t="str">
        <x:f>IF($H161="","",'03_Functionalities'!$E161)</x:f>
      </x:c>
      <x:c r="K161" s="32" t="str">
        <x:f>IF($H161="","",'03_Functionalities'!$F161)</x:f>
      </x:c>
      <x:c r="L161" s="32" t="str">
        <x:f>IF($H161="","",'03_Functionalities'!$G161)</x:f>
      </x:c>
      <x:c r="M161" s="32" t="str">
        <x:f>IF($H161="","",'03_Functionalities'!$H161)</x:f>
      </x:c>
      <x:c r="N161" s="32" t="str">
        <x:f>IF($H161="","",'03_Functionalities'!$I161)</x:f>
      </x:c>
      <x:c r="O161" s="32" t="str">
        <x:f>IF($H161="","",'03_Functionalities'!$J161)</x:f>
      </x:c>
      <x:c r="P161" s="32" t="str">
        <x:f>IF($H161="","",'03_Functionalities'!$K161)</x:f>
      </x:c>
      <x:c r="Q161" s="32" t="str">
        <x:f>IF($H161="","",'03_Functionalities'!$L161)</x:f>
      </x:c>
      <x:c r="R161" s="32" t="str">
        <x:f>IF($H161="","",'03_Functionalities'!$M161)</x:f>
      </x:c>
      <x:c r="S161" s="32" t="str">
        <x:f>IF($H161="","",'03_Functionalities'!$N161)</x:f>
      </x:c>
      <x:c r="T161" s="32" t="str">
        <x:f>IF($H161="","",'03_Functionalities'!$O161)</x:f>
      </x:c>
      <x:c r="U161" s="32" t="str">
        <x:f>IF($A161="","",IFERROR(XLOOKUP($A161,'01_Products'!$A$5:$A$500,'01_Products'!$G$5:$G$500),""))</x:f>
      </x:c>
      <x:c r="V161" s="32" t="str">
        <x:f>IF($D161="","",IFERROR(XLOOKUP($D161,'02_Features'!$A$5:$A$1000,'02_Features'!$J$5:$J$1000),""))</x:f>
      </x:c>
      <x:c r="W161" s="32" t="str">
        <x:f>IF($H161="","",'03_Functionalities'!$P161)</x:f>
      </x:c>
      <x:c r="X161" s="32" t="str">
        <x:f>IF($H161="","",'03_Functionalities'!$Q161)</x:f>
      </x:c>
      <x:c r="Y161" s="38"/>
      <x:c r="Z161" s="38"/>
    </x:row>
    <x:row r="162" ht="18" customHeight="1">
      <x:c r="A162" s="32" t="str">
        <x:f>IF('03_Functionalities'!$A162="","",'03_Functionalities'!$C162)</x:f>
      </x:c>
      <x:c r="B162" s="32" t="str">
        <x:f>IF($A162="","",IFERROR(XLOOKUP($A162,'01_Products'!$A$5:$A$500,'01_Products'!$B$5:$B$500),""))</x:f>
      </x:c>
      <x:c r="C162" s="32" t="str">
        <x:f>IF($A162="","",IFERROR(XLOOKUP($A162,'01_Products'!$A$5:$A$500,'01_Products'!$C$5:$C$500),""))</x:f>
      </x:c>
      <x:c r="D162" s="32" t="str">
        <x:f>IF('03_Functionalities'!$A162="","",'03_Functionalities'!$B162)</x:f>
      </x:c>
      <x:c r="E162" s="32" t="str">
        <x:f>IF($D162="","",IFERROR(XLOOKUP($D162,'02_Features'!$A$5:$A$1000,'02_Features'!$C$5:$C$1000),""))</x:f>
      </x:c>
      <x:c r="F162" s="32" t="str">
        <x:f>IF($D162="","",IFERROR(XLOOKUP($D162,'02_Features'!$A$5:$A$1000,'02_Features'!$D$5:$D$1000),""))</x:f>
      </x:c>
      <x:c r="G162" s="32" t="str">
        <x:f>IF($D162="","",IFERROR(XLOOKUP($D162,'02_Features'!$A$5:$A$1000,'02_Features'!$E$5:$E$1000),""))</x:f>
      </x:c>
      <x:c r="H162" s="32" t="str">
        <x:f>IF('03_Functionalities'!$A162="","",'03_Functionalities'!$A162)</x:f>
      </x:c>
      <x:c r="I162" s="32" t="str">
        <x:f>IF($H162="","",'03_Functionalities'!$D162)</x:f>
      </x:c>
      <x:c r="J162" s="32" t="str">
        <x:f>IF($H162="","",'03_Functionalities'!$E162)</x:f>
      </x:c>
      <x:c r="K162" s="32" t="str">
        <x:f>IF($H162="","",'03_Functionalities'!$F162)</x:f>
      </x:c>
      <x:c r="L162" s="32" t="str">
        <x:f>IF($H162="","",'03_Functionalities'!$G162)</x:f>
      </x:c>
      <x:c r="M162" s="32" t="str">
        <x:f>IF($H162="","",'03_Functionalities'!$H162)</x:f>
      </x:c>
      <x:c r="N162" s="32" t="str">
        <x:f>IF($H162="","",'03_Functionalities'!$I162)</x:f>
      </x:c>
      <x:c r="O162" s="32" t="str">
        <x:f>IF($H162="","",'03_Functionalities'!$J162)</x:f>
      </x:c>
      <x:c r="P162" s="32" t="str">
        <x:f>IF($H162="","",'03_Functionalities'!$K162)</x:f>
      </x:c>
      <x:c r="Q162" s="32" t="str">
        <x:f>IF($H162="","",'03_Functionalities'!$L162)</x:f>
      </x:c>
      <x:c r="R162" s="32" t="str">
        <x:f>IF($H162="","",'03_Functionalities'!$M162)</x:f>
      </x:c>
      <x:c r="S162" s="32" t="str">
        <x:f>IF($H162="","",'03_Functionalities'!$N162)</x:f>
      </x:c>
      <x:c r="T162" s="32" t="str">
        <x:f>IF($H162="","",'03_Functionalities'!$O162)</x:f>
      </x:c>
      <x:c r="U162" s="32" t="str">
        <x:f>IF($A162="","",IFERROR(XLOOKUP($A162,'01_Products'!$A$5:$A$500,'01_Products'!$G$5:$G$500),""))</x:f>
      </x:c>
      <x:c r="V162" s="32" t="str">
        <x:f>IF($D162="","",IFERROR(XLOOKUP($D162,'02_Features'!$A$5:$A$1000,'02_Features'!$J$5:$J$1000),""))</x:f>
      </x:c>
      <x:c r="W162" s="32" t="str">
        <x:f>IF($H162="","",'03_Functionalities'!$P162)</x:f>
      </x:c>
      <x:c r="X162" s="32" t="str">
        <x:f>IF($H162="","",'03_Functionalities'!$Q162)</x:f>
      </x:c>
      <x:c r="Y162" s="38"/>
      <x:c r="Z162" s="38"/>
    </x:row>
    <x:row r="163" ht="18" customHeight="1">
      <x:c r="A163" s="32" t="str">
        <x:f>IF('03_Functionalities'!$A163="","",'03_Functionalities'!$C163)</x:f>
      </x:c>
      <x:c r="B163" s="32" t="str">
        <x:f>IF($A163="","",IFERROR(XLOOKUP($A163,'01_Products'!$A$5:$A$500,'01_Products'!$B$5:$B$500),""))</x:f>
      </x:c>
      <x:c r="C163" s="32" t="str">
        <x:f>IF($A163="","",IFERROR(XLOOKUP($A163,'01_Products'!$A$5:$A$500,'01_Products'!$C$5:$C$500),""))</x:f>
      </x:c>
      <x:c r="D163" s="32" t="str">
        <x:f>IF('03_Functionalities'!$A163="","",'03_Functionalities'!$B163)</x:f>
      </x:c>
      <x:c r="E163" s="32" t="str">
        <x:f>IF($D163="","",IFERROR(XLOOKUP($D163,'02_Features'!$A$5:$A$1000,'02_Features'!$C$5:$C$1000),""))</x:f>
      </x:c>
      <x:c r="F163" s="32" t="str">
        <x:f>IF($D163="","",IFERROR(XLOOKUP($D163,'02_Features'!$A$5:$A$1000,'02_Features'!$D$5:$D$1000),""))</x:f>
      </x:c>
      <x:c r="G163" s="32" t="str">
        <x:f>IF($D163="","",IFERROR(XLOOKUP($D163,'02_Features'!$A$5:$A$1000,'02_Features'!$E$5:$E$1000),""))</x:f>
      </x:c>
      <x:c r="H163" s="32" t="str">
        <x:f>IF('03_Functionalities'!$A163="","",'03_Functionalities'!$A163)</x:f>
      </x:c>
      <x:c r="I163" s="32" t="str">
        <x:f>IF($H163="","",'03_Functionalities'!$D163)</x:f>
      </x:c>
      <x:c r="J163" s="32" t="str">
        <x:f>IF($H163="","",'03_Functionalities'!$E163)</x:f>
      </x:c>
      <x:c r="K163" s="32" t="str">
        <x:f>IF($H163="","",'03_Functionalities'!$F163)</x:f>
      </x:c>
      <x:c r="L163" s="32" t="str">
        <x:f>IF($H163="","",'03_Functionalities'!$G163)</x:f>
      </x:c>
      <x:c r="M163" s="32" t="str">
        <x:f>IF($H163="","",'03_Functionalities'!$H163)</x:f>
      </x:c>
      <x:c r="N163" s="32" t="str">
        <x:f>IF($H163="","",'03_Functionalities'!$I163)</x:f>
      </x:c>
      <x:c r="O163" s="32" t="str">
        <x:f>IF($H163="","",'03_Functionalities'!$J163)</x:f>
      </x:c>
      <x:c r="P163" s="32" t="str">
        <x:f>IF($H163="","",'03_Functionalities'!$K163)</x:f>
      </x:c>
      <x:c r="Q163" s="32" t="str">
        <x:f>IF($H163="","",'03_Functionalities'!$L163)</x:f>
      </x:c>
      <x:c r="R163" s="32" t="str">
        <x:f>IF($H163="","",'03_Functionalities'!$M163)</x:f>
      </x:c>
      <x:c r="S163" s="32" t="str">
        <x:f>IF($H163="","",'03_Functionalities'!$N163)</x:f>
      </x:c>
      <x:c r="T163" s="32" t="str">
        <x:f>IF($H163="","",'03_Functionalities'!$O163)</x:f>
      </x:c>
      <x:c r="U163" s="32" t="str">
        <x:f>IF($A163="","",IFERROR(XLOOKUP($A163,'01_Products'!$A$5:$A$500,'01_Products'!$G$5:$G$500),""))</x:f>
      </x:c>
      <x:c r="V163" s="32" t="str">
        <x:f>IF($D163="","",IFERROR(XLOOKUP($D163,'02_Features'!$A$5:$A$1000,'02_Features'!$J$5:$J$1000),""))</x:f>
      </x:c>
      <x:c r="W163" s="32" t="str">
        <x:f>IF($H163="","",'03_Functionalities'!$P163)</x:f>
      </x:c>
      <x:c r="X163" s="32" t="str">
        <x:f>IF($H163="","",'03_Functionalities'!$Q163)</x:f>
      </x:c>
      <x:c r="Y163" s="38"/>
      <x:c r="Z163" s="38"/>
    </x:row>
    <x:row r="164" ht="18" customHeight="1">
      <x:c r="A164" s="32" t="str">
        <x:f>IF('03_Functionalities'!$A164="","",'03_Functionalities'!$C164)</x:f>
      </x:c>
      <x:c r="B164" s="32" t="str">
        <x:f>IF($A164="","",IFERROR(XLOOKUP($A164,'01_Products'!$A$5:$A$500,'01_Products'!$B$5:$B$500),""))</x:f>
      </x:c>
      <x:c r="C164" s="32" t="str">
        <x:f>IF($A164="","",IFERROR(XLOOKUP($A164,'01_Products'!$A$5:$A$500,'01_Products'!$C$5:$C$500),""))</x:f>
      </x:c>
      <x:c r="D164" s="32" t="str">
        <x:f>IF('03_Functionalities'!$A164="","",'03_Functionalities'!$B164)</x:f>
      </x:c>
      <x:c r="E164" s="32" t="str">
        <x:f>IF($D164="","",IFERROR(XLOOKUP($D164,'02_Features'!$A$5:$A$1000,'02_Features'!$C$5:$C$1000),""))</x:f>
      </x:c>
      <x:c r="F164" s="32" t="str">
        <x:f>IF($D164="","",IFERROR(XLOOKUP($D164,'02_Features'!$A$5:$A$1000,'02_Features'!$D$5:$D$1000),""))</x:f>
      </x:c>
      <x:c r="G164" s="32" t="str">
        <x:f>IF($D164="","",IFERROR(XLOOKUP($D164,'02_Features'!$A$5:$A$1000,'02_Features'!$E$5:$E$1000),""))</x:f>
      </x:c>
      <x:c r="H164" s="32" t="str">
        <x:f>IF('03_Functionalities'!$A164="","",'03_Functionalities'!$A164)</x:f>
      </x:c>
      <x:c r="I164" s="32" t="str">
        <x:f>IF($H164="","",'03_Functionalities'!$D164)</x:f>
      </x:c>
      <x:c r="J164" s="32" t="str">
        <x:f>IF($H164="","",'03_Functionalities'!$E164)</x:f>
      </x:c>
      <x:c r="K164" s="32" t="str">
        <x:f>IF($H164="","",'03_Functionalities'!$F164)</x:f>
      </x:c>
      <x:c r="L164" s="32" t="str">
        <x:f>IF($H164="","",'03_Functionalities'!$G164)</x:f>
      </x:c>
      <x:c r="M164" s="32" t="str">
        <x:f>IF($H164="","",'03_Functionalities'!$H164)</x:f>
      </x:c>
      <x:c r="N164" s="32" t="str">
        <x:f>IF($H164="","",'03_Functionalities'!$I164)</x:f>
      </x:c>
      <x:c r="O164" s="32" t="str">
        <x:f>IF($H164="","",'03_Functionalities'!$J164)</x:f>
      </x:c>
      <x:c r="P164" s="32" t="str">
        <x:f>IF($H164="","",'03_Functionalities'!$K164)</x:f>
      </x:c>
      <x:c r="Q164" s="32" t="str">
        <x:f>IF($H164="","",'03_Functionalities'!$L164)</x:f>
      </x:c>
      <x:c r="R164" s="32" t="str">
        <x:f>IF($H164="","",'03_Functionalities'!$M164)</x:f>
      </x:c>
      <x:c r="S164" s="32" t="str">
        <x:f>IF($H164="","",'03_Functionalities'!$N164)</x:f>
      </x:c>
      <x:c r="T164" s="32" t="str">
        <x:f>IF($H164="","",'03_Functionalities'!$O164)</x:f>
      </x:c>
      <x:c r="U164" s="32" t="str">
        <x:f>IF($A164="","",IFERROR(XLOOKUP($A164,'01_Products'!$A$5:$A$500,'01_Products'!$G$5:$G$500),""))</x:f>
      </x:c>
      <x:c r="V164" s="32" t="str">
        <x:f>IF($D164="","",IFERROR(XLOOKUP($D164,'02_Features'!$A$5:$A$1000,'02_Features'!$J$5:$J$1000),""))</x:f>
      </x:c>
      <x:c r="W164" s="32" t="str">
        <x:f>IF($H164="","",'03_Functionalities'!$P164)</x:f>
      </x:c>
      <x:c r="X164" s="32" t="str">
        <x:f>IF($H164="","",'03_Functionalities'!$Q164)</x:f>
      </x:c>
      <x:c r="Y164" s="38"/>
      <x:c r="Z164" s="38"/>
    </x:row>
    <x:row r="165" ht="18" customHeight="1">
      <x:c r="A165" s="32" t="str">
        <x:f>IF('03_Functionalities'!$A165="","",'03_Functionalities'!$C165)</x:f>
      </x:c>
      <x:c r="B165" s="32" t="str">
        <x:f>IF($A165="","",IFERROR(XLOOKUP($A165,'01_Products'!$A$5:$A$500,'01_Products'!$B$5:$B$500),""))</x:f>
      </x:c>
      <x:c r="C165" s="32" t="str">
        <x:f>IF($A165="","",IFERROR(XLOOKUP($A165,'01_Products'!$A$5:$A$500,'01_Products'!$C$5:$C$500),""))</x:f>
      </x:c>
      <x:c r="D165" s="32" t="str">
        <x:f>IF('03_Functionalities'!$A165="","",'03_Functionalities'!$B165)</x:f>
      </x:c>
      <x:c r="E165" s="32" t="str">
        <x:f>IF($D165="","",IFERROR(XLOOKUP($D165,'02_Features'!$A$5:$A$1000,'02_Features'!$C$5:$C$1000),""))</x:f>
      </x:c>
      <x:c r="F165" s="32" t="str">
        <x:f>IF($D165="","",IFERROR(XLOOKUP($D165,'02_Features'!$A$5:$A$1000,'02_Features'!$D$5:$D$1000),""))</x:f>
      </x:c>
      <x:c r="G165" s="32" t="str">
        <x:f>IF($D165="","",IFERROR(XLOOKUP($D165,'02_Features'!$A$5:$A$1000,'02_Features'!$E$5:$E$1000),""))</x:f>
      </x:c>
      <x:c r="H165" s="32" t="str">
        <x:f>IF('03_Functionalities'!$A165="","",'03_Functionalities'!$A165)</x:f>
      </x:c>
      <x:c r="I165" s="32" t="str">
        <x:f>IF($H165="","",'03_Functionalities'!$D165)</x:f>
      </x:c>
      <x:c r="J165" s="32" t="str">
        <x:f>IF($H165="","",'03_Functionalities'!$E165)</x:f>
      </x:c>
      <x:c r="K165" s="32" t="str">
        <x:f>IF($H165="","",'03_Functionalities'!$F165)</x:f>
      </x:c>
      <x:c r="L165" s="32" t="str">
        <x:f>IF($H165="","",'03_Functionalities'!$G165)</x:f>
      </x:c>
      <x:c r="M165" s="32" t="str">
        <x:f>IF($H165="","",'03_Functionalities'!$H165)</x:f>
      </x:c>
      <x:c r="N165" s="32" t="str">
        <x:f>IF($H165="","",'03_Functionalities'!$I165)</x:f>
      </x:c>
      <x:c r="O165" s="32" t="str">
        <x:f>IF($H165="","",'03_Functionalities'!$J165)</x:f>
      </x:c>
      <x:c r="P165" s="32" t="str">
        <x:f>IF($H165="","",'03_Functionalities'!$K165)</x:f>
      </x:c>
      <x:c r="Q165" s="32" t="str">
        <x:f>IF($H165="","",'03_Functionalities'!$L165)</x:f>
      </x:c>
      <x:c r="R165" s="32" t="str">
        <x:f>IF($H165="","",'03_Functionalities'!$M165)</x:f>
      </x:c>
      <x:c r="S165" s="32" t="str">
        <x:f>IF($H165="","",'03_Functionalities'!$N165)</x:f>
      </x:c>
      <x:c r="T165" s="32" t="str">
        <x:f>IF($H165="","",'03_Functionalities'!$O165)</x:f>
      </x:c>
      <x:c r="U165" s="32" t="str">
        <x:f>IF($A165="","",IFERROR(XLOOKUP($A165,'01_Products'!$A$5:$A$500,'01_Products'!$G$5:$G$500),""))</x:f>
      </x:c>
      <x:c r="V165" s="32" t="str">
        <x:f>IF($D165="","",IFERROR(XLOOKUP($D165,'02_Features'!$A$5:$A$1000,'02_Features'!$J$5:$J$1000),""))</x:f>
      </x:c>
      <x:c r="W165" s="32" t="str">
        <x:f>IF($H165="","",'03_Functionalities'!$P165)</x:f>
      </x:c>
      <x:c r="X165" s="32" t="str">
        <x:f>IF($H165="","",'03_Functionalities'!$Q165)</x:f>
      </x:c>
      <x:c r="Y165" s="38"/>
      <x:c r="Z165" s="38"/>
    </x:row>
    <x:row r="166" ht="18" customHeight="1">
      <x:c r="A166" s="32" t="str">
        <x:f>IF('03_Functionalities'!$A166="","",'03_Functionalities'!$C166)</x:f>
      </x:c>
      <x:c r="B166" s="32" t="str">
        <x:f>IF($A166="","",IFERROR(XLOOKUP($A166,'01_Products'!$A$5:$A$500,'01_Products'!$B$5:$B$500),""))</x:f>
      </x:c>
      <x:c r="C166" s="32" t="str">
        <x:f>IF($A166="","",IFERROR(XLOOKUP($A166,'01_Products'!$A$5:$A$500,'01_Products'!$C$5:$C$500),""))</x:f>
      </x:c>
      <x:c r="D166" s="32" t="str">
        <x:f>IF('03_Functionalities'!$A166="","",'03_Functionalities'!$B166)</x:f>
      </x:c>
      <x:c r="E166" s="32" t="str">
        <x:f>IF($D166="","",IFERROR(XLOOKUP($D166,'02_Features'!$A$5:$A$1000,'02_Features'!$C$5:$C$1000),""))</x:f>
      </x:c>
      <x:c r="F166" s="32" t="str">
        <x:f>IF($D166="","",IFERROR(XLOOKUP($D166,'02_Features'!$A$5:$A$1000,'02_Features'!$D$5:$D$1000),""))</x:f>
      </x:c>
      <x:c r="G166" s="32" t="str">
        <x:f>IF($D166="","",IFERROR(XLOOKUP($D166,'02_Features'!$A$5:$A$1000,'02_Features'!$E$5:$E$1000),""))</x:f>
      </x:c>
      <x:c r="H166" s="32" t="str">
        <x:f>IF('03_Functionalities'!$A166="","",'03_Functionalities'!$A166)</x:f>
      </x:c>
      <x:c r="I166" s="32" t="str">
        <x:f>IF($H166="","",'03_Functionalities'!$D166)</x:f>
      </x:c>
      <x:c r="J166" s="32" t="str">
        <x:f>IF($H166="","",'03_Functionalities'!$E166)</x:f>
      </x:c>
      <x:c r="K166" s="32" t="str">
        <x:f>IF($H166="","",'03_Functionalities'!$F166)</x:f>
      </x:c>
      <x:c r="L166" s="32" t="str">
        <x:f>IF($H166="","",'03_Functionalities'!$G166)</x:f>
      </x:c>
      <x:c r="M166" s="32" t="str">
        <x:f>IF($H166="","",'03_Functionalities'!$H166)</x:f>
      </x:c>
      <x:c r="N166" s="32" t="str">
        <x:f>IF($H166="","",'03_Functionalities'!$I166)</x:f>
      </x:c>
      <x:c r="O166" s="32" t="str">
        <x:f>IF($H166="","",'03_Functionalities'!$J166)</x:f>
      </x:c>
      <x:c r="P166" s="32" t="str">
        <x:f>IF($H166="","",'03_Functionalities'!$K166)</x:f>
      </x:c>
      <x:c r="Q166" s="32" t="str">
        <x:f>IF($H166="","",'03_Functionalities'!$L166)</x:f>
      </x:c>
      <x:c r="R166" s="32" t="str">
        <x:f>IF($H166="","",'03_Functionalities'!$M166)</x:f>
      </x:c>
      <x:c r="S166" s="32" t="str">
        <x:f>IF($H166="","",'03_Functionalities'!$N166)</x:f>
      </x:c>
      <x:c r="T166" s="32" t="str">
        <x:f>IF($H166="","",'03_Functionalities'!$O166)</x:f>
      </x:c>
      <x:c r="U166" s="32" t="str">
        <x:f>IF($A166="","",IFERROR(XLOOKUP($A166,'01_Products'!$A$5:$A$500,'01_Products'!$G$5:$G$500),""))</x:f>
      </x:c>
      <x:c r="V166" s="32" t="str">
        <x:f>IF($D166="","",IFERROR(XLOOKUP($D166,'02_Features'!$A$5:$A$1000,'02_Features'!$J$5:$J$1000),""))</x:f>
      </x:c>
      <x:c r="W166" s="32" t="str">
        <x:f>IF($H166="","",'03_Functionalities'!$P166)</x:f>
      </x:c>
      <x:c r="X166" s="32" t="str">
        <x:f>IF($H166="","",'03_Functionalities'!$Q166)</x:f>
      </x:c>
      <x:c r="Y166" s="38"/>
      <x:c r="Z166" s="38"/>
    </x:row>
    <x:row r="167" ht="18" customHeight="1">
      <x:c r="A167" s="32" t="str">
        <x:f>IF('03_Functionalities'!$A167="","",'03_Functionalities'!$C167)</x:f>
      </x:c>
      <x:c r="B167" s="32" t="str">
        <x:f>IF($A167="","",IFERROR(XLOOKUP($A167,'01_Products'!$A$5:$A$500,'01_Products'!$B$5:$B$500),""))</x:f>
      </x:c>
      <x:c r="C167" s="32" t="str">
        <x:f>IF($A167="","",IFERROR(XLOOKUP($A167,'01_Products'!$A$5:$A$500,'01_Products'!$C$5:$C$500),""))</x:f>
      </x:c>
      <x:c r="D167" s="32" t="str">
        <x:f>IF('03_Functionalities'!$A167="","",'03_Functionalities'!$B167)</x:f>
      </x:c>
      <x:c r="E167" s="32" t="str">
        <x:f>IF($D167="","",IFERROR(XLOOKUP($D167,'02_Features'!$A$5:$A$1000,'02_Features'!$C$5:$C$1000),""))</x:f>
      </x:c>
      <x:c r="F167" s="32" t="str">
        <x:f>IF($D167="","",IFERROR(XLOOKUP($D167,'02_Features'!$A$5:$A$1000,'02_Features'!$D$5:$D$1000),""))</x:f>
      </x:c>
      <x:c r="G167" s="32" t="str">
        <x:f>IF($D167="","",IFERROR(XLOOKUP($D167,'02_Features'!$A$5:$A$1000,'02_Features'!$E$5:$E$1000),""))</x:f>
      </x:c>
      <x:c r="H167" s="32" t="str">
        <x:f>IF('03_Functionalities'!$A167="","",'03_Functionalities'!$A167)</x:f>
      </x:c>
      <x:c r="I167" s="32" t="str">
        <x:f>IF($H167="","",'03_Functionalities'!$D167)</x:f>
      </x:c>
      <x:c r="J167" s="32" t="str">
        <x:f>IF($H167="","",'03_Functionalities'!$E167)</x:f>
      </x:c>
      <x:c r="K167" s="32" t="str">
        <x:f>IF($H167="","",'03_Functionalities'!$F167)</x:f>
      </x:c>
      <x:c r="L167" s="32" t="str">
        <x:f>IF($H167="","",'03_Functionalities'!$G167)</x:f>
      </x:c>
      <x:c r="M167" s="32" t="str">
        <x:f>IF($H167="","",'03_Functionalities'!$H167)</x:f>
      </x:c>
      <x:c r="N167" s="32" t="str">
        <x:f>IF($H167="","",'03_Functionalities'!$I167)</x:f>
      </x:c>
      <x:c r="O167" s="32" t="str">
        <x:f>IF($H167="","",'03_Functionalities'!$J167)</x:f>
      </x:c>
      <x:c r="P167" s="32" t="str">
        <x:f>IF($H167="","",'03_Functionalities'!$K167)</x:f>
      </x:c>
      <x:c r="Q167" s="32" t="str">
        <x:f>IF($H167="","",'03_Functionalities'!$L167)</x:f>
      </x:c>
      <x:c r="R167" s="32" t="str">
        <x:f>IF($H167="","",'03_Functionalities'!$M167)</x:f>
      </x:c>
      <x:c r="S167" s="32" t="str">
        <x:f>IF($H167="","",'03_Functionalities'!$N167)</x:f>
      </x:c>
      <x:c r="T167" s="32" t="str">
        <x:f>IF($H167="","",'03_Functionalities'!$O167)</x:f>
      </x:c>
      <x:c r="U167" s="32" t="str">
        <x:f>IF($A167="","",IFERROR(XLOOKUP($A167,'01_Products'!$A$5:$A$500,'01_Products'!$G$5:$G$500),""))</x:f>
      </x:c>
      <x:c r="V167" s="32" t="str">
        <x:f>IF($D167="","",IFERROR(XLOOKUP($D167,'02_Features'!$A$5:$A$1000,'02_Features'!$J$5:$J$1000),""))</x:f>
      </x:c>
      <x:c r="W167" s="32" t="str">
        <x:f>IF($H167="","",'03_Functionalities'!$P167)</x:f>
      </x:c>
      <x:c r="X167" s="32" t="str">
        <x:f>IF($H167="","",'03_Functionalities'!$Q167)</x:f>
      </x:c>
      <x:c r="Y167" s="38"/>
      <x:c r="Z167" s="38"/>
    </x:row>
    <x:row r="168" ht="18" customHeight="1">
      <x:c r="A168" s="32" t="str">
        <x:f>IF('03_Functionalities'!$A168="","",'03_Functionalities'!$C168)</x:f>
      </x:c>
      <x:c r="B168" s="32" t="str">
        <x:f>IF($A168="","",IFERROR(XLOOKUP($A168,'01_Products'!$A$5:$A$500,'01_Products'!$B$5:$B$500),""))</x:f>
      </x:c>
      <x:c r="C168" s="32" t="str">
        <x:f>IF($A168="","",IFERROR(XLOOKUP($A168,'01_Products'!$A$5:$A$500,'01_Products'!$C$5:$C$500),""))</x:f>
      </x:c>
      <x:c r="D168" s="32" t="str">
        <x:f>IF('03_Functionalities'!$A168="","",'03_Functionalities'!$B168)</x:f>
      </x:c>
      <x:c r="E168" s="32" t="str">
        <x:f>IF($D168="","",IFERROR(XLOOKUP($D168,'02_Features'!$A$5:$A$1000,'02_Features'!$C$5:$C$1000),""))</x:f>
      </x:c>
      <x:c r="F168" s="32" t="str">
        <x:f>IF($D168="","",IFERROR(XLOOKUP($D168,'02_Features'!$A$5:$A$1000,'02_Features'!$D$5:$D$1000),""))</x:f>
      </x:c>
      <x:c r="G168" s="32" t="str">
        <x:f>IF($D168="","",IFERROR(XLOOKUP($D168,'02_Features'!$A$5:$A$1000,'02_Features'!$E$5:$E$1000),""))</x:f>
      </x:c>
      <x:c r="H168" s="32" t="str">
        <x:f>IF('03_Functionalities'!$A168="","",'03_Functionalities'!$A168)</x:f>
      </x:c>
      <x:c r="I168" s="32" t="str">
        <x:f>IF($H168="","",'03_Functionalities'!$D168)</x:f>
      </x:c>
      <x:c r="J168" s="32" t="str">
        <x:f>IF($H168="","",'03_Functionalities'!$E168)</x:f>
      </x:c>
      <x:c r="K168" s="32" t="str">
        <x:f>IF($H168="","",'03_Functionalities'!$F168)</x:f>
      </x:c>
      <x:c r="L168" s="32" t="str">
        <x:f>IF($H168="","",'03_Functionalities'!$G168)</x:f>
      </x:c>
      <x:c r="M168" s="32" t="str">
        <x:f>IF($H168="","",'03_Functionalities'!$H168)</x:f>
      </x:c>
      <x:c r="N168" s="32" t="str">
        <x:f>IF($H168="","",'03_Functionalities'!$I168)</x:f>
      </x:c>
      <x:c r="O168" s="32" t="str">
        <x:f>IF($H168="","",'03_Functionalities'!$J168)</x:f>
      </x:c>
      <x:c r="P168" s="32" t="str">
        <x:f>IF($H168="","",'03_Functionalities'!$K168)</x:f>
      </x:c>
      <x:c r="Q168" s="32" t="str">
        <x:f>IF($H168="","",'03_Functionalities'!$L168)</x:f>
      </x:c>
      <x:c r="R168" s="32" t="str">
        <x:f>IF($H168="","",'03_Functionalities'!$M168)</x:f>
      </x:c>
      <x:c r="S168" s="32" t="str">
        <x:f>IF($H168="","",'03_Functionalities'!$N168)</x:f>
      </x:c>
      <x:c r="T168" s="32" t="str">
        <x:f>IF($H168="","",'03_Functionalities'!$O168)</x:f>
      </x:c>
      <x:c r="U168" s="32" t="str">
        <x:f>IF($A168="","",IFERROR(XLOOKUP($A168,'01_Products'!$A$5:$A$500,'01_Products'!$G$5:$G$500),""))</x:f>
      </x:c>
      <x:c r="V168" s="32" t="str">
        <x:f>IF($D168="","",IFERROR(XLOOKUP($D168,'02_Features'!$A$5:$A$1000,'02_Features'!$J$5:$J$1000),""))</x:f>
      </x:c>
      <x:c r="W168" s="32" t="str">
        <x:f>IF($H168="","",'03_Functionalities'!$P168)</x:f>
      </x:c>
      <x:c r="X168" s="32" t="str">
        <x:f>IF($H168="","",'03_Functionalities'!$Q168)</x:f>
      </x:c>
      <x:c r="Y168" s="38"/>
      <x:c r="Z168" s="38"/>
    </x:row>
    <x:row r="169" ht="18" customHeight="1">
      <x:c r="A169" s="32" t="str">
        <x:f>IF('03_Functionalities'!$A169="","",'03_Functionalities'!$C169)</x:f>
      </x:c>
      <x:c r="B169" s="32" t="str">
        <x:f>IF($A169="","",IFERROR(XLOOKUP($A169,'01_Products'!$A$5:$A$500,'01_Products'!$B$5:$B$500),""))</x:f>
      </x:c>
      <x:c r="C169" s="32" t="str">
        <x:f>IF($A169="","",IFERROR(XLOOKUP($A169,'01_Products'!$A$5:$A$500,'01_Products'!$C$5:$C$500),""))</x:f>
      </x:c>
      <x:c r="D169" s="32" t="str">
        <x:f>IF('03_Functionalities'!$A169="","",'03_Functionalities'!$B169)</x:f>
      </x:c>
      <x:c r="E169" s="32" t="str">
        <x:f>IF($D169="","",IFERROR(XLOOKUP($D169,'02_Features'!$A$5:$A$1000,'02_Features'!$C$5:$C$1000),""))</x:f>
      </x:c>
      <x:c r="F169" s="32" t="str">
        <x:f>IF($D169="","",IFERROR(XLOOKUP($D169,'02_Features'!$A$5:$A$1000,'02_Features'!$D$5:$D$1000),""))</x:f>
      </x:c>
      <x:c r="G169" s="32" t="str">
        <x:f>IF($D169="","",IFERROR(XLOOKUP($D169,'02_Features'!$A$5:$A$1000,'02_Features'!$E$5:$E$1000),""))</x:f>
      </x:c>
      <x:c r="H169" s="32" t="str">
        <x:f>IF('03_Functionalities'!$A169="","",'03_Functionalities'!$A169)</x:f>
      </x:c>
      <x:c r="I169" s="32" t="str">
        <x:f>IF($H169="","",'03_Functionalities'!$D169)</x:f>
      </x:c>
      <x:c r="J169" s="32" t="str">
        <x:f>IF($H169="","",'03_Functionalities'!$E169)</x:f>
      </x:c>
      <x:c r="K169" s="32" t="str">
        <x:f>IF($H169="","",'03_Functionalities'!$F169)</x:f>
      </x:c>
      <x:c r="L169" s="32" t="str">
        <x:f>IF($H169="","",'03_Functionalities'!$G169)</x:f>
      </x:c>
      <x:c r="M169" s="32" t="str">
        <x:f>IF($H169="","",'03_Functionalities'!$H169)</x:f>
      </x:c>
      <x:c r="N169" s="32" t="str">
        <x:f>IF($H169="","",'03_Functionalities'!$I169)</x:f>
      </x:c>
      <x:c r="O169" s="32" t="str">
        <x:f>IF($H169="","",'03_Functionalities'!$J169)</x:f>
      </x:c>
      <x:c r="P169" s="32" t="str">
        <x:f>IF($H169="","",'03_Functionalities'!$K169)</x:f>
      </x:c>
      <x:c r="Q169" s="32" t="str">
        <x:f>IF($H169="","",'03_Functionalities'!$L169)</x:f>
      </x:c>
      <x:c r="R169" s="32" t="str">
        <x:f>IF($H169="","",'03_Functionalities'!$M169)</x:f>
      </x:c>
      <x:c r="S169" s="32" t="str">
        <x:f>IF($H169="","",'03_Functionalities'!$N169)</x:f>
      </x:c>
      <x:c r="T169" s="32" t="str">
        <x:f>IF($H169="","",'03_Functionalities'!$O169)</x:f>
      </x:c>
      <x:c r="U169" s="32" t="str">
        <x:f>IF($A169="","",IFERROR(XLOOKUP($A169,'01_Products'!$A$5:$A$500,'01_Products'!$G$5:$G$500),""))</x:f>
      </x:c>
      <x:c r="V169" s="32" t="str">
        <x:f>IF($D169="","",IFERROR(XLOOKUP($D169,'02_Features'!$A$5:$A$1000,'02_Features'!$J$5:$J$1000),""))</x:f>
      </x:c>
      <x:c r="W169" s="32" t="str">
        <x:f>IF($H169="","",'03_Functionalities'!$P169)</x:f>
      </x:c>
      <x:c r="X169" s="32" t="str">
        <x:f>IF($H169="","",'03_Functionalities'!$Q169)</x:f>
      </x:c>
      <x:c r="Y169" s="38"/>
      <x:c r="Z169" s="38"/>
    </x:row>
    <x:row r="170" ht="18" customHeight="1">
      <x:c r="A170" s="32" t="str">
        <x:f>IF('03_Functionalities'!$A170="","",'03_Functionalities'!$C170)</x:f>
      </x:c>
      <x:c r="B170" s="32" t="str">
        <x:f>IF($A170="","",IFERROR(XLOOKUP($A170,'01_Products'!$A$5:$A$500,'01_Products'!$B$5:$B$500),""))</x:f>
      </x:c>
      <x:c r="C170" s="32" t="str">
        <x:f>IF($A170="","",IFERROR(XLOOKUP($A170,'01_Products'!$A$5:$A$500,'01_Products'!$C$5:$C$500),""))</x:f>
      </x:c>
      <x:c r="D170" s="32" t="str">
        <x:f>IF('03_Functionalities'!$A170="","",'03_Functionalities'!$B170)</x:f>
      </x:c>
      <x:c r="E170" s="32" t="str">
        <x:f>IF($D170="","",IFERROR(XLOOKUP($D170,'02_Features'!$A$5:$A$1000,'02_Features'!$C$5:$C$1000),""))</x:f>
      </x:c>
      <x:c r="F170" s="32" t="str">
        <x:f>IF($D170="","",IFERROR(XLOOKUP($D170,'02_Features'!$A$5:$A$1000,'02_Features'!$D$5:$D$1000),""))</x:f>
      </x:c>
      <x:c r="G170" s="32" t="str">
        <x:f>IF($D170="","",IFERROR(XLOOKUP($D170,'02_Features'!$A$5:$A$1000,'02_Features'!$E$5:$E$1000),""))</x:f>
      </x:c>
      <x:c r="H170" s="32" t="str">
        <x:f>IF('03_Functionalities'!$A170="","",'03_Functionalities'!$A170)</x:f>
      </x:c>
      <x:c r="I170" s="32" t="str">
        <x:f>IF($H170="","",'03_Functionalities'!$D170)</x:f>
      </x:c>
      <x:c r="J170" s="32" t="str">
        <x:f>IF($H170="","",'03_Functionalities'!$E170)</x:f>
      </x:c>
      <x:c r="K170" s="32" t="str">
        <x:f>IF($H170="","",'03_Functionalities'!$F170)</x:f>
      </x:c>
      <x:c r="L170" s="32" t="str">
        <x:f>IF($H170="","",'03_Functionalities'!$G170)</x:f>
      </x:c>
      <x:c r="M170" s="32" t="str">
        <x:f>IF($H170="","",'03_Functionalities'!$H170)</x:f>
      </x:c>
      <x:c r="N170" s="32" t="str">
        <x:f>IF($H170="","",'03_Functionalities'!$I170)</x:f>
      </x:c>
      <x:c r="O170" s="32" t="str">
        <x:f>IF($H170="","",'03_Functionalities'!$J170)</x:f>
      </x:c>
      <x:c r="P170" s="32" t="str">
        <x:f>IF($H170="","",'03_Functionalities'!$K170)</x:f>
      </x:c>
      <x:c r="Q170" s="32" t="str">
        <x:f>IF($H170="","",'03_Functionalities'!$L170)</x:f>
      </x:c>
      <x:c r="R170" s="32" t="str">
        <x:f>IF($H170="","",'03_Functionalities'!$M170)</x:f>
      </x:c>
      <x:c r="S170" s="32" t="str">
        <x:f>IF($H170="","",'03_Functionalities'!$N170)</x:f>
      </x:c>
      <x:c r="T170" s="32" t="str">
        <x:f>IF($H170="","",'03_Functionalities'!$O170)</x:f>
      </x:c>
      <x:c r="U170" s="32" t="str">
        <x:f>IF($A170="","",IFERROR(XLOOKUP($A170,'01_Products'!$A$5:$A$500,'01_Products'!$G$5:$G$500),""))</x:f>
      </x:c>
      <x:c r="V170" s="32" t="str">
        <x:f>IF($D170="","",IFERROR(XLOOKUP($D170,'02_Features'!$A$5:$A$1000,'02_Features'!$J$5:$J$1000),""))</x:f>
      </x:c>
      <x:c r="W170" s="32" t="str">
        <x:f>IF($H170="","",'03_Functionalities'!$P170)</x:f>
      </x:c>
      <x:c r="X170" s="32" t="str">
        <x:f>IF($H170="","",'03_Functionalities'!$Q170)</x:f>
      </x:c>
      <x:c r="Y170" s="38"/>
      <x:c r="Z170" s="38"/>
    </x:row>
    <x:row r="171" ht="18" customHeight="1">
      <x:c r="A171" s="32" t="str">
        <x:f>IF('03_Functionalities'!$A171="","",'03_Functionalities'!$C171)</x:f>
      </x:c>
      <x:c r="B171" s="32" t="str">
        <x:f>IF($A171="","",IFERROR(XLOOKUP($A171,'01_Products'!$A$5:$A$500,'01_Products'!$B$5:$B$500),""))</x:f>
      </x:c>
      <x:c r="C171" s="32" t="str">
        <x:f>IF($A171="","",IFERROR(XLOOKUP($A171,'01_Products'!$A$5:$A$500,'01_Products'!$C$5:$C$500),""))</x:f>
      </x:c>
      <x:c r="D171" s="32" t="str">
        <x:f>IF('03_Functionalities'!$A171="","",'03_Functionalities'!$B171)</x:f>
      </x:c>
      <x:c r="E171" s="32" t="str">
        <x:f>IF($D171="","",IFERROR(XLOOKUP($D171,'02_Features'!$A$5:$A$1000,'02_Features'!$C$5:$C$1000),""))</x:f>
      </x:c>
      <x:c r="F171" s="32" t="str">
        <x:f>IF($D171="","",IFERROR(XLOOKUP($D171,'02_Features'!$A$5:$A$1000,'02_Features'!$D$5:$D$1000),""))</x:f>
      </x:c>
      <x:c r="G171" s="32" t="str">
        <x:f>IF($D171="","",IFERROR(XLOOKUP($D171,'02_Features'!$A$5:$A$1000,'02_Features'!$E$5:$E$1000),""))</x:f>
      </x:c>
      <x:c r="H171" s="32" t="str">
        <x:f>IF('03_Functionalities'!$A171="","",'03_Functionalities'!$A171)</x:f>
      </x:c>
      <x:c r="I171" s="32" t="str">
        <x:f>IF($H171="","",'03_Functionalities'!$D171)</x:f>
      </x:c>
      <x:c r="J171" s="32" t="str">
        <x:f>IF($H171="","",'03_Functionalities'!$E171)</x:f>
      </x:c>
      <x:c r="K171" s="32" t="str">
        <x:f>IF($H171="","",'03_Functionalities'!$F171)</x:f>
      </x:c>
      <x:c r="L171" s="32" t="str">
        <x:f>IF($H171="","",'03_Functionalities'!$G171)</x:f>
      </x:c>
      <x:c r="M171" s="32" t="str">
        <x:f>IF($H171="","",'03_Functionalities'!$H171)</x:f>
      </x:c>
      <x:c r="N171" s="32" t="str">
        <x:f>IF($H171="","",'03_Functionalities'!$I171)</x:f>
      </x:c>
      <x:c r="O171" s="32" t="str">
        <x:f>IF($H171="","",'03_Functionalities'!$J171)</x:f>
      </x:c>
      <x:c r="P171" s="32" t="str">
        <x:f>IF($H171="","",'03_Functionalities'!$K171)</x:f>
      </x:c>
      <x:c r="Q171" s="32" t="str">
        <x:f>IF($H171="","",'03_Functionalities'!$L171)</x:f>
      </x:c>
      <x:c r="R171" s="32" t="str">
        <x:f>IF($H171="","",'03_Functionalities'!$M171)</x:f>
      </x:c>
      <x:c r="S171" s="32" t="str">
        <x:f>IF($H171="","",'03_Functionalities'!$N171)</x:f>
      </x:c>
      <x:c r="T171" s="32" t="str">
        <x:f>IF($H171="","",'03_Functionalities'!$O171)</x:f>
      </x:c>
      <x:c r="U171" s="32" t="str">
        <x:f>IF($A171="","",IFERROR(XLOOKUP($A171,'01_Products'!$A$5:$A$500,'01_Products'!$G$5:$G$500),""))</x:f>
      </x:c>
      <x:c r="V171" s="32" t="str">
        <x:f>IF($D171="","",IFERROR(XLOOKUP($D171,'02_Features'!$A$5:$A$1000,'02_Features'!$J$5:$J$1000),""))</x:f>
      </x:c>
      <x:c r="W171" s="32" t="str">
        <x:f>IF($H171="","",'03_Functionalities'!$P171)</x:f>
      </x:c>
      <x:c r="X171" s="32" t="str">
        <x:f>IF($H171="","",'03_Functionalities'!$Q171)</x:f>
      </x:c>
      <x:c r="Y171" s="38"/>
      <x:c r="Z171" s="38"/>
    </x:row>
    <x:row r="172" ht="18" customHeight="1">
      <x:c r="A172" s="32" t="str">
        <x:f>IF('03_Functionalities'!$A172="","",'03_Functionalities'!$C172)</x:f>
      </x:c>
      <x:c r="B172" s="32" t="str">
        <x:f>IF($A172="","",IFERROR(XLOOKUP($A172,'01_Products'!$A$5:$A$500,'01_Products'!$B$5:$B$500),""))</x:f>
      </x:c>
      <x:c r="C172" s="32" t="str">
        <x:f>IF($A172="","",IFERROR(XLOOKUP($A172,'01_Products'!$A$5:$A$500,'01_Products'!$C$5:$C$500),""))</x:f>
      </x:c>
      <x:c r="D172" s="32" t="str">
        <x:f>IF('03_Functionalities'!$A172="","",'03_Functionalities'!$B172)</x:f>
      </x:c>
      <x:c r="E172" s="32" t="str">
        <x:f>IF($D172="","",IFERROR(XLOOKUP($D172,'02_Features'!$A$5:$A$1000,'02_Features'!$C$5:$C$1000),""))</x:f>
      </x:c>
      <x:c r="F172" s="32" t="str">
        <x:f>IF($D172="","",IFERROR(XLOOKUP($D172,'02_Features'!$A$5:$A$1000,'02_Features'!$D$5:$D$1000),""))</x:f>
      </x:c>
      <x:c r="G172" s="32" t="str">
        <x:f>IF($D172="","",IFERROR(XLOOKUP($D172,'02_Features'!$A$5:$A$1000,'02_Features'!$E$5:$E$1000),""))</x:f>
      </x:c>
      <x:c r="H172" s="32" t="str">
        <x:f>IF('03_Functionalities'!$A172="","",'03_Functionalities'!$A172)</x:f>
      </x:c>
      <x:c r="I172" s="32" t="str">
        <x:f>IF($H172="","",'03_Functionalities'!$D172)</x:f>
      </x:c>
      <x:c r="J172" s="32" t="str">
        <x:f>IF($H172="","",'03_Functionalities'!$E172)</x:f>
      </x:c>
      <x:c r="K172" s="32" t="str">
        <x:f>IF($H172="","",'03_Functionalities'!$F172)</x:f>
      </x:c>
      <x:c r="L172" s="32" t="str">
        <x:f>IF($H172="","",'03_Functionalities'!$G172)</x:f>
      </x:c>
      <x:c r="M172" s="32" t="str">
        <x:f>IF($H172="","",'03_Functionalities'!$H172)</x:f>
      </x:c>
      <x:c r="N172" s="32" t="str">
        <x:f>IF($H172="","",'03_Functionalities'!$I172)</x:f>
      </x:c>
      <x:c r="O172" s="32" t="str">
        <x:f>IF($H172="","",'03_Functionalities'!$J172)</x:f>
      </x:c>
      <x:c r="P172" s="32" t="str">
        <x:f>IF($H172="","",'03_Functionalities'!$K172)</x:f>
      </x:c>
      <x:c r="Q172" s="32" t="str">
        <x:f>IF($H172="","",'03_Functionalities'!$L172)</x:f>
      </x:c>
      <x:c r="R172" s="32" t="str">
        <x:f>IF($H172="","",'03_Functionalities'!$M172)</x:f>
      </x:c>
      <x:c r="S172" s="32" t="str">
        <x:f>IF($H172="","",'03_Functionalities'!$N172)</x:f>
      </x:c>
      <x:c r="T172" s="32" t="str">
        <x:f>IF($H172="","",'03_Functionalities'!$O172)</x:f>
      </x:c>
      <x:c r="U172" s="32" t="str">
        <x:f>IF($A172="","",IFERROR(XLOOKUP($A172,'01_Products'!$A$5:$A$500,'01_Products'!$G$5:$G$500),""))</x:f>
      </x:c>
      <x:c r="V172" s="32" t="str">
        <x:f>IF($D172="","",IFERROR(XLOOKUP($D172,'02_Features'!$A$5:$A$1000,'02_Features'!$J$5:$J$1000),""))</x:f>
      </x:c>
      <x:c r="W172" s="32" t="str">
        <x:f>IF($H172="","",'03_Functionalities'!$P172)</x:f>
      </x:c>
      <x:c r="X172" s="32" t="str">
        <x:f>IF($H172="","",'03_Functionalities'!$Q172)</x:f>
      </x:c>
      <x:c r="Y172" s="38"/>
      <x:c r="Z172" s="38"/>
    </x:row>
    <x:row r="173" ht="18" customHeight="1">
      <x:c r="A173" s="32" t="str">
        <x:f>IF('03_Functionalities'!$A173="","",'03_Functionalities'!$C173)</x:f>
      </x:c>
      <x:c r="B173" s="32" t="str">
        <x:f>IF($A173="","",IFERROR(XLOOKUP($A173,'01_Products'!$A$5:$A$500,'01_Products'!$B$5:$B$500),""))</x:f>
      </x:c>
      <x:c r="C173" s="32" t="str">
        <x:f>IF($A173="","",IFERROR(XLOOKUP($A173,'01_Products'!$A$5:$A$500,'01_Products'!$C$5:$C$500),""))</x:f>
      </x:c>
      <x:c r="D173" s="32" t="str">
        <x:f>IF('03_Functionalities'!$A173="","",'03_Functionalities'!$B173)</x:f>
      </x:c>
      <x:c r="E173" s="32" t="str">
        <x:f>IF($D173="","",IFERROR(XLOOKUP($D173,'02_Features'!$A$5:$A$1000,'02_Features'!$C$5:$C$1000),""))</x:f>
      </x:c>
      <x:c r="F173" s="32" t="str">
        <x:f>IF($D173="","",IFERROR(XLOOKUP($D173,'02_Features'!$A$5:$A$1000,'02_Features'!$D$5:$D$1000),""))</x:f>
      </x:c>
      <x:c r="G173" s="32" t="str">
        <x:f>IF($D173="","",IFERROR(XLOOKUP($D173,'02_Features'!$A$5:$A$1000,'02_Features'!$E$5:$E$1000),""))</x:f>
      </x:c>
      <x:c r="H173" s="32" t="str">
        <x:f>IF('03_Functionalities'!$A173="","",'03_Functionalities'!$A173)</x:f>
      </x:c>
      <x:c r="I173" s="32" t="str">
        <x:f>IF($H173="","",'03_Functionalities'!$D173)</x:f>
      </x:c>
      <x:c r="J173" s="32" t="str">
        <x:f>IF($H173="","",'03_Functionalities'!$E173)</x:f>
      </x:c>
      <x:c r="K173" s="32" t="str">
        <x:f>IF($H173="","",'03_Functionalities'!$F173)</x:f>
      </x:c>
      <x:c r="L173" s="32" t="str">
        <x:f>IF($H173="","",'03_Functionalities'!$G173)</x:f>
      </x:c>
      <x:c r="M173" s="32" t="str">
        <x:f>IF($H173="","",'03_Functionalities'!$H173)</x:f>
      </x:c>
      <x:c r="N173" s="32" t="str">
        <x:f>IF($H173="","",'03_Functionalities'!$I173)</x:f>
      </x:c>
      <x:c r="O173" s="32" t="str">
        <x:f>IF($H173="","",'03_Functionalities'!$J173)</x:f>
      </x:c>
      <x:c r="P173" s="32" t="str">
        <x:f>IF($H173="","",'03_Functionalities'!$K173)</x:f>
      </x:c>
      <x:c r="Q173" s="32" t="str">
        <x:f>IF($H173="","",'03_Functionalities'!$L173)</x:f>
      </x:c>
      <x:c r="R173" s="32" t="str">
        <x:f>IF($H173="","",'03_Functionalities'!$M173)</x:f>
      </x:c>
      <x:c r="S173" s="32" t="str">
        <x:f>IF($H173="","",'03_Functionalities'!$N173)</x:f>
      </x:c>
      <x:c r="T173" s="32" t="str">
        <x:f>IF($H173="","",'03_Functionalities'!$O173)</x:f>
      </x:c>
      <x:c r="U173" s="32" t="str">
        <x:f>IF($A173="","",IFERROR(XLOOKUP($A173,'01_Products'!$A$5:$A$500,'01_Products'!$G$5:$G$500),""))</x:f>
      </x:c>
      <x:c r="V173" s="32" t="str">
        <x:f>IF($D173="","",IFERROR(XLOOKUP($D173,'02_Features'!$A$5:$A$1000,'02_Features'!$J$5:$J$1000),""))</x:f>
      </x:c>
      <x:c r="W173" s="32" t="str">
        <x:f>IF($H173="","",'03_Functionalities'!$P173)</x:f>
      </x:c>
      <x:c r="X173" s="32" t="str">
        <x:f>IF($H173="","",'03_Functionalities'!$Q173)</x:f>
      </x:c>
      <x:c r="Y173" s="38"/>
      <x:c r="Z173" s="38"/>
    </x:row>
    <x:row r="174" ht="18" customHeight="1">
      <x:c r="A174" s="32" t="str">
        <x:f>IF('03_Functionalities'!$A174="","",'03_Functionalities'!$C174)</x:f>
      </x:c>
      <x:c r="B174" s="32" t="str">
        <x:f>IF($A174="","",IFERROR(XLOOKUP($A174,'01_Products'!$A$5:$A$500,'01_Products'!$B$5:$B$500),""))</x:f>
      </x:c>
      <x:c r="C174" s="32" t="str">
        <x:f>IF($A174="","",IFERROR(XLOOKUP($A174,'01_Products'!$A$5:$A$500,'01_Products'!$C$5:$C$500),""))</x:f>
      </x:c>
      <x:c r="D174" s="32" t="str">
        <x:f>IF('03_Functionalities'!$A174="","",'03_Functionalities'!$B174)</x:f>
      </x:c>
      <x:c r="E174" s="32" t="str">
        <x:f>IF($D174="","",IFERROR(XLOOKUP($D174,'02_Features'!$A$5:$A$1000,'02_Features'!$C$5:$C$1000),""))</x:f>
      </x:c>
      <x:c r="F174" s="32" t="str">
        <x:f>IF($D174="","",IFERROR(XLOOKUP($D174,'02_Features'!$A$5:$A$1000,'02_Features'!$D$5:$D$1000),""))</x:f>
      </x:c>
      <x:c r="G174" s="32" t="str">
        <x:f>IF($D174="","",IFERROR(XLOOKUP($D174,'02_Features'!$A$5:$A$1000,'02_Features'!$E$5:$E$1000),""))</x:f>
      </x:c>
      <x:c r="H174" s="32" t="str">
        <x:f>IF('03_Functionalities'!$A174="","",'03_Functionalities'!$A174)</x:f>
      </x:c>
      <x:c r="I174" s="32" t="str">
        <x:f>IF($H174="","",'03_Functionalities'!$D174)</x:f>
      </x:c>
      <x:c r="J174" s="32" t="str">
        <x:f>IF($H174="","",'03_Functionalities'!$E174)</x:f>
      </x:c>
      <x:c r="K174" s="32" t="str">
        <x:f>IF($H174="","",'03_Functionalities'!$F174)</x:f>
      </x:c>
      <x:c r="L174" s="32" t="str">
        <x:f>IF($H174="","",'03_Functionalities'!$G174)</x:f>
      </x:c>
      <x:c r="M174" s="32" t="str">
        <x:f>IF($H174="","",'03_Functionalities'!$H174)</x:f>
      </x:c>
      <x:c r="N174" s="32" t="str">
        <x:f>IF($H174="","",'03_Functionalities'!$I174)</x:f>
      </x:c>
      <x:c r="O174" s="32" t="str">
        <x:f>IF($H174="","",'03_Functionalities'!$J174)</x:f>
      </x:c>
      <x:c r="P174" s="32" t="str">
        <x:f>IF($H174="","",'03_Functionalities'!$K174)</x:f>
      </x:c>
      <x:c r="Q174" s="32" t="str">
        <x:f>IF($H174="","",'03_Functionalities'!$L174)</x:f>
      </x:c>
      <x:c r="R174" s="32" t="str">
        <x:f>IF($H174="","",'03_Functionalities'!$M174)</x:f>
      </x:c>
      <x:c r="S174" s="32" t="str">
        <x:f>IF($H174="","",'03_Functionalities'!$N174)</x:f>
      </x:c>
      <x:c r="T174" s="32" t="str">
        <x:f>IF($H174="","",'03_Functionalities'!$O174)</x:f>
      </x:c>
      <x:c r="U174" s="32" t="str">
        <x:f>IF($A174="","",IFERROR(XLOOKUP($A174,'01_Products'!$A$5:$A$500,'01_Products'!$G$5:$G$500),""))</x:f>
      </x:c>
      <x:c r="V174" s="32" t="str">
        <x:f>IF($D174="","",IFERROR(XLOOKUP($D174,'02_Features'!$A$5:$A$1000,'02_Features'!$J$5:$J$1000),""))</x:f>
      </x:c>
      <x:c r="W174" s="32" t="str">
        <x:f>IF($H174="","",'03_Functionalities'!$P174)</x:f>
      </x:c>
      <x:c r="X174" s="32" t="str">
        <x:f>IF($H174="","",'03_Functionalities'!$Q174)</x:f>
      </x:c>
      <x:c r="Y174" s="38"/>
      <x:c r="Z174" s="38"/>
    </x:row>
    <x:row r="175" ht="18" customHeight="1">
      <x:c r="A175" s="32" t="str">
        <x:f>IF('03_Functionalities'!$A175="","",'03_Functionalities'!$C175)</x:f>
      </x:c>
      <x:c r="B175" s="32" t="str">
        <x:f>IF($A175="","",IFERROR(XLOOKUP($A175,'01_Products'!$A$5:$A$500,'01_Products'!$B$5:$B$500),""))</x:f>
      </x:c>
      <x:c r="C175" s="32" t="str">
        <x:f>IF($A175="","",IFERROR(XLOOKUP($A175,'01_Products'!$A$5:$A$500,'01_Products'!$C$5:$C$500),""))</x:f>
      </x:c>
      <x:c r="D175" s="32" t="str">
        <x:f>IF('03_Functionalities'!$A175="","",'03_Functionalities'!$B175)</x:f>
      </x:c>
      <x:c r="E175" s="32" t="str">
        <x:f>IF($D175="","",IFERROR(XLOOKUP($D175,'02_Features'!$A$5:$A$1000,'02_Features'!$C$5:$C$1000),""))</x:f>
      </x:c>
      <x:c r="F175" s="32" t="str">
        <x:f>IF($D175="","",IFERROR(XLOOKUP($D175,'02_Features'!$A$5:$A$1000,'02_Features'!$D$5:$D$1000),""))</x:f>
      </x:c>
      <x:c r="G175" s="32" t="str">
        <x:f>IF($D175="","",IFERROR(XLOOKUP($D175,'02_Features'!$A$5:$A$1000,'02_Features'!$E$5:$E$1000),""))</x:f>
      </x:c>
      <x:c r="H175" s="32" t="str">
        <x:f>IF('03_Functionalities'!$A175="","",'03_Functionalities'!$A175)</x:f>
      </x:c>
      <x:c r="I175" s="32" t="str">
        <x:f>IF($H175="","",'03_Functionalities'!$D175)</x:f>
      </x:c>
      <x:c r="J175" s="32" t="str">
        <x:f>IF($H175="","",'03_Functionalities'!$E175)</x:f>
      </x:c>
      <x:c r="K175" s="32" t="str">
        <x:f>IF($H175="","",'03_Functionalities'!$F175)</x:f>
      </x:c>
      <x:c r="L175" s="32" t="str">
        <x:f>IF($H175="","",'03_Functionalities'!$G175)</x:f>
      </x:c>
      <x:c r="M175" s="32" t="str">
        <x:f>IF($H175="","",'03_Functionalities'!$H175)</x:f>
      </x:c>
      <x:c r="N175" s="32" t="str">
        <x:f>IF($H175="","",'03_Functionalities'!$I175)</x:f>
      </x:c>
      <x:c r="O175" s="32" t="str">
        <x:f>IF($H175="","",'03_Functionalities'!$J175)</x:f>
      </x:c>
      <x:c r="P175" s="32" t="str">
        <x:f>IF($H175="","",'03_Functionalities'!$K175)</x:f>
      </x:c>
      <x:c r="Q175" s="32" t="str">
        <x:f>IF($H175="","",'03_Functionalities'!$L175)</x:f>
      </x:c>
      <x:c r="R175" s="32" t="str">
        <x:f>IF($H175="","",'03_Functionalities'!$M175)</x:f>
      </x:c>
      <x:c r="S175" s="32" t="str">
        <x:f>IF($H175="","",'03_Functionalities'!$N175)</x:f>
      </x:c>
      <x:c r="T175" s="32" t="str">
        <x:f>IF($H175="","",'03_Functionalities'!$O175)</x:f>
      </x:c>
      <x:c r="U175" s="32" t="str">
        <x:f>IF($A175="","",IFERROR(XLOOKUP($A175,'01_Products'!$A$5:$A$500,'01_Products'!$G$5:$G$500),""))</x:f>
      </x:c>
      <x:c r="V175" s="32" t="str">
        <x:f>IF($D175="","",IFERROR(XLOOKUP($D175,'02_Features'!$A$5:$A$1000,'02_Features'!$J$5:$J$1000),""))</x:f>
      </x:c>
      <x:c r="W175" s="32" t="str">
        <x:f>IF($H175="","",'03_Functionalities'!$P175)</x:f>
      </x:c>
      <x:c r="X175" s="32" t="str">
        <x:f>IF($H175="","",'03_Functionalities'!$Q175)</x:f>
      </x:c>
      <x:c r="Y175" s="38"/>
      <x:c r="Z175" s="38"/>
    </x:row>
    <x:row r="176" ht="18" customHeight="1">
      <x:c r="A176" s="32" t="str">
        <x:f>IF('03_Functionalities'!$A176="","",'03_Functionalities'!$C176)</x:f>
      </x:c>
      <x:c r="B176" s="32" t="str">
        <x:f>IF($A176="","",IFERROR(XLOOKUP($A176,'01_Products'!$A$5:$A$500,'01_Products'!$B$5:$B$500),""))</x:f>
      </x:c>
      <x:c r="C176" s="32" t="str">
        <x:f>IF($A176="","",IFERROR(XLOOKUP($A176,'01_Products'!$A$5:$A$500,'01_Products'!$C$5:$C$500),""))</x:f>
      </x:c>
      <x:c r="D176" s="32" t="str">
        <x:f>IF('03_Functionalities'!$A176="","",'03_Functionalities'!$B176)</x:f>
      </x:c>
      <x:c r="E176" s="32" t="str">
        <x:f>IF($D176="","",IFERROR(XLOOKUP($D176,'02_Features'!$A$5:$A$1000,'02_Features'!$C$5:$C$1000),""))</x:f>
      </x:c>
      <x:c r="F176" s="32" t="str">
        <x:f>IF($D176="","",IFERROR(XLOOKUP($D176,'02_Features'!$A$5:$A$1000,'02_Features'!$D$5:$D$1000),""))</x:f>
      </x:c>
      <x:c r="G176" s="32" t="str">
        <x:f>IF($D176="","",IFERROR(XLOOKUP($D176,'02_Features'!$A$5:$A$1000,'02_Features'!$E$5:$E$1000),""))</x:f>
      </x:c>
      <x:c r="H176" s="32" t="str">
        <x:f>IF('03_Functionalities'!$A176="","",'03_Functionalities'!$A176)</x:f>
      </x:c>
      <x:c r="I176" s="32" t="str">
        <x:f>IF($H176="","",'03_Functionalities'!$D176)</x:f>
      </x:c>
      <x:c r="J176" s="32" t="str">
        <x:f>IF($H176="","",'03_Functionalities'!$E176)</x:f>
      </x:c>
      <x:c r="K176" s="32" t="str">
        <x:f>IF($H176="","",'03_Functionalities'!$F176)</x:f>
      </x:c>
      <x:c r="L176" s="32" t="str">
        <x:f>IF($H176="","",'03_Functionalities'!$G176)</x:f>
      </x:c>
      <x:c r="M176" s="32" t="str">
        <x:f>IF($H176="","",'03_Functionalities'!$H176)</x:f>
      </x:c>
      <x:c r="N176" s="32" t="str">
        <x:f>IF($H176="","",'03_Functionalities'!$I176)</x:f>
      </x:c>
      <x:c r="O176" s="32" t="str">
        <x:f>IF($H176="","",'03_Functionalities'!$J176)</x:f>
      </x:c>
      <x:c r="P176" s="32" t="str">
        <x:f>IF($H176="","",'03_Functionalities'!$K176)</x:f>
      </x:c>
      <x:c r="Q176" s="32" t="str">
        <x:f>IF($H176="","",'03_Functionalities'!$L176)</x:f>
      </x:c>
      <x:c r="R176" s="32" t="str">
        <x:f>IF($H176="","",'03_Functionalities'!$M176)</x:f>
      </x:c>
      <x:c r="S176" s="32" t="str">
        <x:f>IF($H176="","",'03_Functionalities'!$N176)</x:f>
      </x:c>
      <x:c r="T176" s="32" t="str">
        <x:f>IF($H176="","",'03_Functionalities'!$O176)</x:f>
      </x:c>
      <x:c r="U176" s="32" t="str">
        <x:f>IF($A176="","",IFERROR(XLOOKUP($A176,'01_Products'!$A$5:$A$500,'01_Products'!$G$5:$G$500),""))</x:f>
      </x:c>
      <x:c r="V176" s="32" t="str">
        <x:f>IF($D176="","",IFERROR(XLOOKUP($D176,'02_Features'!$A$5:$A$1000,'02_Features'!$J$5:$J$1000),""))</x:f>
      </x:c>
      <x:c r="W176" s="32" t="str">
        <x:f>IF($H176="","",'03_Functionalities'!$P176)</x:f>
      </x:c>
      <x:c r="X176" s="32" t="str">
        <x:f>IF($H176="","",'03_Functionalities'!$Q176)</x:f>
      </x:c>
      <x:c r="Y176" s="38"/>
      <x:c r="Z176" s="38"/>
    </x:row>
    <x:row r="177" ht="18" customHeight="1">
      <x:c r="A177" s="32" t="str">
        <x:f>IF('03_Functionalities'!$A177="","",'03_Functionalities'!$C177)</x:f>
      </x:c>
      <x:c r="B177" s="32" t="str">
        <x:f>IF($A177="","",IFERROR(XLOOKUP($A177,'01_Products'!$A$5:$A$500,'01_Products'!$B$5:$B$500),""))</x:f>
      </x:c>
      <x:c r="C177" s="32" t="str">
        <x:f>IF($A177="","",IFERROR(XLOOKUP($A177,'01_Products'!$A$5:$A$500,'01_Products'!$C$5:$C$500),""))</x:f>
      </x:c>
      <x:c r="D177" s="32" t="str">
        <x:f>IF('03_Functionalities'!$A177="","",'03_Functionalities'!$B177)</x:f>
      </x:c>
      <x:c r="E177" s="32" t="str">
        <x:f>IF($D177="","",IFERROR(XLOOKUP($D177,'02_Features'!$A$5:$A$1000,'02_Features'!$C$5:$C$1000),""))</x:f>
      </x:c>
      <x:c r="F177" s="32" t="str">
        <x:f>IF($D177="","",IFERROR(XLOOKUP($D177,'02_Features'!$A$5:$A$1000,'02_Features'!$D$5:$D$1000),""))</x:f>
      </x:c>
      <x:c r="G177" s="32" t="str">
        <x:f>IF($D177="","",IFERROR(XLOOKUP($D177,'02_Features'!$A$5:$A$1000,'02_Features'!$E$5:$E$1000),""))</x:f>
      </x:c>
      <x:c r="H177" s="32" t="str">
        <x:f>IF('03_Functionalities'!$A177="","",'03_Functionalities'!$A177)</x:f>
      </x:c>
      <x:c r="I177" s="32" t="str">
        <x:f>IF($H177="","",'03_Functionalities'!$D177)</x:f>
      </x:c>
      <x:c r="J177" s="32" t="str">
        <x:f>IF($H177="","",'03_Functionalities'!$E177)</x:f>
      </x:c>
      <x:c r="K177" s="32" t="str">
        <x:f>IF($H177="","",'03_Functionalities'!$F177)</x:f>
      </x:c>
      <x:c r="L177" s="32" t="str">
        <x:f>IF($H177="","",'03_Functionalities'!$G177)</x:f>
      </x:c>
      <x:c r="M177" s="32" t="str">
        <x:f>IF($H177="","",'03_Functionalities'!$H177)</x:f>
      </x:c>
      <x:c r="N177" s="32" t="str">
        <x:f>IF($H177="","",'03_Functionalities'!$I177)</x:f>
      </x:c>
      <x:c r="O177" s="32" t="str">
        <x:f>IF($H177="","",'03_Functionalities'!$J177)</x:f>
      </x:c>
      <x:c r="P177" s="32" t="str">
        <x:f>IF($H177="","",'03_Functionalities'!$K177)</x:f>
      </x:c>
      <x:c r="Q177" s="32" t="str">
        <x:f>IF($H177="","",'03_Functionalities'!$L177)</x:f>
      </x:c>
      <x:c r="R177" s="32" t="str">
        <x:f>IF($H177="","",'03_Functionalities'!$M177)</x:f>
      </x:c>
      <x:c r="S177" s="32" t="str">
        <x:f>IF($H177="","",'03_Functionalities'!$N177)</x:f>
      </x:c>
      <x:c r="T177" s="32" t="str">
        <x:f>IF($H177="","",'03_Functionalities'!$O177)</x:f>
      </x:c>
      <x:c r="U177" s="32" t="str">
        <x:f>IF($A177="","",IFERROR(XLOOKUP($A177,'01_Products'!$A$5:$A$500,'01_Products'!$G$5:$G$500),""))</x:f>
      </x:c>
      <x:c r="V177" s="32" t="str">
        <x:f>IF($D177="","",IFERROR(XLOOKUP($D177,'02_Features'!$A$5:$A$1000,'02_Features'!$J$5:$J$1000),""))</x:f>
      </x:c>
      <x:c r="W177" s="32" t="str">
        <x:f>IF($H177="","",'03_Functionalities'!$P177)</x:f>
      </x:c>
      <x:c r="X177" s="32" t="str">
        <x:f>IF($H177="","",'03_Functionalities'!$Q177)</x:f>
      </x:c>
      <x:c r="Y177" s="38"/>
      <x:c r="Z177" s="38"/>
    </x:row>
    <x:row r="178" ht="18" customHeight="1">
      <x:c r="A178" s="32" t="str">
        <x:f>IF('03_Functionalities'!$A178="","",'03_Functionalities'!$C178)</x:f>
      </x:c>
      <x:c r="B178" s="32" t="str">
        <x:f>IF($A178="","",IFERROR(XLOOKUP($A178,'01_Products'!$A$5:$A$500,'01_Products'!$B$5:$B$500),""))</x:f>
      </x:c>
      <x:c r="C178" s="32" t="str">
        <x:f>IF($A178="","",IFERROR(XLOOKUP($A178,'01_Products'!$A$5:$A$500,'01_Products'!$C$5:$C$500),""))</x:f>
      </x:c>
      <x:c r="D178" s="32" t="str">
        <x:f>IF('03_Functionalities'!$A178="","",'03_Functionalities'!$B178)</x:f>
      </x:c>
      <x:c r="E178" s="32" t="str">
        <x:f>IF($D178="","",IFERROR(XLOOKUP($D178,'02_Features'!$A$5:$A$1000,'02_Features'!$C$5:$C$1000),""))</x:f>
      </x:c>
      <x:c r="F178" s="32" t="str">
        <x:f>IF($D178="","",IFERROR(XLOOKUP($D178,'02_Features'!$A$5:$A$1000,'02_Features'!$D$5:$D$1000),""))</x:f>
      </x:c>
      <x:c r="G178" s="32" t="str">
        <x:f>IF($D178="","",IFERROR(XLOOKUP($D178,'02_Features'!$A$5:$A$1000,'02_Features'!$E$5:$E$1000),""))</x:f>
      </x:c>
      <x:c r="H178" s="32" t="str">
        <x:f>IF('03_Functionalities'!$A178="","",'03_Functionalities'!$A178)</x:f>
      </x:c>
      <x:c r="I178" s="32" t="str">
        <x:f>IF($H178="","",'03_Functionalities'!$D178)</x:f>
      </x:c>
      <x:c r="J178" s="32" t="str">
        <x:f>IF($H178="","",'03_Functionalities'!$E178)</x:f>
      </x:c>
      <x:c r="K178" s="32" t="str">
        <x:f>IF($H178="","",'03_Functionalities'!$F178)</x:f>
      </x:c>
      <x:c r="L178" s="32" t="str">
        <x:f>IF($H178="","",'03_Functionalities'!$G178)</x:f>
      </x:c>
      <x:c r="M178" s="32" t="str">
        <x:f>IF($H178="","",'03_Functionalities'!$H178)</x:f>
      </x:c>
      <x:c r="N178" s="32" t="str">
        <x:f>IF($H178="","",'03_Functionalities'!$I178)</x:f>
      </x:c>
      <x:c r="O178" s="32" t="str">
        <x:f>IF($H178="","",'03_Functionalities'!$J178)</x:f>
      </x:c>
      <x:c r="P178" s="32" t="str">
        <x:f>IF($H178="","",'03_Functionalities'!$K178)</x:f>
      </x:c>
      <x:c r="Q178" s="32" t="str">
        <x:f>IF($H178="","",'03_Functionalities'!$L178)</x:f>
      </x:c>
      <x:c r="R178" s="32" t="str">
        <x:f>IF($H178="","",'03_Functionalities'!$M178)</x:f>
      </x:c>
      <x:c r="S178" s="32" t="str">
        <x:f>IF($H178="","",'03_Functionalities'!$N178)</x:f>
      </x:c>
      <x:c r="T178" s="32" t="str">
        <x:f>IF($H178="","",'03_Functionalities'!$O178)</x:f>
      </x:c>
      <x:c r="U178" s="32" t="str">
        <x:f>IF($A178="","",IFERROR(XLOOKUP($A178,'01_Products'!$A$5:$A$500,'01_Products'!$G$5:$G$500),""))</x:f>
      </x:c>
      <x:c r="V178" s="32" t="str">
        <x:f>IF($D178="","",IFERROR(XLOOKUP($D178,'02_Features'!$A$5:$A$1000,'02_Features'!$J$5:$J$1000),""))</x:f>
      </x:c>
      <x:c r="W178" s="32" t="str">
        <x:f>IF($H178="","",'03_Functionalities'!$P178)</x:f>
      </x:c>
      <x:c r="X178" s="32" t="str">
        <x:f>IF($H178="","",'03_Functionalities'!$Q178)</x:f>
      </x:c>
      <x:c r="Y178" s="38"/>
      <x:c r="Z178" s="38"/>
    </x:row>
    <x:row r="179" ht="18" customHeight="1">
      <x:c r="A179" s="32" t="str">
        <x:f>IF('03_Functionalities'!$A179="","",'03_Functionalities'!$C179)</x:f>
      </x:c>
      <x:c r="B179" s="32" t="str">
        <x:f>IF($A179="","",IFERROR(XLOOKUP($A179,'01_Products'!$A$5:$A$500,'01_Products'!$B$5:$B$500),""))</x:f>
      </x:c>
      <x:c r="C179" s="32" t="str">
        <x:f>IF($A179="","",IFERROR(XLOOKUP($A179,'01_Products'!$A$5:$A$500,'01_Products'!$C$5:$C$500),""))</x:f>
      </x:c>
      <x:c r="D179" s="32" t="str">
        <x:f>IF('03_Functionalities'!$A179="","",'03_Functionalities'!$B179)</x:f>
      </x:c>
      <x:c r="E179" s="32" t="str">
        <x:f>IF($D179="","",IFERROR(XLOOKUP($D179,'02_Features'!$A$5:$A$1000,'02_Features'!$C$5:$C$1000),""))</x:f>
      </x:c>
      <x:c r="F179" s="32" t="str">
        <x:f>IF($D179="","",IFERROR(XLOOKUP($D179,'02_Features'!$A$5:$A$1000,'02_Features'!$D$5:$D$1000),""))</x:f>
      </x:c>
      <x:c r="G179" s="32" t="str">
        <x:f>IF($D179="","",IFERROR(XLOOKUP($D179,'02_Features'!$A$5:$A$1000,'02_Features'!$E$5:$E$1000),""))</x:f>
      </x:c>
      <x:c r="H179" s="32" t="str">
        <x:f>IF('03_Functionalities'!$A179="","",'03_Functionalities'!$A179)</x:f>
      </x:c>
      <x:c r="I179" s="32" t="str">
        <x:f>IF($H179="","",'03_Functionalities'!$D179)</x:f>
      </x:c>
      <x:c r="J179" s="32" t="str">
        <x:f>IF($H179="","",'03_Functionalities'!$E179)</x:f>
      </x:c>
      <x:c r="K179" s="32" t="str">
        <x:f>IF($H179="","",'03_Functionalities'!$F179)</x:f>
      </x:c>
      <x:c r="L179" s="32" t="str">
        <x:f>IF($H179="","",'03_Functionalities'!$G179)</x:f>
      </x:c>
      <x:c r="M179" s="32" t="str">
        <x:f>IF($H179="","",'03_Functionalities'!$H179)</x:f>
      </x:c>
      <x:c r="N179" s="32" t="str">
        <x:f>IF($H179="","",'03_Functionalities'!$I179)</x:f>
      </x:c>
      <x:c r="O179" s="32" t="str">
        <x:f>IF($H179="","",'03_Functionalities'!$J179)</x:f>
      </x:c>
      <x:c r="P179" s="32" t="str">
        <x:f>IF($H179="","",'03_Functionalities'!$K179)</x:f>
      </x:c>
      <x:c r="Q179" s="32" t="str">
        <x:f>IF($H179="","",'03_Functionalities'!$L179)</x:f>
      </x:c>
      <x:c r="R179" s="32" t="str">
        <x:f>IF($H179="","",'03_Functionalities'!$M179)</x:f>
      </x:c>
      <x:c r="S179" s="32" t="str">
        <x:f>IF($H179="","",'03_Functionalities'!$N179)</x:f>
      </x:c>
      <x:c r="T179" s="32" t="str">
        <x:f>IF($H179="","",'03_Functionalities'!$O179)</x:f>
      </x:c>
      <x:c r="U179" s="32" t="str">
        <x:f>IF($A179="","",IFERROR(XLOOKUP($A179,'01_Products'!$A$5:$A$500,'01_Products'!$G$5:$G$500),""))</x:f>
      </x:c>
      <x:c r="V179" s="32" t="str">
        <x:f>IF($D179="","",IFERROR(XLOOKUP($D179,'02_Features'!$A$5:$A$1000,'02_Features'!$J$5:$J$1000),""))</x:f>
      </x:c>
      <x:c r="W179" s="32" t="str">
        <x:f>IF($H179="","",'03_Functionalities'!$P179)</x:f>
      </x:c>
      <x:c r="X179" s="32" t="str">
        <x:f>IF($H179="","",'03_Functionalities'!$Q179)</x:f>
      </x:c>
      <x:c r="Y179" s="38"/>
      <x:c r="Z179" s="38"/>
    </x:row>
    <x:row r="180" ht="18" customHeight="1">
      <x:c r="A180" s="32" t="str">
        <x:f>IF('03_Functionalities'!$A180="","",'03_Functionalities'!$C180)</x:f>
      </x:c>
      <x:c r="B180" s="32" t="str">
        <x:f>IF($A180="","",IFERROR(XLOOKUP($A180,'01_Products'!$A$5:$A$500,'01_Products'!$B$5:$B$500),""))</x:f>
      </x:c>
      <x:c r="C180" s="32" t="str">
        <x:f>IF($A180="","",IFERROR(XLOOKUP($A180,'01_Products'!$A$5:$A$500,'01_Products'!$C$5:$C$500),""))</x:f>
      </x:c>
      <x:c r="D180" s="32" t="str">
        <x:f>IF('03_Functionalities'!$A180="","",'03_Functionalities'!$B180)</x:f>
      </x:c>
      <x:c r="E180" s="32" t="str">
        <x:f>IF($D180="","",IFERROR(XLOOKUP($D180,'02_Features'!$A$5:$A$1000,'02_Features'!$C$5:$C$1000),""))</x:f>
      </x:c>
      <x:c r="F180" s="32" t="str">
        <x:f>IF($D180="","",IFERROR(XLOOKUP($D180,'02_Features'!$A$5:$A$1000,'02_Features'!$D$5:$D$1000),""))</x:f>
      </x:c>
      <x:c r="G180" s="32" t="str">
        <x:f>IF($D180="","",IFERROR(XLOOKUP($D180,'02_Features'!$A$5:$A$1000,'02_Features'!$E$5:$E$1000),""))</x:f>
      </x:c>
      <x:c r="H180" s="32" t="str">
        <x:f>IF('03_Functionalities'!$A180="","",'03_Functionalities'!$A180)</x:f>
      </x:c>
      <x:c r="I180" s="32" t="str">
        <x:f>IF($H180="","",'03_Functionalities'!$D180)</x:f>
      </x:c>
      <x:c r="J180" s="32" t="str">
        <x:f>IF($H180="","",'03_Functionalities'!$E180)</x:f>
      </x:c>
      <x:c r="K180" s="32" t="str">
        <x:f>IF($H180="","",'03_Functionalities'!$F180)</x:f>
      </x:c>
      <x:c r="L180" s="32" t="str">
        <x:f>IF($H180="","",'03_Functionalities'!$G180)</x:f>
      </x:c>
      <x:c r="M180" s="32" t="str">
        <x:f>IF($H180="","",'03_Functionalities'!$H180)</x:f>
      </x:c>
      <x:c r="N180" s="32" t="str">
        <x:f>IF($H180="","",'03_Functionalities'!$I180)</x:f>
      </x:c>
      <x:c r="O180" s="32" t="str">
        <x:f>IF($H180="","",'03_Functionalities'!$J180)</x:f>
      </x:c>
      <x:c r="P180" s="32" t="str">
        <x:f>IF($H180="","",'03_Functionalities'!$K180)</x:f>
      </x:c>
      <x:c r="Q180" s="32" t="str">
        <x:f>IF($H180="","",'03_Functionalities'!$L180)</x:f>
      </x:c>
      <x:c r="R180" s="32" t="str">
        <x:f>IF($H180="","",'03_Functionalities'!$M180)</x:f>
      </x:c>
      <x:c r="S180" s="32" t="str">
        <x:f>IF($H180="","",'03_Functionalities'!$N180)</x:f>
      </x:c>
      <x:c r="T180" s="32" t="str">
        <x:f>IF($H180="","",'03_Functionalities'!$O180)</x:f>
      </x:c>
      <x:c r="U180" s="32" t="str">
        <x:f>IF($A180="","",IFERROR(XLOOKUP($A180,'01_Products'!$A$5:$A$500,'01_Products'!$G$5:$G$500),""))</x:f>
      </x:c>
      <x:c r="V180" s="32" t="str">
        <x:f>IF($D180="","",IFERROR(XLOOKUP($D180,'02_Features'!$A$5:$A$1000,'02_Features'!$J$5:$J$1000),""))</x:f>
      </x:c>
      <x:c r="W180" s="32" t="str">
        <x:f>IF($H180="","",'03_Functionalities'!$P180)</x:f>
      </x:c>
      <x:c r="X180" s="32" t="str">
        <x:f>IF($H180="","",'03_Functionalities'!$Q180)</x:f>
      </x:c>
      <x:c r="Y180" s="38"/>
      <x:c r="Z180" s="38"/>
    </x:row>
    <x:row r="181" ht="18" customHeight="1">
      <x:c r="A181" s="32" t="str">
        <x:f>IF('03_Functionalities'!$A181="","",'03_Functionalities'!$C181)</x:f>
      </x:c>
      <x:c r="B181" s="32" t="str">
        <x:f>IF($A181="","",IFERROR(XLOOKUP($A181,'01_Products'!$A$5:$A$500,'01_Products'!$B$5:$B$500),""))</x:f>
      </x:c>
      <x:c r="C181" s="32" t="str">
        <x:f>IF($A181="","",IFERROR(XLOOKUP($A181,'01_Products'!$A$5:$A$500,'01_Products'!$C$5:$C$500),""))</x:f>
      </x:c>
      <x:c r="D181" s="32" t="str">
        <x:f>IF('03_Functionalities'!$A181="","",'03_Functionalities'!$B181)</x:f>
      </x:c>
      <x:c r="E181" s="32" t="str">
        <x:f>IF($D181="","",IFERROR(XLOOKUP($D181,'02_Features'!$A$5:$A$1000,'02_Features'!$C$5:$C$1000),""))</x:f>
      </x:c>
      <x:c r="F181" s="32" t="str">
        <x:f>IF($D181="","",IFERROR(XLOOKUP($D181,'02_Features'!$A$5:$A$1000,'02_Features'!$D$5:$D$1000),""))</x:f>
      </x:c>
      <x:c r="G181" s="32" t="str">
        <x:f>IF($D181="","",IFERROR(XLOOKUP($D181,'02_Features'!$A$5:$A$1000,'02_Features'!$E$5:$E$1000),""))</x:f>
      </x:c>
      <x:c r="H181" s="32" t="str">
        <x:f>IF('03_Functionalities'!$A181="","",'03_Functionalities'!$A181)</x:f>
      </x:c>
      <x:c r="I181" s="32" t="str">
        <x:f>IF($H181="","",'03_Functionalities'!$D181)</x:f>
      </x:c>
      <x:c r="J181" s="32" t="str">
        <x:f>IF($H181="","",'03_Functionalities'!$E181)</x:f>
      </x:c>
      <x:c r="K181" s="32" t="str">
        <x:f>IF($H181="","",'03_Functionalities'!$F181)</x:f>
      </x:c>
      <x:c r="L181" s="32" t="str">
        <x:f>IF($H181="","",'03_Functionalities'!$G181)</x:f>
      </x:c>
      <x:c r="M181" s="32" t="str">
        <x:f>IF($H181="","",'03_Functionalities'!$H181)</x:f>
      </x:c>
      <x:c r="N181" s="32" t="str">
        <x:f>IF($H181="","",'03_Functionalities'!$I181)</x:f>
      </x:c>
      <x:c r="O181" s="32" t="str">
        <x:f>IF($H181="","",'03_Functionalities'!$J181)</x:f>
      </x:c>
      <x:c r="P181" s="32" t="str">
        <x:f>IF($H181="","",'03_Functionalities'!$K181)</x:f>
      </x:c>
      <x:c r="Q181" s="32" t="str">
        <x:f>IF($H181="","",'03_Functionalities'!$L181)</x:f>
      </x:c>
      <x:c r="R181" s="32" t="str">
        <x:f>IF($H181="","",'03_Functionalities'!$M181)</x:f>
      </x:c>
      <x:c r="S181" s="32" t="str">
        <x:f>IF($H181="","",'03_Functionalities'!$N181)</x:f>
      </x:c>
      <x:c r="T181" s="32" t="str">
        <x:f>IF($H181="","",'03_Functionalities'!$O181)</x:f>
      </x:c>
      <x:c r="U181" s="32" t="str">
        <x:f>IF($A181="","",IFERROR(XLOOKUP($A181,'01_Products'!$A$5:$A$500,'01_Products'!$G$5:$G$500),""))</x:f>
      </x:c>
      <x:c r="V181" s="32" t="str">
        <x:f>IF($D181="","",IFERROR(XLOOKUP($D181,'02_Features'!$A$5:$A$1000,'02_Features'!$J$5:$J$1000),""))</x:f>
      </x:c>
      <x:c r="W181" s="32" t="str">
        <x:f>IF($H181="","",'03_Functionalities'!$P181)</x:f>
      </x:c>
      <x:c r="X181" s="32" t="str">
        <x:f>IF($H181="","",'03_Functionalities'!$Q181)</x:f>
      </x:c>
      <x:c r="Y181" s="38"/>
      <x:c r="Z181" s="38"/>
    </x:row>
    <x:row r="182" ht="18" customHeight="1">
      <x:c r="A182" s="32" t="str">
        <x:f>IF('03_Functionalities'!$A182="","",'03_Functionalities'!$C182)</x:f>
      </x:c>
      <x:c r="B182" s="32" t="str">
        <x:f>IF($A182="","",IFERROR(XLOOKUP($A182,'01_Products'!$A$5:$A$500,'01_Products'!$B$5:$B$500),""))</x:f>
      </x:c>
      <x:c r="C182" s="32" t="str">
        <x:f>IF($A182="","",IFERROR(XLOOKUP($A182,'01_Products'!$A$5:$A$500,'01_Products'!$C$5:$C$500),""))</x:f>
      </x:c>
      <x:c r="D182" s="32" t="str">
        <x:f>IF('03_Functionalities'!$A182="","",'03_Functionalities'!$B182)</x:f>
      </x:c>
      <x:c r="E182" s="32" t="str">
        <x:f>IF($D182="","",IFERROR(XLOOKUP($D182,'02_Features'!$A$5:$A$1000,'02_Features'!$C$5:$C$1000),""))</x:f>
      </x:c>
      <x:c r="F182" s="32" t="str">
        <x:f>IF($D182="","",IFERROR(XLOOKUP($D182,'02_Features'!$A$5:$A$1000,'02_Features'!$D$5:$D$1000),""))</x:f>
      </x:c>
      <x:c r="G182" s="32" t="str">
        <x:f>IF($D182="","",IFERROR(XLOOKUP($D182,'02_Features'!$A$5:$A$1000,'02_Features'!$E$5:$E$1000),""))</x:f>
      </x:c>
      <x:c r="H182" s="32" t="str">
        <x:f>IF('03_Functionalities'!$A182="","",'03_Functionalities'!$A182)</x:f>
      </x:c>
      <x:c r="I182" s="32" t="str">
        <x:f>IF($H182="","",'03_Functionalities'!$D182)</x:f>
      </x:c>
      <x:c r="J182" s="32" t="str">
        <x:f>IF($H182="","",'03_Functionalities'!$E182)</x:f>
      </x:c>
      <x:c r="K182" s="32" t="str">
        <x:f>IF($H182="","",'03_Functionalities'!$F182)</x:f>
      </x:c>
      <x:c r="L182" s="32" t="str">
        <x:f>IF($H182="","",'03_Functionalities'!$G182)</x:f>
      </x:c>
      <x:c r="M182" s="32" t="str">
        <x:f>IF($H182="","",'03_Functionalities'!$H182)</x:f>
      </x:c>
      <x:c r="N182" s="32" t="str">
        <x:f>IF($H182="","",'03_Functionalities'!$I182)</x:f>
      </x:c>
      <x:c r="O182" s="32" t="str">
        <x:f>IF($H182="","",'03_Functionalities'!$J182)</x:f>
      </x:c>
      <x:c r="P182" s="32" t="str">
        <x:f>IF($H182="","",'03_Functionalities'!$K182)</x:f>
      </x:c>
      <x:c r="Q182" s="32" t="str">
        <x:f>IF($H182="","",'03_Functionalities'!$L182)</x:f>
      </x:c>
      <x:c r="R182" s="32" t="str">
        <x:f>IF($H182="","",'03_Functionalities'!$M182)</x:f>
      </x:c>
      <x:c r="S182" s="32" t="str">
        <x:f>IF($H182="","",'03_Functionalities'!$N182)</x:f>
      </x:c>
      <x:c r="T182" s="32" t="str">
        <x:f>IF($H182="","",'03_Functionalities'!$O182)</x:f>
      </x:c>
      <x:c r="U182" s="32" t="str">
        <x:f>IF($A182="","",IFERROR(XLOOKUP($A182,'01_Products'!$A$5:$A$500,'01_Products'!$G$5:$G$500),""))</x:f>
      </x:c>
      <x:c r="V182" s="32" t="str">
        <x:f>IF($D182="","",IFERROR(XLOOKUP($D182,'02_Features'!$A$5:$A$1000,'02_Features'!$J$5:$J$1000),""))</x:f>
      </x:c>
      <x:c r="W182" s="32" t="str">
        <x:f>IF($H182="","",'03_Functionalities'!$P182)</x:f>
      </x:c>
      <x:c r="X182" s="32" t="str">
        <x:f>IF($H182="","",'03_Functionalities'!$Q182)</x:f>
      </x:c>
      <x:c r="Y182" s="38"/>
      <x:c r="Z182" s="38"/>
    </x:row>
    <x:row r="183" ht="18" customHeight="1">
      <x:c r="A183" s="32" t="str">
        <x:f>IF('03_Functionalities'!$A183="","",'03_Functionalities'!$C183)</x:f>
      </x:c>
      <x:c r="B183" s="32" t="str">
        <x:f>IF($A183="","",IFERROR(XLOOKUP($A183,'01_Products'!$A$5:$A$500,'01_Products'!$B$5:$B$500),""))</x:f>
      </x:c>
      <x:c r="C183" s="32" t="str">
        <x:f>IF($A183="","",IFERROR(XLOOKUP($A183,'01_Products'!$A$5:$A$500,'01_Products'!$C$5:$C$500),""))</x:f>
      </x:c>
      <x:c r="D183" s="32" t="str">
        <x:f>IF('03_Functionalities'!$A183="","",'03_Functionalities'!$B183)</x:f>
      </x:c>
      <x:c r="E183" s="32" t="str">
        <x:f>IF($D183="","",IFERROR(XLOOKUP($D183,'02_Features'!$A$5:$A$1000,'02_Features'!$C$5:$C$1000),""))</x:f>
      </x:c>
      <x:c r="F183" s="32" t="str">
        <x:f>IF($D183="","",IFERROR(XLOOKUP($D183,'02_Features'!$A$5:$A$1000,'02_Features'!$D$5:$D$1000),""))</x:f>
      </x:c>
      <x:c r="G183" s="32" t="str">
        <x:f>IF($D183="","",IFERROR(XLOOKUP($D183,'02_Features'!$A$5:$A$1000,'02_Features'!$E$5:$E$1000),""))</x:f>
      </x:c>
      <x:c r="H183" s="32" t="str">
        <x:f>IF('03_Functionalities'!$A183="","",'03_Functionalities'!$A183)</x:f>
      </x:c>
      <x:c r="I183" s="32" t="str">
        <x:f>IF($H183="","",'03_Functionalities'!$D183)</x:f>
      </x:c>
      <x:c r="J183" s="32" t="str">
        <x:f>IF($H183="","",'03_Functionalities'!$E183)</x:f>
      </x:c>
      <x:c r="K183" s="32" t="str">
        <x:f>IF($H183="","",'03_Functionalities'!$F183)</x:f>
      </x:c>
      <x:c r="L183" s="32" t="str">
        <x:f>IF($H183="","",'03_Functionalities'!$G183)</x:f>
      </x:c>
      <x:c r="M183" s="32" t="str">
        <x:f>IF($H183="","",'03_Functionalities'!$H183)</x:f>
      </x:c>
      <x:c r="N183" s="32" t="str">
        <x:f>IF($H183="","",'03_Functionalities'!$I183)</x:f>
      </x:c>
      <x:c r="O183" s="32" t="str">
        <x:f>IF($H183="","",'03_Functionalities'!$J183)</x:f>
      </x:c>
      <x:c r="P183" s="32" t="str">
        <x:f>IF($H183="","",'03_Functionalities'!$K183)</x:f>
      </x:c>
      <x:c r="Q183" s="32" t="str">
        <x:f>IF($H183="","",'03_Functionalities'!$L183)</x:f>
      </x:c>
      <x:c r="R183" s="32" t="str">
        <x:f>IF($H183="","",'03_Functionalities'!$M183)</x:f>
      </x:c>
      <x:c r="S183" s="32" t="str">
        <x:f>IF($H183="","",'03_Functionalities'!$N183)</x:f>
      </x:c>
      <x:c r="T183" s="32" t="str">
        <x:f>IF($H183="","",'03_Functionalities'!$O183)</x:f>
      </x:c>
      <x:c r="U183" s="32" t="str">
        <x:f>IF($A183="","",IFERROR(XLOOKUP($A183,'01_Products'!$A$5:$A$500,'01_Products'!$G$5:$G$500),""))</x:f>
      </x:c>
      <x:c r="V183" s="32" t="str">
        <x:f>IF($D183="","",IFERROR(XLOOKUP($D183,'02_Features'!$A$5:$A$1000,'02_Features'!$J$5:$J$1000),""))</x:f>
      </x:c>
      <x:c r="W183" s="32" t="str">
        <x:f>IF($H183="","",'03_Functionalities'!$P183)</x:f>
      </x:c>
      <x:c r="X183" s="32" t="str">
        <x:f>IF($H183="","",'03_Functionalities'!$Q183)</x:f>
      </x:c>
      <x:c r="Y183" s="38"/>
      <x:c r="Z183" s="38"/>
    </x:row>
    <x:row r="184" ht="18" customHeight="1">
      <x:c r="A184" s="32" t="str">
        <x:f>IF('03_Functionalities'!$A184="","",'03_Functionalities'!$C184)</x:f>
      </x:c>
      <x:c r="B184" s="32" t="str">
        <x:f>IF($A184="","",IFERROR(XLOOKUP($A184,'01_Products'!$A$5:$A$500,'01_Products'!$B$5:$B$500),""))</x:f>
      </x:c>
      <x:c r="C184" s="32" t="str">
        <x:f>IF($A184="","",IFERROR(XLOOKUP($A184,'01_Products'!$A$5:$A$500,'01_Products'!$C$5:$C$500),""))</x:f>
      </x:c>
      <x:c r="D184" s="32" t="str">
        <x:f>IF('03_Functionalities'!$A184="","",'03_Functionalities'!$B184)</x:f>
      </x:c>
      <x:c r="E184" s="32" t="str">
        <x:f>IF($D184="","",IFERROR(XLOOKUP($D184,'02_Features'!$A$5:$A$1000,'02_Features'!$C$5:$C$1000),""))</x:f>
      </x:c>
      <x:c r="F184" s="32" t="str">
        <x:f>IF($D184="","",IFERROR(XLOOKUP($D184,'02_Features'!$A$5:$A$1000,'02_Features'!$D$5:$D$1000),""))</x:f>
      </x:c>
      <x:c r="G184" s="32" t="str">
        <x:f>IF($D184="","",IFERROR(XLOOKUP($D184,'02_Features'!$A$5:$A$1000,'02_Features'!$E$5:$E$1000),""))</x:f>
      </x:c>
      <x:c r="H184" s="32" t="str">
        <x:f>IF('03_Functionalities'!$A184="","",'03_Functionalities'!$A184)</x:f>
      </x:c>
      <x:c r="I184" s="32" t="str">
        <x:f>IF($H184="","",'03_Functionalities'!$D184)</x:f>
      </x:c>
      <x:c r="J184" s="32" t="str">
        <x:f>IF($H184="","",'03_Functionalities'!$E184)</x:f>
      </x:c>
      <x:c r="K184" s="32" t="str">
        <x:f>IF($H184="","",'03_Functionalities'!$F184)</x:f>
      </x:c>
      <x:c r="L184" s="32" t="str">
        <x:f>IF($H184="","",'03_Functionalities'!$G184)</x:f>
      </x:c>
      <x:c r="M184" s="32" t="str">
        <x:f>IF($H184="","",'03_Functionalities'!$H184)</x:f>
      </x:c>
      <x:c r="N184" s="32" t="str">
        <x:f>IF($H184="","",'03_Functionalities'!$I184)</x:f>
      </x:c>
      <x:c r="O184" s="32" t="str">
        <x:f>IF($H184="","",'03_Functionalities'!$J184)</x:f>
      </x:c>
      <x:c r="P184" s="32" t="str">
        <x:f>IF($H184="","",'03_Functionalities'!$K184)</x:f>
      </x:c>
      <x:c r="Q184" s="32" t="str">
        <x:f>IF($H184="","",'03_Functionalities'!$L184)</x:f>
      </x:c>
      <x:c r="R184" s="32" t="str">
        <x:f>IF($H184="","",'03_Functionalities'!$M184)</x:f>
      </x:c>
      <x:c r="S184" s="32" t="str">
        <x:f>IF($H184="","",'03_Functionalities'!$N184)</x:f>
      </x:c>
      <x:c r="T184" s="32" t="str">
        <x:f>IF($H184="","",'03_Functionalities'!$O184)</x:f>
      </x:c>
      <x:c r="U184" s="32" t="str">
        <x:f>IF($A184="","",IFERROR(XLOOKUP($A184,'01_Products'!$A$5:$A$500,'01_Products'!$G$5:$G$500),""))</x:f>
      </x:c>
      <x:c r="V184" s="32" t="str">
        <x:f>IF($D184="","",IFERROR(XLOOKUP($D184,'02_Features'!$A$5:$A$1000,'02_Features'!$J$5:$J$1000),""))</x:f>
      </x:c>
      <x:c r="W184" s="32" t="str">
        <x:f>IF($H184="","",'03_Functionalities'!$P184)</x:f>
      </x:c>
      <x:c r="X184" s="32" t="str">
        <x:f>IF($H184="","",'03_Functionalities'!$Q184)</x:f>
      </x:c>
      <x:c r="Y184" s="38"/>
      <x:c r="Z184" s="38"/>
    </x:row>
    <x:row r="185" ht="18" customHeight="1">
      <x:c r="A185" s="32" t="str">
        <x:f>IF('03_Functionalities'!$A185="","",'03_Functionalities'!$C185)</x:f>
      </x:c>
      <x:c r="B185" s="32" t="str">
        <x:f>IF($A185="","",IFERROR(XLOOKUP($A185,'01_Products'!$A$5:$A$500,'01_Products'!$B$5:$B$500),""))</x:f>
      </x:c>
      <x:c r="C185" s="32" t="str">
        <x:f>IF($A185="","",IFERROR(XLOOKUP($A185,'01_Products'!$A$5:$A$500,'01_Products'!$C$5:$C$500),""))</x:f>
      </x:c>
      <x:c r="D185" s="32" t="str">
        <x:f>IF('03_Functionalities'!$A185="","",'03_Functionalities'!$B185)</x:f>
      </x:c>
      <x:c r="E185" s="32" t="str">
        <x:f>IF($D185="","",IFERROR(XLOOKUP($D185,'02_Features'!$A$5:$A$1000,'02_Features'!$C$5:$C$1000),""))</x:f>
      </x:c>
      <x:c r="F185" s="32" t="str">
        <x:f>IF($D185="","",IFERROR(XLOOKUP($D185,'02_Features'!$A$5:$A$1000,'02_Features'!$D$5:$D$1000),""))</x:f>
      </x:c>
      <x:c r="G185" s="32" t="str">
        <x:f>IF($D185="","",IFERROR(XLOOKUP($D185,'02_Features'!$A$5:$A$1000,'02_Features'!$E$5:$E$1000),""))</x:f>
      </x:c>
      <x:c r="H185" s="32" t="str">
        <x:f>IF('03_Functionalities'!$A185="","",'03_Functionalities'!$A185)</x:f>
      </x:c>
      <x:c r="I185" s="32" t="str">
        <x:f>IF($H185="","",'03_Functionalities'!$D185)</x:f>
      </x:c>
      <x:c r="J185" s="32" t="str">
        <x:f>IF($H185="","",'03_Functionalities'!$E185)</x:f>
      </x:c>
      <x:c r="K185" s="32" t="str">
        <x:f>IF($H185="","",'03_Functionalities'!$F185)</x:f>
      </x:c>
      <x:c r="L185" s="32" t="str">
        <x:f>IF($H185="","",'03_Functionalities'!$G185)</x:f>
      </x:c>
      <x:c r="M185" s="32" t="str">
        <x:f>IF($H185="","",'03_Functionalities'!$H185)</x:f>
      </x:c>
      <x:c r="N185" s="32" t="str">
        <x:f>IF($H185="","",'03_Functionalities'!$I185)</x:f>
      </x:c>
      <x:c r="O185" s="32" t="str">
        <x:f>IF($H185="","",'03_Functionalities'!$J185)</x:f>
      </x:c>
      <x:c r="P185" s="32" t="str">
        <x:f>IF($H185="","",'03_Functionalities'!$K185)</x:f>
      </x:c>
      <x:c r="Q185" s="32" t="str">
        <x:f>IF($H185="","",'03_Functionalities'!$L185)</x:f>
      </x:c>
      <x:c r="R185" s="32" t="str">
        <x:f>IF($H185="","",'03_Functionalities'!$M185)</x:f>
      </x:c>
      <x:c r="S185" s="32" t="str">
        <x:f>IF($H185="","",'03_Functionalities'!$N185)</x:f>
      </x:c>
      <x:c r="T185" s="32" t="str">
        <x:f>IF($H185="","",'03_Functionalities'!$O185)</x:f>
      </x:c>
      <x:c r="U185" s="32" t="str">
        <x:f>IF($A185="","",IFERROR(XLOOKUP($A185,'01_Products'!$A$5:$A$500,'01_Products'!$G$5:$G$500),""))</x:f>
      </x:c>
      <x:c r="V185" s="32" t="str">
        <x:f>IF($D185="","",IFERROR(XLOOKUP($D185,'02_Features'!$A$5:$A$1000,'02_Features'!$J$5:$J$1000),""))</x:f>
      </x:c>
      <x:c r="W185" s="32" t="str">
        <x:f>IF($H185="","",'03_Functionalities'!$P185)</x:f>
      </x:c>
      <x:c r="X185" s="32" t="str">
        <x:f>IF($H185="","",'03_Functionalities'!$Q185)</x:f>
      </x:c>
      <x:c r="Y185" s="38"/>
      <x:c r="Z185" s="38"/>
    </x:row>
    <x:row r="186" ht="18" customHeight="1">
      <x:c r="A186" s="32" t="str">
        <x:f>IF('03_Functionalities'!$A186="","",'03_Functionalities'!$C186)</x:f>
      </x:c>
      <x:c r="B186" s="32" t="str">
        <x:f>IF($A186="","",IFERROR(XLOOKUP($A186,'01_Products'!$A$5:$A$500,'01_Products'!$B$5:$B$500),""))</x:f>
      </x:c>
      <x:c r="C186" s="32" t="str">
        <x:f>IF($A186="","",IFERROR(XLOOKUP($A186,'01_Products'!$A$5:$A$500,'01_Products'!$C$5:$C$500),""))</x:f>
      </x:c>
      <x:c r="D186" s="32" t="str">
        <x:f>IF('03_Functionalities'!$A186="","",'03_Functionalities'!$B186)</x:f>
      </x:c>
      <x:c r="E186" s="32" t="str">
        <x:f>IF($D186="","",IFERROR(XLOOKUP($D186,'02_Features'!$A$5:$A$1000,'02_Features'!$C$5:$C$1000),""))</x:f>
      </x:c>
      <x:c r="F186" s="32" t="str">
        <x:f>IF($D186="","",IFERROR(XLOOKUP($D186,'02_Features'!$A$5:$A$1000,'02_Features'!$D$5:$D$1000),""))</x:f>
      </x:c>
      <x:c r="G186" s="32" t="str">
        <x:f>IF($D186="","",IFERROR(XLOOKUP($D186,'02_Features'!$A$5:$A$1000,'02_Features'!$E$5:$E$1000),""))</x:f>
      </x:c>
      <x:c r="H186" s="32" t="str">
        <x:f>IF('03_Functionalities'!$A186="","",'03_Functionalities'!$A186)</x:f>
      </x:c>
      <x:c r="I186" s="32" t="str">
        <x:f>IF($H186="","",'03_Functionalities'!$D186)</x:f>
      </x:c>
      <x:c r="J186" s="32" t="str">
        <x:f>IF($H186="","",'03_Functionalities'!$E186)</x:f>
      </x:c>
      <x:c r="K186" s="32" t="str">
        <x:f>IF($H186="","",'03_Functionalities'!$F186)</x:f>
      </x:c>
      <x:c r="L186" s="32" t="str">
        <x:f>IF($H186="","",'03_Functionalities'!$G186)</x:f>
      </x:c>
      <x:c r="M186" s="32" t="str">
        <x:f>IF($H186="","",'03_Functionalities'!$H186)</x:f>
      </x:c>
      <x:c r="N186" s="32" t="str">
        <x:f>IF($H186="","",'03_Functionalities'!$I186)</x:f>
      </x:c>
      <x:c r="O186" s="32" t="str">
        <x:f>IF($H186="","",'03_Functionalities'!$J186)</x:f>
      </x:c>
      <x:c r="P186" s="32" t="str">
        <x:f>IF($H186="","",'03_Functionalities'!$K186)</x:f>
      </x:c>
      <x:c r="Q186" s="32" t="str">
        <x:f>IF($H186="","",'03_Functionalities'!$L186)</x:f>
      </x:c>
      <x:c r="R186" s="32" t="str">
        <x:f>IF($H186="","",'03_Functionalities'!$M186)</x:f>
      </x:c>
      <x:c r="S186" s="32" t="str">
        <x:f>IF($H186="","",'03_Functionalities'!$N186)</x:f>
      </x:c>
      <x:c r="T186" s="32" t="str">
        <x:f>IF($H186="","",'03_Functionalities'!$O186)</x:f>
      </x:c>
      <x:c r="U186" s="32" t="str">
        <x:f>IF($A186="","",IFERROR(XLOOKUP($A186,'01_Products'!$A$5:$A$500,'01_Products'!$G$5:$G$500),""))</x:f>
      </x:c>
      <x:c r="V186" s="32" t="str">
        <x:f>IF($D186="","",IFERROR(XLOOKUP($D186,'02_Features'!$A$5:$A$1000,'02_Features'!$J$5:$J$1000),""))</x:f>
      </x:c>
      <x:c r="W186" s="32" t="str">
        <x:f>IF($H186="","",'03_Functionalities'!$P186)</x:f>
      </x:c>
      <x:c r="X186" s="32" t="str">
        <x:f>IF($H186="","",'03_Functionalities'!$Q186)</x:f>
      </x:c>
      <x:c r="Y186" s="38"/>
      <x:c r="Z186" s="38"/>
    </x:row>
    <x:row r="187" ht="18" customHeight="1">
      <x:c r="A187" s="32" t="str">
        <x:f>IF('03_Functionalities'!$A187="","",'03_Functionalities'!$C187)</x:f>
      </x:c>
      <x:c r="B187" s="32" t="str">
        <x:f>IF($A187="","",IFERROR(XLOOKUP($A187,'01_Products'!$A$5:$A$500,'01_Products'!$B$5:$B$500),""))</x:f>
      </x:c>
      <x:c r="C187" s="32" t="str">
        <x:f>IF($A187="","",IFERROR(XLOOKUP($A187,'01_Products'!$A$5:$A$500,'01_Products'!$C$5:$C$500),""))</x:f>
      </x:c>
      <x:c r="D187" s="32" t="str">
        <x:f>IF('03_Functionalities'!$A187="","",'03_Functionalities'!$B187)</x:f>
      </x:c>
      <x:c r="E187" s="32" t="str">
        <x:f>IF($D187="","",IFERROR(XLOOKUP($D187,'02_Features'!$A$5:$A$1000,'02_Features'!$C$5:$C$1000),""))</x:f>
      </x:c>
      <x:c r="F187" s="32" t="str">
        <x:f>IF($D187="","",IFERROR(XLOOKUP($D187,'02_Features'!$A$5:$A$1000,'02_Features'!$D$5:$D$1000),""))</x:f>
      </x:c>
      <x:c r="G187" s="32" t="str">
        <x:f>IF($D187="","",IFERROR(XLOOKUP($D187,'02_Features'!$A$5:$A$1000,'02_Features'!$E$5:$E$1000),""))</x:f>
      </x:c>
      <x:c r="H187" s="32" t="str">
        <x:f>IF('03_Functionalities'!$A187="","",'03_Functionalities'!$A187)</x:f>
      </x:c>
      <x:c r="I187" s="32" t="str">
        <x:f>IF($H187="","",'03_Functionalities'!$D187)</x:f>
      </x:c>
      <x:c r="J187" s="32" t="str">
        <x:f>IF($H187="","",'03_Functionalities'!$E187)</x:f>
      </x:c>
      <x:c r="K187" s="32" t="str">
        <x:f>IF($H187="","",'03_Functionalities'!$F187)</x:f>
      </x:c>
      <x:c r="L187" s="32" t="str">
        <x:f>IF($H187="","",'03_Functionalities'!$G187)</x:f>
      </x:c>
      <x:c r="M187" s="32" t="str">
        <x:f>IF($H187="","",'03_Functionalities'!$H187)</x:f>
      </x:c>
      <x:c r="N187" s="32" t="str">
        <x:f>IF($H187="","",'03_Functionalities'!$I187)</x:f>
      </x:c>
      <x:c r="O187" s="32" t="str">
        <x:f>IF($H187="","",'03_Functionalities'!$J187)</x:f>
      </x:c>
      <x:c r="P187" s="32" t="str">
        <x:f>IF($H187="","",'03_Functionalities'!$K187)</x:f>
      </x:c>
      <x:c r="Q187" s="32" t="str">
        <x:f>IF($H187="","",'03_Functionalities'!$L187)</x:f>
      </x:c>
      <x:c r="R187" s="32" t="str">
        <x:f>IF($H187="","",'03_Functionalities'!$M187)</x:f>
      </x:c>
      <x:c r="S187" s="32" t="str">
        <x:f>IF($H187="","",'03_Functionalities'!$N187)</x:f>
      </x:c>
      <x:c r="T187" s="32" t="str">
        <x:f>IF($H187="","",'03_Functionalities'!$O187)</x:f>
      </x:c>
      <x:c r="U187" s="32" t="str">
        <x:f>IF($A187="","",IFERROR(XLOOKUP($A187,'01_Products'!$A$5:$A$500,'01_Products'!$G$5:$G$500),""))</x:f>
      </x:c>
      <x:c r="V187" s="32" t="str">
        <x:f>IF($D187="","",IFERROR(XLOOKUP($D187,'02_Features'!$A$5:$A$1000,'02_Features'!$J$5:$J$1000),""))</x:f>
      </x:c>
      <x:c r="W187" s="32" t="str">
        <x:f>IF($H187="","",'03_Functionalities'!$P187)</x:f>
      </x:c>
      <x:c r="X187" s="32" t="str">
        <x:f>IF($H187="","",'03_Functionalities'!$Q187)</x:f>
      </x:c>
      <x:c r="Y187" s="38"/>
      <x:c r="Z187" s="38"/>
    </x:row>
    <x:row r="188" ht="18" customHeight="1">
      <x:c r="A188" s="32" t="str">
        <x:f>IF('03_Functionalities'!$A188="","",'03_Functionalities'!$C188)</x:f>
      </x:c>
      <x:c r="B188" s="32" t="str">
        <x:f>IF($A188="","",IFERROR(XLOOKUP($A188,'01_Products'!$A$5:$A$500,'01_Products'!$B$5:$B$500),""))</x:f>
      </x:c>
      <x:c r="C188" s="32" t="str">
        <x:f>IF($A188="","",IFERROR(XLOOKUP($A188,'01_Products'!$A$5:$A$500,'01_Products'!$C$5:$C$500),""))</x:f>
      </x:c>
      <x:c r="D188" s="32" t="str">
        <x:f>IF('03_Functionalities'!$A188="","",'03_Functionalities'!$B188)</x:f>
      </x:c>
      <x:c r="E188" s="32" t="str">
        <x:f>IF($D188="","",IFERROR(XLOOKUP($D188,'02_Features'!$A$5:$A$1000,'02_Features'!$C$5:$C$1000),""))</x:f>
      </x:c>
      <x:c r="F188" s="32" t="str">
        <x:f>IF($D188="","",IFERROR(XLOOKUP($D188,'02_Features'!$A$5:$A$1000,'02_Features'!$D$5:$D$1000),""))</x:f>
      </x:c>
      <x:c r="G188" s="32" t="str">
        <x:f>IF($D188="","",IFERROR(XLOOKUP($D188,'02_Features'!$A$5:$A$1000,'02_Features'!$E$5:$E$1000),""))</x:f>
      </x:c>
      <x:c r="H188" s="32" t="str">
        <x:f>IF('03_Functionalities'!$A188="","",'03_Functionalities'!$A188)</x:f>
      </x:c>
      <x:c r="I188" s="32" t="str">
        <x:f>IF($H188="","",'03_Functionalities'!$D188)</x:f>
      </x:c>
      <x:c r="J188" s="32" t="str">
        <x:f>IF($H188="","",'03_Functionalities'!$E188)</x:f>
      </x:c>
      <x:c r="K188" s="32" t="str">
        <x:f>IF($H188="","",'03_Functionalities'!$F188)</x:f>
      </x:c>
      <x:c r="L188" s="32" t="str">
        <x:f>IF($H188="","",'03_Functionalities'!$G188)</x:f>
      </x:c>
      <x:c r="M188" s="32" t="str">
        <x:f>IF($H188="","",'03_Functionalities'!$H188)</x:f>
      </x:c>
      <x:c r="N188" s="32" t="str">
        <x:f>IF($H188="","",'03_Functionalities'!$I188)</x:f>
      </x:c>
      <x:c r="O188" s="32" t="str">
        <x:f>IF($H188="","",'03_Functionalities'!$J188)</x:f>
      </x:c>
      <x:c r="P188" s="32" t="str">
        <x:f>IF($H188="","",'03_Functionalities'!$K188)</x:f>
      </x:c>
      <x:c r="Q188" s="32" t="str">
        <x:f>IF($H188="","",'03_Functionalities'!$L188)</x:f>
      </x:c>
      <x:c r="R188" s="32" t="str">
        <x:f>IF($H188="","",'03_Functionalities'!$M188)</x:f>
      </x:c>
      <x:c r="S188" s="32" t="str">
        <x:f>IF($H188="","",'03_Functionalities'!$N188)</x:f>
      </x:c>
      <x:c r="T188" s="32" t="str">
        <x:f>IF($H188="","",'03_Functionalities'!$O188)</x:f>
      </x:c>
      <x:c r="U188" s="32" t="str">
        <x:f>IF($A188="","",IFERROR(XLOOKUP($A188,'01_Products'!$A$5:$A$500,'01_Products'!$G$5:$G$500),""))</x:f>
      </x:c>
      <x:c r="V188" s="32" t="str">
        <x:f>IF($D188="","",IFERROR(XLOOKUP($D188,'02_Features'!$A$5:$A$1000,'02_Features'!$J$5:$J$1000),""))</x:f>
      </x:c>
      <x:c r="W188" s="32" t="str">
        <x:f>IF($H188="","",'03_Functionalities'!$P188)</x:f>
      </x:c>
      <x:c r="X188" s="32" t="str">
        <x:f>IF($H188="","",'03_Functionalities'!$Q188)</x:f>
      </x:c>
      <x:c r="Y188" s="38"/>
      <x:c r="Z188" s="38"/>
    </x:row>
    <x:row r="189" ht="18" customHeight="1">
      <x:c r="A189" s="32" t="str">
        <x:f>IF('03_Functionalities'!$A189="","",'03_Functionalities'!$C189)</x:f>
      </x:c>
      <x:c r="B189" s="32" t="str">
        <x:f>IF($A189="","",IFERROR(XLOOKUP($A189,'01_Products'!$A$5:$A$500,'01_Products'!$B$5:$B$500),""))</x:f>
      </x:c>
      <x:c r="C189" s="32" t="str">
        <x:f>IF($A189="","",IFERROR(XLOOKUP($A189,'01_Products'!$A$5:$A$500,'01_Products'!$C$5:$C$500),""))</x:f>
      </x:c>
      <x:c r="D189" s="32" t="str">
        <x:f>IF('03_Functionalities'!$A189="","",'03_Functionalities'!$B189)</x:f>
      </x:c>
      <x:c r="E189" s="32" t="str">
        <x:f>IF($D189="","",IFERROR(XLOOKUP($D189,'02_Features'!$A$5:$A$1000,'02_Features'!$C$5:$C$1000),""))</x:f>
      </x:c>
      <x:c r="F189" s="32" t="str">
        <x:f>IF($D189="","",IFERROR(XLOOKUP($D189,'02_Features'!$A$5:$A$1000,'02_Features'!$D$5:$D$1000),""))</x:f>
      </x:c>
      <x:c r="G189" s="32" t="str">
        <x:f>IF($D189="","",IFERROR(XLOOKUP($D189,'02_Features'!$A$5:$A$1000,'02_Features'!$E$5:$E$1000),""))</x:f>
      </x:c>
      <x:c r="H189" s="32" t="str">
        <x:f>IF('03_Functionalities'!$A189="","",'03_Functionalities'!$A189)</x:f>
      </x:c>
      <x:c r="I189" s="32" t="str">
        <x:f>IF($H189="","",'03_Functionalities'!$D189)</x:f>
      </x:c>
      <x:c r="J189" s="32" t="str">
        <x:f>IF($H189="","",'03_Functionalities'!$E189)</x:f>
      </x:c>
      <x:c r="K189" s="32" t="str">
        <x:f>IF($H189="","",'03_Functionalities'!$F189)</x:f>
      </x:c>
      <x:c r="L189" s="32" t="str">
        <x:f>IF($H189="","",'03_Functionalities'!$G189)</x:f>
      </x:c>
      <x:c r="M189" s="32" t="str">
        <x:f>IF($H189="","",'03_Functionalities'!$H189)</x:f>
      </x:c>
      <x:c r="N189" s="32" t="str">
        <x:f>IF($H189="","",'03_Functionalities'!$I189)</x:f>
      </x:c>
      <x:c r="O189" s="32" t="str">
        <x:f>IF($H189="","",'03_Functionalities'!$J189)</x:f>
      </x:c>
      <x:c r="P189" s="32" t="str">
        <x:f>IF($H189="","",'03_Functionalities'!$K189)</x:f>
      </x:c>
      <x:c r="Q189" s="32" t="str">
        <x:f>IF($H189="","",'03_Functionalities'!$L189)</x:f>
      </x:c>
      <x:c r="R189" s="32" t="str">
        <x:f>IF($H189="","",'03_Functionalities'!$M189)</x:f>
      </x:c>
      <x:c r="S189" s="32" t="str">
        <x:f>IF($H189="","",'03_Functionalities'!$N189)</x:f>
      </x:c>
      <x:c r="T189" s="32" t="str">
        <x:f>IF($H189="","",'03_Functionalities'!$O189)</x:f>
      </x:c>
      <x:c r="U189" s="32" t="str">
        <x:f>IF($A189="","",IFERROR(XLOOKUP($A189,'01_Products'!$A$5:$A$500,'01_Products'!$G$5:$G$500),""))</x:f>
      </x:c>
      <x:c r="V189" s="32" t="str">
        <x:f>IF($D189="","",IFERROR(XLOOKUP($D189,'02_Features'!$A$5:$A$1000,'02_Features'!$J$5:$J$1000),""))</x:f>
      </x:c>
      <x:c r="W189" s="32" t="str">
        <x:f>IF($H189="","",'03_Functionalities'!$P189)</x:f>
      </x:c>
      <x:c r="X189" s="32" t="str">
        <x:f>IF($H189="","",'03_Functionalities'!$Q189)</x:f>
      </x:c>
      <x:c r="Y189" s="38"/>
      <x:c r="Z189" s="38"/>
    </x:row>
    <x:row r="190" ht="18" customHeight="1">
      <x:c r="A190" s="32" t="str">
        <x:f>IF('03_Functionalities'!$A190="","",'03_Functionalities'!$C190)</x:f>
      </x:c>
      <x:c r="B190" s="32" t="str">
        <x:f>IF($A190="","",IFERROR(XLOOKUP($A190,'01_Products'!$A$5:$A$500,'01_Products'!$B$5:$B$500),""))</x:f>
      </x:c>
      <x:c r="C190" s="32" t="str">
        <x:f>IF($A190="","",IFERROR(XLOOKUP($A190,'01_Products'!$A$5:$A$500,'01_Products'!$C$5:$C$500),""))</x:f>
      </x:c>
      <x:c r="D190" s="32" t="str">
        <x:f>IF('03_Functionalities'!$A190="","",'03_Functionalities'!$B190)</x:f>
      </x:c>
      <x:c r="E190" s="32" t="str">
        <x:f>IF($D190="","",IFERROR(XLOOKUP($D190,'02_Features'!$A$5:$A$1000,'02_Features'!$C$5:$C$1000),""))</x:f>
      </x:c>
      <x:c r="F190" s="32" t="str">
        <x:f>IF($D190="","",IFERROR(XLOOKUP($D190,'02_Features'!$A$5:$A$1000,'02_Features'!$D$5:$D$1000),""))</x:f>
      </x:c>
      <x:c r="G190" s="32" t="str">
        <x:f>IF($D190="","",IFERROR(XLOOKUP($D190,'02_Features'!$A$5:$A$1000,'02_Features'!$E$5:$E$1000),""))</x:f>
      </x:c>
      <x:c r="H190" s="32" t="str">
        <x:f>IF('03_Functionalities'!$A190="","",'03_Functionalities'!$A190)</x:f>
      </x:c>
      <x:c r="I190" s="32" t="str">
        <x:f>IF($H190="","",'03_Functionalities'!$D190)</x:f>
      </x:c>
      <x:c r="J190" s="32" t="str">
        <x:f>IF($H190="","",'03_Functionalities'!$E190)</x:f>
      </x:c>
      <x:c r="K190" s="32" t="str">
        <x:f>IF($H190="","",'03_Functionalities'!$F190)</x:f>
      </x:c>
      <x:c r="L190" s="32" t="str">
        <x:f>IF($H190="","",'03_Functionalities'!$G190)</x:f>
      </x:c>
      <x:c r="M190" s="32" t="str">
        <x:f>IF($H190="","",'03_Functionalities'!$H190)</x:f>
      </x:c>
      <x:c r="N190" s="32" t="str">
        <x:f>IF($H190="","",'03_Functionalities'!$I190)</x:f>
      </x:c>
      <x:c r="O190" s="32" t="str">
        <x:f>IF($H190="","",'03_Functionalities'!$J190)</x:f>
      </x:c>
      <x:c r="P190" s="32" t="str">
        <x:f>IF($H190="","",'03_Functionalities'!$K190)</x:f>
      </x:c>
      <x:c r="Q190" s="32" t="str">
        <x:f>IF($H190="","",'03_Functionalities'!$L190)</x:f>
      </x:c>
      <x:c r="R190" s="32" t="str">
        <x:f>IF($H190="","",'03_Functionalities'!$M190)</x:f>
      </x:c>
      <x:c r="S190" s="32" t="str">
        <x:f>IF($H190="","",'03_Functionalities'!$N190)</x:f>
      </x:c>
      <x:c r="T190" s="32" t="str">
        <x:f>IF($H190="","",'03_Functionalities'!$O190)</x:f>
      </x:c>
      <x:c r="U190" s="32" t="str">
        <x:f>IF($A190="","",IFERROR(XLOOKUP($A190,'01_Products'!$A$5:$A$500,'01_Products'!$G$5:$G$500),""))</x:f>
      </x:c>
      <x:c r="V190" s="32" t="str">
        <x:f>IF($D190="","",IFERROR(XLOOKUP($D190,'02_Features'!$A$5:$A$1000,'02_Features'!$J$5:$J$1000),""))</x:f>
      </x:c>
      <x:c r="W190" s="32" t="str">
        <x:f>IF($H190="","",'03_Functionalities'!$P190)</x:f>
      </x:c>
      <x:c r="X190" s="32" t="str">
        <x:f>IF($H190="","",'03_Functionalities'!$Q190)</x:f>
      </x:c>
      <x:c r="Y190" s="38"/>
      <x:c r="Z190" s="38"/>
    </x:row>
    <x:row r="191" ht="18" customHeight="1">
      <x:c r="A191" s="32" t="str">
        <x:f>IF('03_Functionalities'!$A191="","",'03_Functionalities'!$C191)</x:f>
      </x:c>
      <x:c r="B191" s="32" t="str">
        <x:f>IF($A191="","",IFERROR(XLOOKUP($A191,'01_Products'!$A$5:$A$500,'01_Products'!$B$5:$B$500),""))</x:f>
      </x:c>
      <x:c r="C191" s="32" t="str">
        <x:f>IF($A191="","",IFERROR(XLOOKUP($A191,'01_Products'!$A$5:$A$500,'01_Products'!$C$5:$C$500),""))</x:f>
      </x:c>
      <x:c r="D191" s="32" t="str">
        <x:f>IF('03_Functionalities'!$A191="","",'03_Functionalities'!$B191)</x:f>
      </x:c>
      <x:c r="E191" s="32" t="str">
        <x:f>IF($D191="","",IFERROR(XLOOKUP($D191,'02_Features'!$A$5:$A$1000,'02_Features'!$C$5:$C$1000),""))</x:f>
      </x:c>
      <x:c r="F191" s="32" t="str">
        <x:f>IF($D191="","",IFERROR(XLOOKUP($D191,'02_Features'!$A$5:$A$1000,'02_Features'!$D$5:$D$1000),""))</x:f>
      </x:c>
      <x:c r="G191" s="32" t="str">
        <x:f>IF($D191="","",IFERROR(XLOOKUP($D191,'02_Features'!$A$5:$A$1000,'02_Features'!$E$5:$E$1000),""))</x:f>
      </x:c>
      <x:c r="H191" s="32" t="str">
        <x:f>IF('03_Functionalities'!$A191="","",'03_Functionalities'!$A191)</x:f>
      </x:c>
      <x:c r="I191" s="32" t="str">
        <x:f>IF($H191="","",'03_Functionalities'!$D191)</x:f>
      </x:c>
      <x:c r="J191" s="32" t="str">
        <x:f>IF($H191="","",'03_Functionalities'!$E191)</x:f>
      </x:c>
      <x:c r="K191" s="32" t="str">
        <x:f>IF($H191="","",'03_Functionalities'!$F191)</x:f>
      </x:c>
      <x:c r="L191" s="32" t="str">
        <x:f>IF($H191="","",'03_Functionalities'!$G191)</x:f>
      </x:c>
      <x:c r="M191" s="32" t="str">
        <x:f>IF($H191="","",'03_Functionalities'!$H191)</x:f>
      </x:c>
      <x:c r="N191" s="32" t="str">
        <x:f>IF($H191="","",'03_Functionalities'!$I191)</x:f>
      </x:c>
      <x:c r="O191" s="32" t="str">
        <x:f>IF($H191="","",'03_Functionalities'!$J191)</x:f>
      </x:c>
      <x:c r="P191" s="32" t="str">
        <x:f>IF($H191="","",'03_Functionalities'!$K191)</x:f>
      </x:c>
      <x:c r="Q191" s="32" t="str">
        <x:f>IF($H191="","",'03_Functionalities'!$L191)</x:f>
      </x:c>
      <x:c r="R191" s="32" t="str">
        <x:f>IF($H191="","",'03_Functionalities'!$M191)</x:f>
      </x:c>
      <x:c r="S191" s="32" t="str">
        <x:f>IF($H191="","",'03_Functionalities'!$N191)</x:f>
      </x:c>
      <x:c r="T191" s="32" t="str">
        <x:f>IF($H191="","",'03_Functionalities'!$O191)</x:f>
      </x:c>
      <x:c r="U191" s="32" t="str">
        <x:f>IF($A191="","",IFERROR(XLOOKUP($A191,'01_Products'!$A$5:$A$500,'01_Products'!$G$5:$G$500),""))</x:f>
      </x:c>
      <x:c r="V191" s="32" t="str">
        <x:f>IF($D191="","",IFERROR(XLOOKUP($D191,'02_Features'!$A$5:$A$1000,'02_Features'!$J$5:$J$1000),""))</x:f>
      </x:c>
      <x:c r="W191" s="32" t="str">
        <x:f>IF($H191="","",'03_Functionalities'!$P191)</x:f>
      </x:c>
      <x:c r="X191" s="32" t="str">
        <x:f>IF($H191="","",'03_Functionalities'!$Q191)</x:f>
      </x:c>
      <x:c r="Y191" s="38"/>
      <x:c r="Z191" s="38"/>
    </x:row>
    <x:row r="192" ht="18" customHeight="1">
      <x:c r="A192" s="32" t="str">
        <x:f>IF('03_Functionalities'!$A192="","",'03_Functionalities'!$C192)</x:f>
      </x:c>
      <x:c r="B192" s="32" t="str">
        <x:f>IF($A192="","",IFERROR(XLOOKUP($A192,'01_Products'!$A$5:$A$500,'01_Products'!$B$5:$B$500),""))</x:f>
      </x:c>
      <x:c r="C192" s="32" t="str">
        <x:f>IF($A192="","",IFERROR(XLOOKUP($A192,'01_Products'!$A$5:$A$500,'01_Products'!$C$5:$C$500),""))</x:f>
      </x:c>
      <x:c r="D192" s="32" t="str">
        <x:f>IF('03_Functionalities'!$A192="","",'03_Functionalities'!$B192)</x:f>
      </x:c>
      <x:c r="E192" s="32" t="str">
        <x:f>IF($D192="","",IFERROR(XLOOKUP($D192,'02_Features'!$A$5:$A$1000,'02_Features'!$C$5:$C$1000),""))</x:f>
      </x:c>
      <x:c r="F192" s="32" t="str">
        <x:f>IF($D192="","",IFERROR(XLOOKUP($D192,'02_Features'!$A$5:$A$1000,'02_Features'!$D$5:$D$1000),""))</x:f>
      </x:c>
      <x:c r="G192" s="32" t="str">
        <x:f>IF($D192="","",IFERROR(XLOOKUP($D192,'02_Features'!$A$5:$A$1000,'02_Features'!$E$5:$E$1000),""))</x:f>
      </x:c>
      <x:c r="H192" s="32" t="str">
        <x:f>IF('03_Functionalities'!$A192="","",'03_Functionalities'!$A192)</x:f>
      </x:c>
      <x:c r="I192" s="32" t="str">
        <x:f>IF($H192="","",'03_Functionalities'!$D192)</x:f>
      </x:c>
      <x:c r="J192" s="32" t="str">
        <x:f>IF($H192="","",'03_Functionalities'!$E192)</x:f>
      </x:c>
      <x:c r="K192" s="32" t="str">
        <x:f>IF($H192="","",'03_Functionalities'!$F192)</x:f>
      </x:c>
      <x:c r="L192" s="32" t="str">
        <x:f>IF($H192="","",'03_Functionalities'!$G192)</x:f>
      </x:c>
      <x:c r="M192" s="32" t="str">
        <x:f>IF($H192="","",'03_Functionalities'!$H192)</x:f>
      </x:c>
      <x:c r="N192" s="32" t="str">
        <x:f>IF($H192="","",'03_Functionalities'!$I192)</x:f>
      </x:c>
      <x:c r="O192" s="32" t="str">
        <x:f>IF($H192="","",'03_Functionalities'!$J192)</x:f>
      </x:c>
      <x:c r="P192" s="32" t="str">
        <x:f>IF($H192="","",'03_Functionalities'!$K192)</x:f>
      </x:c>
      <x:c r="Q192" s="32" t="str">
        <x:f>IF($H192="","",'03_Functionalities'!$L192)</x:f>
      </x:c>
      <x:c r="R192" s="32" t="str">
        <x:f>IF($H192="","",'03_Functionalities'!$M192)</x:f>
      </x:c>
      <x:c r="S192" s="32" t="str">
        <x:f>IF($H192="","",'03_Functionalities'!$N192)</x:f>
      </x:c>
      <x:c r="T192" s="32" t="str">
        <x:f>IF($H192="","",'03_Functionalities'!$O192)</x:f>
      </x:c>
      <x:c r="U192" s="32" t="str">
        <x:f>IF($A192="","",IFERROR(XLOOKUP($A192,'01_Products'!$A$5:$A$500,'01_Products'!$G$5:$G$500),""))</x:f>
      </x:c>
      <x:c r="V192" s="32" t="str">
        <x:f>IF($D192="","",IFERROR(XLOOKUP($D192,'02_Features'!$A$5:$A$1000,'02_Features'!$J$5:$J$1000),""))</x:f>
      </x:c>
      <x:c r="W192" s="32" t="str">
        <x:f>IF($H192="","",'03_Functionalities'!$P192)</x:f>
      </x:c>
      <x:c r="X192" s="32" t="str">
        <x:f>IF($H192="","",'03_Functionalities'!$Q192)</x:f>
      </x:c>
      <x:c r="Y192" s="38"/>
      <x:c r="Z192" s="38"/>
    </x:row>
    <x:row r="193" ht="18" customHeight="1">
      <x:c r="A193" s="32" t="str">
        <x:f>IF('03_Functionalities'!$A193="","",'03_Functionalities'!$C193)</x:f>
      </x:c>
      <x:c r="B193" s="32" t="str">
        <x:f>IF($A193="","",IFERROR(XLOOKUP($A193,'01_Products'!$A$5:$A$500,'01_Products'!$B$5:$B$500),""))</x:f>
      </x:c>
      <x:c r="C193" s="32" t="str">
        <x:f>IF($A193="","",IFERROR(XLOOKUP($A193,'01_Products'!$A$5:$A$500,'01_Products'!$C$5:$C$500),""))</x:f>
      </x:c>
      <x:c r="D193" s="32" t="str">
        <x:f>IF('03_Functionalities'!$A193="","",'03_Functionalities'!$B193)</x:f>
      </x:c>
      <x:c r="E193" s="32" t="str">
        <x:f>IF($D193="","",IFERROR(XLOOKUP($D193,'02_Features'!$A$5:$A$1000,'02_Features'!$C$5:$C$1000),""))</x:f>
      </x:c>
      <x:c r="F193" s="32" t="str">
        <x:f>IF($D193="","",IFERROR(XLOOKUP($D193,'02_Features'!$A$5:$A$1000,'02_Features'!$D$5:$D$1000),""))</x:f>
      </x:c>
      <x:c r="G193" s="32" t="str">
        <x:f>IF($D193="","",IFERROR(XLOOKUP($D193,'02_Features'!$A$5:$A$1000,'02_Features'!$E$5:$E$1000),""))</x:f>
      </x:c>
      <x:c r="H193" s="32" t="str">
        <x:f>IF('03_Functionalities'!$A193="","",'03_Functionalities'!$A193)</x:f>
      </x:c>
      <x:c r="I193" s="32" t="str">
        <x:f>IF($H193="","",'03_Functionalities'!$D193)</x:f>
      </x:c>
      <x:c r="J193" s="32" t="str">
        <x:f>IF($H193="","",'03_Functionalities'!$E193)</x:f>
      </x:c>
      <x:c r="K193" s="32" t="str">
        <x:f>IF($H193="","",'03_Functionalities'!$F193)</x:f>
      </x:c>
      <x:c r="L193" s="32" t="str">
        <x:f>IF($H193="","",'03_Functionalities'!$G193)</x:f>
      </x:c>
      <x:c r="M193" s="32" t="str">
        <x:f>IF($H193="","",'03_Functionalities'!$H193)</x:f>
      </x:c>
      <x:c r="N193" s="32" t="str">
        <x:f>IF($H193="","",'03_Functionalities'!$I193)</x:f>
      </x:c>
      <x:c r="O193" s="32" t="str">
        <x:f>IF($H193="","",'03_Functionalities'!$J193)</x:f>
      </x:c>
      <x:c r="P193" s="32" t="str">
        <x:f>IF($H193="","",'03_Functionalities'!$K193)</x:f>
      </x:c>
      <x:c r="Q193" s="32" t="str">
        <x:f>IF($H193="","",'03_Functionalities'!$L193)</x:f>
      </x:c>
      <x:c r="R193" s="32" t="str">
        <x:f>IF($H193="","",'03_Functionalities'!$M193)</x:f>
      </x:c>
      <x:c r="S193" s="32" t="str">
        <x:f>IF($H193="","",'03_Functionalities'!$N193)</x:f>
      </x:c>
      <x:c r="T193" s="32" t="str">
        <x:f>IF($H193="","",'03_Functionalities'!$O193)</x:f>
      </x:c>
      <x:c r="U193" s="32" t="str">
        <x:f>IF($A193="","",IFERROR(XLOOKUP($A193,'01_Products'!$A$5:$A$500,'01_Products'!$G$5:$G$500),""))</x:f>
      </x:c>
      <x:c r="V193" s="32" t="str">
        <x:f>IF($D193="","",IFERROR(XLOOKUP($D193,'02_Features'!$A$5:$A$1000,'02_Features'!$J$5:$J$1000),""))</x:f>
      </x:c>
      <x:c r="W193" s="32" t="str">
        <x:f>IF($H193="","",'03_Functionalities'!$P193)</x:f>
      </x:c>
      <x:c r="X193" s="32" t="str">
        <x:f>IF($H193="","",'03_Functionalities'!$Q193)</x:f>
      </x:c>
      <x:c r="Y193" s="38"/>
      <x:c r="Z193" s="38"/>
    </x:row>
    <x:row r="194" ht="18" customHeight="1">
      <x:c r="A194" s="32" t="str">
        <x:f>IF('03_Functionalities'!$A194="","",'03_Functionalities'!$C194)</x:f>
      </x:c>
      <x:c r="B194" s="32" t="str">
        <x:f>IF($A194="","",IFERROR(XLOOKUP($A194,'01_Products'!$A$5:$A$500,'01_Products'!$B$5:$B$500),""))</x:f>
      </x:c>
      <x:c r="C194" s="32" t="str">
        <x:f>IF($A194="","",IFERROR(XLOOKUP($A194,'01_Products'!$A$5:$A$500,'01_Products'!$C$5:$C$500),""))</x:f>
      </x:c>
      <x:c r="D194" s="32" t="str">
        <x:f>IF('03_Functionalities'!$A194="","",'03_Functionalities'!$B194)</x:f>
      </x:c>
      <x:c r="E194" s="32" t="str">
        <x:f>IF($D194="","",IFERROR(XLOOKUP($D194,'02_Features'!$A$5:$A$1000,'02_Features'!$C$5:$C$1000),""))</x:f>
      </x:c>
      <x:c r="F194" s="32" t="str">
        <x:f>IF($D194="","",IFERROR(XLOOKUP($D194,'02_Features'!$A$5:$A$1000,'02_Features'!$D$5:$D$1000),""))</x:f>
      </x:c>
      <x:c r="G194" s="32" t="str">
        <x:f>IF($D194="","",IFERROR(XLOOKUP($D194,'02_Features'!$A$5:$A$1000,'02_Features'!$E$5:$E$1000),""))</x:f>
      </x:c>
      <x:c r="H194" s="32" t="str">
        <x:f>IF('03_Functionalities'!$A194="","",'03_Functionalities'!$A194)</x:f>
      </x:c>
      <x:c r="I194" s="32" t="str">
        <x:f>IF($H194="","",'03_Functionalities'!$D194)</x:f>
      </x:c>
      <x:c r="J194" s="32" t="str">
        <x:f>IF($H194="","",'03_Functionalities'!$E194)</x:f>
      </x:c>
      <x:c r="K194" s="32" t="str">
        <x:f>IF($H194="","",'03_Functionalities'!$F194)</x:f>
      </x:c>
      <x:c r="L194" s="32" t="str">
        <x:f>IF($H194="","",'03_Functionalities'!$G194)</x:f>
      </x:c>
      <x:c r="M194" s="32" t="str">
        <x:f>IF($H194="","",'03_Functionalities'!$H194)</x:f>
      </x:c>
      <x:c r="N194" s="32" t="str">
        <x:f>IF($H194="","",'03_Functionalities'!$I194)</x:f>
      </x:c>
      <x:c r="O194" s="32" t="str">
        <x:f>IF($H194="","",'03_Functionalities'!$J194)</x:f>
      </x:c>
      <x:c r="P194" s="32" t="str">
        <x:f>IF($H194="","",'03_Functionalities'!$K194)</x:f>
      </x:c>
      <x:c r="Q194" s="32" t="str">
        <x:f>IF($H194="","",'03_Functionalities'!$L194)</x:f>
      </x:c>
      <x:c r="R194" s="32" t="str">
        <x:f>IF($H194="","",'03_Functionalities'!$M194)</x:f>
      </x:c>
      <x:c r="S194" s="32" t="str">
        <x:f>IF($H194="","",'03_Functionalities'!$N194)</x:f>
      </x:c>
      <x:c r="T194" s="32" t="str">
        <x:f>IF($H194="","",'03_Functionalities'!$O194)</x:f>
      </x:c>
      <x:c r="U194" s="32" t="str">
        <x:f>IF($A194="","",IFERROR(XLOOKUP($A194,'01_Products'!$A$5:$A$500,'01_Products'!$G$5:$G$500),""))</x:f>
      </x:c>
      <x:c r="V194" s="32" t="str">
        <x:f>IF($D194="","",IFERROR(XLOOKUP($D194,'02_Features'!$A$5:$A$1000,'02_Features'!$J$5:$J$1000),""))</x:f>
      </x:c>
      <x:c r="W194" s="32" t="str">
        <x:f>IF($H194="","",'03_Functionalities'!$P194)</x:f>
      </x:c>
      <x:c r="X194" s="32" t="str">
        <x:f>IF($H194="","",'03_Functionalities'!$Q194)</x:f>
      </x:c>
      <x:c r="Y194" s="38"/>
      <x:c r="Z194" s="38"/>
    </x:row>
    <x:row r="195" ht="18" customHeight="1">
      <x:c r="A195" s="32" t="str">
        <x:f>IF('03_Functionalities'!$A195="","",'03_Functionalities'!$C195)</x:f>
      </x:c>
      <x:c r="B195" s="32" t="str">
        <x:f>IF($A195="","",IFERROR(XLOOKUP($A195,'01_Products'!$A$5:$A$500,'01_Products'!$B$5:$B$500),""))</x:f>
      </x:c>
      <x:c r="C195" s="32" t="str">
        <x:f>IF($A195="","",IFERROR(XLOOKUP($A195,'01_Products'!$A$5:$A$500,'01_Products'!$C$5:$C$500),""))</x:f>
      </x:c>
      <x:c r="D195" s="32" t="str">
        <x:f>IF('03_Functionalities'!$A195="","",'03_Functionalities'!$B195)</x:f>
      </x:c>
      <x:c r="E195" s="32" t="str">
        <x:f>IF($D195="","",IFERROR(XLOOKUP($D195,'02_Features'!$A$5:$A$1000,'02_Features'!$C$5:$C$1000),""))</x:f>
      </x:c>
      <x:c r="F195" s="32" t="str">
        <x:f>IF($D195="","",IFERROR(XLOOKUP($D195,'02_Features'!$A$5:$A$1000,'02_Features'!$D$5:$D$1000),""))</x:f>
      </x:c>
      <x:c r="G195" s="32" t="str">
        <x:f>IF($D195="","",IFERROR(XLOOKUP($D195,'02_Features'!$A$5:$A$1000,'02_Features'!$E$5:$E$1000),""))</x:f>
      </x:c>
      <x:c r="H195" s="32" t="str">
        <x:f>IF('03_Functionalities'!$A195="","",'03_Functionalities'!$A195)</x:f>
      </x:c>
      <x:c r="I195" s="32" t="str">
        <x:f>IF($H195="","",'03_Functionalities'!$D195)</x:f>
      </x:c>
      <x:c r="J195" s="32" t="str">
        <x:f>IF($H195="","",'03_Functionalities'!$E195)</x:f>
      </x:c>
      <x:c r="K195" s="32" t="str">
        <x:f>IF($H195="","",'03_Functionalities'!$F195)</x:f>
      </x:c>
      <x:c r="L195" s="32" t="str">
        <x:f>IF($H195="","",'03_Functionalities'!$G195)</x:f>
      </x:c>
      <x:c r="M195" s="32" t="str">
        <x:f>IF($H195="","",'03_Functionalities'!$H195)</x:f>
      </x:c>
      <x:c r="N195" s="32" t="str">
        <x:f>IF($H195="","",'03_Functionalities'!$I195)</x:f>
      </x:c>
      <x:c r="O195" s="32" t="str">
        <x:f>IF($H195="","",'03_Functionalities'!$J195)</x:f>
      </x:c>
      <x:c r="P195" s="32" t="str">
        <x:f>IF($H195="","",'03_Functionalities'!$K195)</x:f>
      </x:c>
      <x:c r="Q195" s="32" t="str">
        <x:f>IF($H195="","",'03_Functionalities'!$L195)</x:f>
      </x:c>
      <x:c r="R195" s="32" t="str">
        <x:f>IF($H195="","",'03_Functionalities'!$M195)</x:f>
      </x:c>
      <x:c r="S195" s="32" t="str">
        <x:f>IF($H195="","",'03_Functionalities'!$N195)</x:f>
      </x:c>
      <x:c r="T195" s="32" t="str">
        <x:f>IF($H195="","",'03_Functionalities'!$O195)</x:f>
      </x:c>
      <x:c r="U195" s="32" t="str">
        <x:f>IF($A195="","",IFERROR(XLOOKUP($A195,'01_Products'!$A$5:$A$500,'01_Products'!$G$5:$G$500),""))</x:f>
      </x:c>
      <x:c r="V195" s="32" t="str">
        <x:f>IF($D195="","",IFERROR(XLOOKUP($D195,'02_Features'!$A$5:$A$1000,'02_Features'!$J$5:$J$1000),""))</x:f>
      </x:c>
      <x:c r="W195" s="32" t="str">
        <x:f>IF($H195="","",'03_Functionalities'!$P195)</x:f>
      </x:c>
      <x:c r="X195" s="32" t="str">
        <x:f>IF($H195="","",'03_Functionalities'!$Q195)</x:f>
      </x:c>
      <x:c r="Y195" s="38"/>
      <x:c r="Z195" s="38"/>
    </x:row>
    <x:row r="196" ht="18" customHeight="1">
      <x:c r="A196" s="32" t="str">
        <x:f>IF('03_Functionalities'!$A196="","",'03_Functionalities'!$C196)</x:f>
      </x:c>
      <x:c r="B196" s="32" t="str">
        <x:f>IF($A196="","",IFERROR(XLOOKUP($A196,'01_Products'!$A$5:$A$500,'01_Products'!$B$5:$B$500),""))</x:f>
      </x:c>
      <x:c r="C196" s="32" t="str">
        <x:f>IF($A196="","",IFERROR(XLOOKUP($A196,'01_Products'!$A$5:$A$500,'01_Products'!$C$5:$C$500),""))</x:f>
      </x:c>
      <x:c r="D196" s="32" t="str">
        <x:f>IF('03_Functionalities'!$A196="","",'03_Functionalities'!$B196)</x:f>
      </x:c>
      <x:c r="E196" s="32" t="str">
        <x:f>IF($D196="","",IFERROR(XLOOKUP($D196,'02_Features'!$A$5:$A$1000,'02_Features'!$C$5:$C$1000),""))</x:f>
      </x:c>
      <x:c r="F196" s="32" t="str">
        <x:f>IF($D196="","",IFERROR(XLOOKUP($D196,'02_Features'!$A$5:$A$1000,'02_Features'!$D$5:$D$1000),""))</x:f>
      </x:c>
      <x:c r="G196" s="32" t="str">
        <x:f>IF($D196="","",IFERROR(XLOOKUP($D196,'02_Features'!$A$5:$A$1000,'02_Features'!$E$5:$E$1000),""))</x:f>
      </x:c>
      <x:c r="H196" s="32" t="str">
        <x:f>IF('03_Functionalities'!$A196="","",'03_Functionalities'!$A196)</x:f>
      </x:c>
      <x:c r="I196" s="32" t="str">
        <x:f>IF($H196="","",'03_Functionalities'!$D196)</x:f>
      </x:c>
      <x:c r="J196" s="32" t="str">
        <x:f>IF($H196="","",'03_Functionalities'!$E196)</x:f>
      </x:c>
      <x:c r="K196" s="32" t="str">
        <x:f>IF($H196="","",'03_Functionalities'!$F196)</x:f>
      </x:c>
      <x:c r="L196" s="32" t="str">
        <x:f>IF($H196="","",'03_Functionalities'!$G196)</x:f>
      </x:c>
      <x:c r="M196" s="32" t="str">
        <x:f>IF($H196="","",'03_Functionalities'!$H196)</x:f>
      </x:c>
      <x:c r="N196" s="32" t="str">
        <x:f>IF($H196="","",'03_Functionalities'!$I196)</x:f>
      </x:c>
      <x:c r="O196" s="32" t="str">
        <x:f>IF($H196="","",'03_Functionalities'!$J196)</x:f>
      </x:c>
      <x:c r="P196" s="32" t="str">
        <x:f>IF($H196="","",'03_Functionalities'!$K196)</x:f>
      </x:c>
      <x:c r="Q196" s="32" t="str">
        <x:f>IF($H196="","",'03_Functionalities'!$L196)</x:f>
      </x:c>
      <x:c r="R196" s="32" t="str">
        <x:f>IF($H196="","",'03_Functionalities'!$M196)</x:f>
      </x:c>
      <x:c r="S196" s="32" t="str">
        <x:f>IF($H196="","",'03_Functionalities'!$N196)</x:f>
      </x:c>
      <x:c r="T196" s="32" t="str">
        <x:f>IF($H196="","",'03_Functionalities'!$O196)</x:f>
      </x:c>
      <x:c r="U196" s="32" t="str">
        <x:f>IF($A196="","",IFERROR(XLOOKUP($A196,'01_Products'!$A$5:$A$500,'01_Products'!$G$5:$G$500),""))</x:f>
      </x:c>
      <x:c r="V196" s="32" t="str">
        <x:f>IF($D196="","",IFERROR(XLOOKUP($D196,'02_Features'!$A$5:$A$1000,'02_Features'!$J$5:$J$1000),""))</x:f>
      </x:c>
      <x:c r="W196" s="32" t="str">
        <x:f>IF($H196="","",'03_Functionalities'!$P196)</x:f>
      </x:c>
      <x:c r="X196" s="32" t="str">
        <x:f>IF($H196="","",'03_Functionalities'!$Q196)</x:f>
      </x:c>
      <x:c r="Y196" s="38"/>
      <x:c r="Z196" s="38"/>
    </x:row>
    <x:row r="197" ht="18" customHeight="1">
      <x:c r="A197" s="32" t="str">
        <x:f>IF('03_Functionalities'!$A197="","",'03_Functionalities'!$C197)</x:f>
      </x:c>
      <x:c r="B197" s="32" t="str">
        <x:f>IF($A197="","",IFERROR(XLOOKUP($A197,'01_Products'!$A$5:$A$500,'01_Products'!$B$5:$B$500),""))</x:f>
      </x:c>
      <x:c r="C197" s="32" t="str">
        <x:f>IF($A197="","",IFERROR(XLOOKUP($A197,'01_Products'!$A$5:$A$500,'01_Products'!$C$5:$C$500),""))</x:f>
      </x:c>
      <x:c r="D197" s="32" t="str">
        <x:f>IF('03_Functionalities'!$A197="","",'03_Functionalities'!$B197)</x:f>
      </x:c>
      <x:c r="E197" s="32" t="str">
        <x:f>IF($D197="","",IFERROR(XLOOKUP($D197,'02_Features'!$A$5:$A$1000,'02_Features'!$C$5:$C$1000),""))</x:f>
      </x:c>
      <x:c r="F197" s="32" t="str">
        <x:f>IF($D197="","",IFERROR(XLOOKUP($D197,'02_Features'!$A$5:$A$1000,'02_Features'!$D$5:$D$1000),""))</x:f>
      </x:c>
      <x:c r="G197" s="32" t="str">
        <x:f>IF($D197="","",IFERROR(XLOOKUP($D197,'02_Features'!$A$5:$A$1000,'02_Features'!$E$5:$E$1000),""))</x:f>
      </x:c>
      <x:c r="H197" s="32" t="str">
        <x:f>IF('03_Functionalities'!$A197="","",'03_Functionalities'!$A197)</x:f>
      </x:c>
      <x:c r="I197" s="32" t="str">
        <x:f>IF($H197="","",'03_Functionalities'!$D197)</x:f>
      </x:c>
      <x:c r="J197" s="32" t="str">
        <x:f>IF($H197="","",'03_Functionalities'!$E197)</x:f>
      </x:c>
      <x:c r="K197" s="32" t="str">
        <x:f>IF($H197="","",'03_Functionalities'!$F197)</x:f>
      </x:c>
      <x:c r="L197" s="32" t="str">
        <x:f>IF($H197="","",'03_Functionalities'!$G197)</x:f>
      </x:c>
      <x:c r="M197" s="32" t="str">
        <x:f>IF($H197="","",'03_Functionalities'!$H197)</x:f>
      </x:c>
      <x:c r="N197" s="32" t="str">
        <x:f>IF($H197="","",'03_Functionalities'!$I197)</x:f>
      </x:c>
      <x:c r="O197" s="32" t="str">
        <x:f>IF($H197="","",'03_Functionalities'!$J197)</x:f>
      </x:c>
      <x:c r="P197" s="32" t="str">
        <x:f>IF($H197="","",'03_Functionalities'!$K197)</x:f>
      </x:c>
      <x:c r="Q197" s="32" t="str">
        <x:f>IF($H197="","",'03_Functionalities'!$L197)</x:f>
      </x:c>
      <x:c r="R197" s="32" t="str">
        <x:f>IF($H197="","",'03_Functionalities'!$M197)</x:f>
      </x:c>
      <x:c r="S197" s="32" t="str">
        <x:f>IF($H197="","",'03_Functionalities'!$N197)</x:f>
      </x:c>
      <x:c r="T197" s="32" t="str">
        <x:f>IF($H197="","",'03_Functionalities'!$O197)</x:f>
      </x:c>
      <x:c r="U197" s="32" t="str">
        <x:f>IF($A197="","",IFERROR(XLOOKUP($A197,'01_Products'!$A$5:$A$500,'01_Products'!$G$5:$G$500),""))</x:f>
      </x:c>
      <x:c r="V197" s="32" t="str">
        <x:f>IF($D197="","",IFERROR(XLOOKUP($D197,'02_Features'!$A$5:$A$1000,'02_Features'!$J$5:$J$1000),""))</x:f>
      </x:c>
      <x:c r="W197" s="32" t="str">
        <x:f>IF($H197="","",'03_Functionalities'!$P197)</x:f>
      </x:c>
      <x:c r="X197" s="32" t="str">
        <x:f>IF($H197="","",'03_Functionalities'!$Q197)</x:f>
      </x:c>
      <x:c r="Y197" s="38"/>
      <x:c r="Z197" s="38"/>
    </x:row>
    <x:row r="198" ht="18" customHeight="1">
      <x:c r="A198" s="32" t="str">
        <x:f>IF('03_Functionalities'!$A198="","",'03_Functionalities'!$C198)</x:f>
      </x:c>
      <x:c r="B198" s="32" t="str">
        <x:f>IF($A198="","",IFERROR(XLOOKUP($A198,'01_Products'!$A$5:$A$500,'01_Products'!$B$5:$B$500),""))</x:f>
      </x:c>
      <x:c r="C198" s="32" t="str">
        <x:f>IF($A198="","",IFERROR(XLOOKUP($A198,'01_Products'!$A$5:$A$500,'01_Products'!$C$5:$C$500),""))</x:f>
      </x:c>
      <x:c r="D198" s="32" t="str">
        <x:f>IF('03_Functionalities'!$A198="","",'03_Functionalities'!$B198)</x:f>
      </x:c>
      <x:c r="E198" s="32" t="str">
        <x:f>IF($D198="","",IFERROR(XLOOKUP($D198,'02_Features'!$A$5:$A$1000,'02_Features'!$C$5:$C$1000),""))</x:f>
      </x:c>
      <x:c r="F198" s="32" t="str">
        <x:f>IF($D198="","",IFERROR(XLOOKUP($D198,'02_Features'!$A$5:$A$1000,'02_Features'!$D$5:$D$1000),""))</x:f>
      </x:c>
      <x:c r="G198" s="32" t="str">
        <x:f>IF($D198="","",IFERROR(XLOOKUP($D198,'02_Features'!$A$5:$A$1000,'02_Features'!$E$5:$E$1000),""))</x:f>
      </x:c>
      <x:c r="H198" s="32" t="str">
        <x:f>IF('03_Functionalities'!$A198="","",'03_Functionalities'!$A198)</x:f>
      </x:c>
      <x:c r="I198" s="32" t="str">
        <x:f>IF($H198="","",'03_Functionalities'!$D198)</x:f>
      </x:c>
      <x:c r="J198" s="32" t="str">
        <x:f>IF($H198="","",'03_Functionalities'!$E198)</x:f>
      </x:c>
      <x:c r="K198" s="32" t="str">
        <x:f>IF($H198="","",'03_Functionalities'!$F198)</x:f>
      </x:c>
      <x:c r="L198" s="32" t="str">
        <x:f>IF($H198="","",'03_Functionalities'!$G198)</x:f>
      </x:c>
      <x:c r="M198" s="32" t="str">
        <x:f>IF($H198="","",'03_Functionalities'!$H198)</x:f>
      </x:c>
      <x:c r="N198" s="32" t="str">
        <x:f>IF($H198="","",'03_Functionalities'!$I198)</x:f>
      </x:c>
      <x:c r="O198" s="32" t="str">
        <x:f>IF($H198="","",'03_Functionalities'!$J198)</x:f>
      </x:c>
      <x:c r="P198" s="32" t="str">
        <x:f>IF($H198="","",'03_Functionalities'!$K198)</x:f>
      </x:c>
      <x:c r="Q198" s="32" t="str">
        <x:f>IF($H198="","",'03_Functionalities'!$L198)</x:f>
      </x:c>
      <x:c r="R198" s="32" t="str">
        <x:f>IF($H198="","",'03_Functionalities'!$M198)</x:f>
      </x:c>
      <x:c r="S198" s="32" t="str">
        <x:f>IF($H198="","",'03_Functionalities'!$N198)</x:f>
      </x:c>
      <x:c r="T198" s="32" t="str">
        <x:f>IF($H198="","",'03_Functionalities'!$O198)</x:f>
      </x:c>
      <x:c r="U198" s="32" t="str">
        <x:f>IF($A198="","",IFERROR(XLOOKUP($A198,'01_Products'!$A$5:$A$500,'01_Products'!$G$5:$G$500),""))</x:f>
      </x:c>
      <x:c r="V198" s="32" t="str">
        <x:f>IF($D198="","",IFERROR(XLOOKUP($D198,'02_Features'!$A$5:$A$1000,'02_Features'!$J$5:$J$1000),""))</x:f>
      </x:c>
      <x:c r="W198" s="32" t="str">
        <x:f>IF($H198="","",'03_Functionalities'!$P198)</x:f>
      </x:c>
      <x:c r="X198" s="32" t="str">
        <x:f>IF($H198="","",'03_Functionalities'!$Q198)</x:f>
      </x:c>
      <x:c r="Y198" s="38"/>
      <x:c r="Z198" s="38"/>
    </x:row>
    <x:row r="199" ht="18" customHeight="1">
      <x:c r="A199" s="32" t="str">
        <x:f>IF('03_Functionalities'!$A199="","",'03_Functionalities'!$C199)</x:f>
      </x:c>
      <x:c r="B199" s="32" t="str">
        <x:f>IF($A199="","",IFERROR(XLOOKUP($A199,'01_Products'!$A$5:$A$500,'01_Products'!$B$5:$B$500),""))</x:f>
      </x:c>
      <x:c r="C199" s="32" t="str">
        <x:f>IF($A199="","",IFERROR(XLOOKUP($A199,'01_Products'!$A$5:$A$500,'01_Products'!$C$5:$C$500),""))</x:f>
      </x:c>
      <x:c r="D199" s="32" t="str">
        <x:f>IF('03_Functionalities'!$A199="","",'03_Functionalities'!$B199)</x:f>
      </x:c>
      <x:c r="E199" s="32" t="str">
        <x:f>IF($D199="","",IFERROR(XLOOKUP($D199,'02_Features'!$A$5:$A$1000,'02_Features'!$C$5:$C$1000),""))</x:f>
      </x:c>
      <x:c r="F199" s="32" t="str">
        <x:f>IF($D199="","",IFERROR(XLOOKUP($D199,'02_Features'!$A$5:$A$1000,'02_Features'!$D$5:$D$1000),""))</x:f>
      </x:c>
      <x:c r="G199" s="32" t="str">
        <x:f>IF($D199="","",IFERROR(XLOOKUP($D199,'02_Features'!$A$5:$A$1000,'02_Features'!$E$5:$E$1000),""))</x:f>
      </x:c>
      <x:c r="H199" s="32" t="str">
        <x:f>IF('03_Functionalities'!$A199="","",'03_Functionalities'!$A199)</x:f>
      </x:c>
      <x:c r="I199" s="32" t="str">
        <x:f>IF($H199="","",'03_Functionalities'!$D199)</x:f>
      </x:c>
      <x:c r="J199" s="32" t="str">
        <x:f>IF($H199="","",'03_Functionalities'!$E199)</x:f>
      </x:c>
      <x:c r="K199" s="32" t="str">
        <x:f>IF($H199="","",'03_Functionalities'!$F199)</x:f>
      </x:c>
      <x:c r="L199" s="32" t="str">
        <x:f>IF($H199="","",'03_Functionalities'!$G199)</x:f>
      </x:c>
      <x:c r="M199" s="32" t="str">
        <x:f>IF($H199="","",'03_Functionalities'!$H199)</x:f>
      </x:c>
      <x:c r="N199" s="32" t="str">
        <x:f>IF($H199="","",'03_Functionalities'!$I199)</x:f>
      </x:c>
      <x:c r="O199" s="32" t="str">
        <x:f>IF($H199="","",'03_Functionalities'!$J199)</x:f>
      </x:c>
      <x:c r="P199" s="32" t="str">
        <x:f>IF($H199="","",'03_Functionalities'!$K199)</x:f>
      </x:c>
      <x:c r="Q199" s="32" t="str">
        <x:f>IF($H199="","",'03_Functionalities'!$L199)</x:f>
      </x:c>
      <x:c r="R199" s="32" t="str">
        <x:f>IF($H199="","",'03_Functionalities'!$M199)</x:f>
      </x:c>
      <x:c r="S199" s="32" t="str">
        <x:f>IF($H199="","",'03_Functionalities'!$N199)</x:f>
      </x:c>
      <x:c r="T199" s="32" t="str">
        <x:f>IF($H199="","",'03_Functionalities'!$O199)</x:f>
      </x:c>
      <x:c r="U199" s="32" t="str">
        <x:f>IF($A199="","",IFERROR(XLOOKUP($A199,'01_Products'!$A$5:$A$500,'01_Products'!$G$5:$G$500),""))</x:f>
      </x:c>
      <x:c r="V199" s="32" t="str">
        <x:f>IF($D199="","",IFERROR(XLOOKUP($D199,'02_Features'!$A$5:$A$1000,'02_Features'!$J$5:$J$1000),""))</x:f>
      </x:c>
      <x:c r="W199" s="32" t="str">
        <x:f>IF($H199="","",'03_Functionalities'!$P199)</x:f>
      </x:c>
      <x:c r="X199" s="32" t="str">
        <x:f>IF($H199="","",'03_Functionalities'!$Q199)</x:f>
      </x:c>
      <x:c r="Y199" s="38"/>
      <x:c r="Z199" s="38"/>
    </x:row>
    <x:row r="200" ht="18" customHeight="1">
      <x:c r="A200" s="32" t="str">
        <x:f>IF('03_Functionalities'!$A200="","",'03_Functionalities'!$C200)</x:f>
      </x:c>
      <x:c r="B200" s="32" t="str">
        <x:f>IF($A200="","",IFERROR(XLOOKUP($A200,'01_Products'!$A$5:$A$500,'01_Products'!$B$5:$B$500),""))</x:f>
      </x:c>
      <x:c r="C200" s="32" t="str">
        <x:f>IF($A200="","",IFERROR(XLOOKUP($A200,'01_Products'!$A$5:$A$500,'01_Products'!$C$5:$C$500),""))</x:f>
      </x:c>
      <x:c r="D200" s="32" t="str">
        <x:f>IF('03_Functionalities'!$A200="","",'03_Functionalities'!$B200)</x:f>
      </x:c>
      <x:c r="E200" s="32" t="str">
        <x:f>IF($D200="","",IFERROR(XLOOKUP($D200,'02_Features'!$A$5:$A$1000,'02_Features'!$C$5:$C$1000),""))</x:f>
      </x:c>
      <x:c r="F200" s="32" t="str">
        <x:f>IF($D200="","",IFERROR(XLOOKUP($D200,'02_Features'!$A$5:$A$1000,'02_Features'!$D$5:$D$1000),""))</x:f>
      </x:c>
      <x:c r="G200" s="32" t="str">
        <x:f>IF($D200="","",IFERROR(XLOOKUP($D200,'02_Features'!$A$5:$A$1000,'02_Features'!$E$5:$E$1000),""))</x:f>
      </x:c>
      <x:c r="H200" s="32" t="str">
        <x:f>IF('03_Functionalities'!$A200="","",'03_Functionalities'!$A200)</x:f>
      </x:c>
      <x:c r="I200" s="32" t="str">
        <x:f>IF($H200="","",'03_Functionalities'!$D200)</x:f>
      </x:c>
      <x:c r="J200" s="32" t="str">
        <x:f>IF($H200="","",'03_Functionalities'!$E200)</x:f>
      </x:c>
      <x:c r="K200" s="32" t="str">
        <x:f>IF($H200="","",'03_Functionalities'!$F200)</x:f>
      </x:c>
      <x:c r="L200" s="32" t="str">
        <x:f>IF($H200="","",'03_Functionalities'!$G200)</x:f>
      </x:c>
      <x:c r="M200" s="32" t="str">
        <x:f>IF($H200="","",'03_Functionalities'!$H200)</x:f>
      </x:c>
      <x:c r="N200" s="32" t="str">
        <x:f>IF($H200="","",'03_Functionalities'!$I200)</x:f>
      </x:c>
      <x:c r="O200" s="32" t="str">
        <x:f>IF($H200="","",'03_Functionalities'!$J200)</x:f>
      </x:c>
      <x:c r="P200" s="32" t="str">
        <x:f>IF($H200="","",'03_Functionalities'!$K200)</x:f>
      </x:c>
      <x:c r="Q200" s="32" t="str">
        <x:f>IF($H200="","",'03_Functionalities'!$L200)</x:f>
      </x:c>
      <x:c r="R200" s="32" t="str">
        <x:f>IF($H200="","",'03_Functionalities'!$M200)</x:f>
      </x:c>
      <x:c r="S200" s="32" t="str">
        <x:f>IF($H200="","",'03_Functionalities'!$N200)</x:f>
      </x:c>
      <x:c r="T200" s="32" t="str">
        <x:f>IF($H200="","",'03_Functionalities'!$O200)</x:f>
      </x:c>
      <x:c r="U200" s="32" t="str">
        <x:f>IF($A200="","",IFERROR(XLOOKUP($A200,'01_Products'!$A$5:$A$500,'01_Products'!$G$5:$G$500),""))</x:f>
      </x:c>
      <x:c r="V200" s="32" t="str">
        <x:f>IF($D200="","",IFERROR(XLOOKUP($D200,'02_Features'!$A$5:$A$1000,'02_Features'!$J$5:$J$1000),""))</x:f>
      </x:c>
      <x:c r="W200" s="32" t="str">
        <x:f>IF($H200="","",'03_Functionalities'!$P200)</x:f>
      </x:c>
      <x:c r="X200" s="32" t="str">
        <x:f>IF($H200="","",'03_Functionalities'!$Q200)</x:f>
      </x:c>
      <x:c r="Y200" s="38"/>
      <x:c r="Z200" s="38"/>
    </x:row>
    <x:row r="201" ht="18" customHeight="1">
      <x:c r="A201" s="32" t="str">
        <x:f>IF('03_Functionalities'!$A201="","",'03_Functionalities'!$C201)</x:f>
      </x:c>
      <x:c r="B201" s="32" t="str">
        <x:f>IF($A201="","",IFERROR(XLOOKUP($A201,'01_Products'!$A$5:$A$500,'01_Products'!$B$5:$B$500),""))</x:f>
      </x:c>
      <x:c r="C201" s="32" t="str">
        <x:f>IF($A201="","",IFERROR(XLOOKUP($A201,'01_Products'!$A$5:$A$500,'01_Products'!$C$5:$C$500),""))</x:f>
      </x:c>
      <x:c r="D201" s="32" t="str">
        <x:f>IF('03_Functionalities'!$A201="","",'03_Functionalities'!$B201)</x:f>
      </x:c>
      <x:c r="E201" s="32" t="str">
        <x:f>IF($D201="","",IFERROR(XLOOKUP($D201,'02_Features'!$A$5:$A$1000,'02_Features'!$C$5:$C$1000),""))</x:f>
      </x:c>
      <x:c r="F201" s="32" t="str">
        <x:f>IF($D201="","",IFERROR(XLOOKUP($D201,'02_Features'!$A$5:$A$1000,'02_Features'!$D$5:$D$1000),""))</x:f>
      </x:c>
      <x:c r="G201" s="32" t="str">
        <x:f>IF($D201="","",IFERROR(XLOOKUP($D201,'02_Features'!$A$5:$A$1000,'02_Features'!$E$5:$E$1000),""))</x:f>
      </x:c>
      <x:c r="H201" s="32" t="str">
        <x:f>IF('03_Functionalities'!$A201="","",'03_Functionalities'!$A201)</x:f>
      </x:c>
      <x:c r="I201" s="32" t="str">
        <x:f>IF($H201="","",'03_Functionalities'!$D201)</x:f>
      </x:c>
      <x:c r="J201" s="32" t="str">
        <x:f>IF($H201="","",'03_Functionalities'!$E201)</x:f>
      </x:c>
      <x:c r="K201" s="32" t="str">
        <x:f>IF($H201="","",'03_Functionalities'!$F201)</x:f>
      </x:c>
      <x:c r="L201" s="32" t="str">
        <x:f>IF($H201="","",'03_Functionalities'!$G201)</x:f>
      </x:c>
      <x:c r="M201" s="32" t="str">
        <x:f>IF($H201="","",'03_Functionalities'!$H201)</x:f>
      </x:c>
      <x:c r="N201" s="32" t="str">
        <x:f>IF($H201="","",'03_Functionalities'!$I201)</x:f>
      </x:c>
      <x:c r="O201" s="32" t="str">
        <x:f>IF($H201="","",'03_Functionalities'!$J201)</x:f>
      </x:c>
      <x:c r="P201" s="32" t="str">
        <x:f>IF($H201="","",'03_Functionalities'!$K201)</x:f>
      </x:c>
      <x:c r="Q201" s="32" t="str">
        <x:f>IF($H201="","",'03_Functionalities'!$L201)</x:f>
      </x:c>
      <x:c r="R201" s="32" t="str">
        <x:f>IF($H201="","",'03_Functionalities'!$M201)</x:f>
      </x:c>
      <x:c r="S201" s="32" t="str">
        <x:f>IF($H201="","",'03_Functionalities'!$N201)</x:f>
      </x:c>
      <x:c r="T201" s="32" t="str">
        <x:f>IF($H201="","",'03_Functionalities'!$O201)</x:f>
      </x:c>
      <x:c r="U201" s="32" t="str">
        <x:f>IF($A201="","",IFERROR(XLOOKUP($A201,'01_Products'!$A$5:$A$500,'01_Products'!$G$5:$G$500),""))</x:f>
      </x:c>
      <x:c r="V201" s="32" t="str">
        <x:f>IF($D201="","",IFERROR(XLOOKUP($D201,'02_Features'!$A$5:$A$1000,'02_Features'!$J$5:$J$1000),""))</x:f>
      </x:c>
      <x:c r="W201" s="32" t="str">
        <x:f>IF($H201="","",'03_Functionalities'!$P201)</x:f>
      </x:c>
      <x:c r="X201" s="32" t="str">
        <x:f>IF($H201="","",'03_Functionalities'!$Q201)</x:f>
      </x:c>
      <x:c r="Y201" s="38"/>
      <x:c r="Z201" s="38"/>
    </x:row>
    <x:row r="202" ht="18" customHeight="1">
      <x:c r="A202" s="32" t="str">
        <x:f>IF('03_Functionalities'!$A202="","",'03_Functionalities'!$C202)</x:f>
      </x:c>
      <x:c r="B202" s="32" t="str">
        <x:f>IF($A202="","",IFERROR(XLOOKUP($A202,'01_Products'!$A$5:$A$500,'01_Products'!$B$5:$B$500),""))</x:f>
      </x:c>
      <x:c r="C202" s="32" t="str">
        <x:f>IF($A202="","",IFERROR(XLOOKUP($A202,'01_Products'!$A$5:$A$500,'01_Products'!$C$5:$C$500),""))</x:f>
      </x:c>
      <x:c r="D202" s="32" t="str">
        <x:f>IF('03_Functionalities'!$A202="","",'03_Functionalities'!$B202)</x:f>
      </x:c>
      <x:c r="E202" s="32" t="str">
        <x:f>IF($D202="","",IFERROR(XLOOKUP($D202,'02_Features'!$A$5:$A$1000,'02_Features'!$C$5:$C$1000),""))</x:f>
      </x:c>
      <x:c r="F202" s="32" t="str">
        <x:f>IF($D202="","",IFERROR(XLOOKUP($D202,'02_Features'!$A$5:$A$1000,'02_Features'!$D$5:$D$1000),""))</x:f>
      </x:c>
      <x:c r="G202" s="32" t="str">
        <x:f>IF($D202="","",IFERROR(XLOOKUP($D202,'02_Features'!$A$5:$A$1000,'02_Features'!$E$5:$E$1000),""))</x:f>
      </x:c>
      <x:c r="H202" s="32" t="str">
        <x:f>IF('03_Functionalities'!$A202="","",'03_Functionalities'!$A202)</x:f>
      </x:c>
      <x:c r="I202" s="32" t="str">
        <x:f>IF($H202="","",'03_Functionalities'!$D202)</x:f>
      </x:c>
      <x:c r="J202" s="32" t="str">
        <x:f>IF($H202="","",'03_Functionalities'!$E202)</x:f>
      </x:c>
      <x:c r="K202" s="32" t="str">
        <x:f>IF($H202="","",'03_Functionalities'!$F202)</x:f>
      </x:c>
      <x:c r="L202" s="32" t="str">
        <x:f>IF($H202="","",'03_Functionalities'!$G202)</x:f>
      </x:c>
      <x:c r="M202" s="32" t="str">
        <x:f>IF($H202="","",'03_Functionalities'!$H202)</x:f>
      </x:c>
      <x:c r="N202" s="32" t="str">
        <x:f>IF($H202="","",'03_Functionalities'!$I202)</x:f>
      </x:c>
      <x:c r="O202" s="32" t="str">
        <x:f>IF($H202="","",'03_Functionalities'!$J202)</x:f>
      </x:c>
      <x:c r="P202" s="32" t="str">
        <x:f>IF($H202="","",'03_Functionalities'!$K202)</x:f>
      </x:c>
      <x:c r="Q202" s="32" t="str">
        <x:f>IF($H202="","",'03_Functionalities'!$L202)</x:f>
      </x:c>
      <x:c r="R202" s="32" t="str">
        <x:f>IF($H202="","",'03_Functionalities'!$M202)</x:f>
      </x:c>
      <x:c r="S202" s="32" t="str">
        <x:f>IF($H202="","",'03_Functionalities'!$N202)</x:f>
      </x:c>
      <x:c r="T202" s="32" t="str">
        <x:f>IF($H202="","",'03_Functionalities'!$O202)</x:f>
      </x:c>
      <x:c r="U202" s="32" t="str">
        <x:f>IF($A202="","",IFERROR(XLOOKUP($A202,'01_Products'!$A$5:$A$500,'01_Products'!$G$5:$G$500),""))</x:f>
      </x:c>
      <x:c r="V202" s="32" t="str">
        <x:f>IF($D202="","",IFERROR(XLOOKUP($D202,'02_Features'!$A$5:$A$1000,'02_Features'!$J$5:$J$1000),""))</x:f>
      </x:c>
      <x:c r="W202" s="32" t="str">
        <x:f>IF($H202="","",'03_Functionalities'!$P202)</x:f>
      </x:c>
      <x:c r="X202" s="32" t="str">
        <x:f>IF($H202="","",'03_Functionalities'!$Q202)</x:f>
      </x:c>
      <x:c r="Y202" s="38"/>
      <x:c r="Z202" s="38"/>
    </x:row>
    <x:row r="203" ht="18" customHeight="1">
      <x:c r="A203" s="32" t="str">
        <x:f>IF('03_Functionalities'!$A203="","",'03_Functionalities'!$C203)</x:f>
      </x:c>
      <x:c r="B203" s="32" t="str">
        <x:f>IF($A203="","",IFERROR(XLOOKUP($A203,'01_Products'!$A$5:$A$500,'01_Products'!$B$5:$B$500),""))</x:f>
      </x:c>
      <x:c r="C203" s="32" t="str">
        <x:f>IF($A203="","",IFERROR(XLOOKUP($A203,'01_Products'!$A$5:$A$500,'01_Products'!$C$5:$C$500),""))</x:f>
      </x:c>
      <x:c r="D203" s="32" t="str">
        <x:f>IF('03_Functionalities'!$A203="","",'03_Functionalities'!$B203)</x:f>
      </x:c>
      <x:c r="E203" s="32" t="str">
        <x:f>IF($D203="","",IFERROR(XLOOKUP($D203,'02_Features'!$A$5:$A$1000,'02_Features'!$C$5:$C$1000),""))</x:f>
      </x:c>
      <x:c r="F203" s="32" t="str">
        <x:f>IF($D203="","",IFERROR(XLOOKUP($D203,'02_Features'!$A$5:$A$1000,'02_Features'!$D$5:$D$1000),""))</x:f>
      </x:c>
      <x:c r="G203" s="32" t="str">
        <x:f>IF($D203="","",IFERROR(XLOOKUP($D203,'02_Features'!$A$5:$A$1000,'02_Features'!$E$5:$E$1000),""))</x:f>
      </x:c>
      <x:c r="H203" s="32" t="str">
        <x:f>IF('03_Functionalities'!$A203="","",'03_Functionalities'!$A203)</x:f>
      </x:c>
      <x:c r="I203" s="32" t="str">
        <x:f>IF($H203="","",'03_Functionalities'!$D203)</x:f>
      </x:c>
      <x:c r="J203" s="32" t="str">
        <x:f>IF($H203="","",'03_Functionalities'!$E203)</x:f>
      </x:c>
      <x:c r="K203" s="32" t="str">
        <x:f>IF($H203="","",'03_Functionalities'!$F203)</x:f>
      </x:c>
      <x:c r="L203" s="32" t="str">
        <x:f>IF($H203="","",'03_Functionalities'!$G203)</x:f>
      </x:c>
      <x:c r="M203" s="32" t="str">
        <x:f>IF($H203="","",'03_Functionalities'!$H203)</x:f>
      </x:c>
      <x:c r="N203" s="32" t="str">
        <x:f>IF($H203="","",'03_Functionalities'!$I203)</x:f>
      </x:c>
      <x:c r="O203" s="32" t="str">
        <x:f>IF($H203="","",'03_Functionalities'!$J203)</x:f>
      </x:c>
      <x:c r="P203" s="32" t="str">
        <x:f>IF($H203="","",'03_Functionalities'!$K203)</x:f>
      </x:c>
      <x:c r="Q203" s="32" t="str">
        <x:f>IF($H203="","",'03_Functionalities'!$L203)</x:f>
      </x:c>
      <x:c r="R203" s="32" t="str">
        <x:f>IF($H203="","",'03_Functionalities'!$M203)</x:f>
      </x:c>
      <x:c r="S203" s="32" t="str">
        <x:f>IF($H203="","",'03_Functionalities'!$N203)</x:f>
      </x:c>
      <x:c r="T203" s="32" t="str">
        <x:f>IF($H203="","",'03_Functionalities'!$O203)</x:f>
      </x:c>
      <x:c r="U203" s="32" t="str">
        <x:f>IF($A203="","",IFERROR(XLOOKUP($A203,'01_Products'!$A$5:$A$500,'01_Products'!$G$5:$G$500),""))</x:f>
      </x:c>
      <x:c r="V203" s="32" t="str">
        <x:f>IF($D203="","",IFERROR(XLOOKUP($D203,'02_Features'!$A$5:$A$1000,'02_Features'!$J$5:$J$1000),""))</x:f>
      </x:c>
      <x:c r="W203" s="32" t="str">
        <x:f>IF($H203="","",'03_Functionalities'!$P203)</x:f>
      </x:c>
      <x:c r="X203" s="32" t="str">
        <x:f>IF($H203="","",'03_Functionalities'!$Q203)</x:f>
      </x:c>
      <x:c r="Y203" s="38"/>
      <x:c r="Z203" s="38"/>
    </x:row>
    <x:row r="204" ht="18" customHeight="1">
      <x:c r="A204" s="32" t="str">
        <x:f>IF('03_Functionalities'!$A204="","",'03_Functionalities'!$C204)</x:f>
      </x:c>
      <x:c r="B204" s="32" t="str">
        <x:f>IF($A204="","",IFERROR(XLOOKUP($A204,'01_Products'!$A$5:$A$500,'01_Products'!$B$5:$B$500),""))</x:f>
      </x:c>
      <x:c r="C204" s="32" t="str">
        <x:f>IF($A204="","",IFERROR(XLOOKUP($A204,'01_Products'!$A$5:$A$500,'01_Products'!$C$5:$C$500),""))</x:f>
      </x:c>
      <x:c r="D204" s="32" t="str">
        <x:f>IF('03_Functionalities'!$A204="","",'03_Functionalities'!$B204)</x:f>
      </x:c>
      <x:c r="E204" s="32" t="str">
        <x:f>IF($D204="","",IFERROR(XLOOKUP($D204,'02_Features'!$A$5:$A$1000,'02_Features'!$C$5:$C$1000),""))</x:f>
      </x:c>
      <x:c r="F204" s="32" t="str">
        <x:f>IF($D204="","",IFERROR(XLOOKUP($D204,'02_Features'!$A$5:$A$1000,'02_Features'!$D$5:$D$1000),""))</x:f>
      </x:c>
      <x:c r="G204" s="32" t="str">
        <x:f>IF($D204="","",IFERROR(XLOOKUP($D204,'02_Features'!$A$5:$A$1000,'02_Features'!$E$5:$E$1000),""))</x:f>
      </x:c>
      <x:c r="H204" s="32" t="str">
        <x:f>IF('03_Functionalities'!$A204="","",'03_Functionalities'!$A204)</x:f>
      </x:c>
      <x:c r="I204" s="32" t="str">
        <x:f>IF($H204="","",'03_Functionalities'!$D204)</x:f>
      </x:c>
      <x:c r="J204" s="32" t="str">
        <x:f>IF($H204="","",'03_Functionalities'!$E204)</x:f>
      </x:c>
      <x:c r="K204" s="32" t="str">
        <x:f>IF($H204="","",'03_Functionalities'!$F204)</x:f>
      </x:c>
      <x:c r="L204" s="32" t="str">
        <x:f>IF($H204="","",'03_Functionalities'!$G204)</x:f>
      </x:c>
      <x:c r="M204" s="32" t="str">
        <x:f>IF($H204="","",'03_Functionalities'!$H204)</x:f>
      </x:c>
      <x:c r="N204" s="32" t="str">
        <x:f>IF($H204="","",'03_Functionalities'!$I204)</x:f>
      </x:c>
      <x:c r="O204" s="32" t="str">
        <x:f>IF($H204="","",'03_Functionalities'!$J204)</x:f>
      </x:c>
      <x:c r="P204" s="32" t="str">
        <x:f>IF($H204="","",'03_Functionalities'!$K204)</x:f>
      </x:c>
      <x:c r="Q204" s="32" t="str">
        <x:f>IF($H204="","",'03_Functionalities'!$L204)</x:f>
      </x:c>
      <x:c r="R204" s="32" t="str">
        <x:f>IF($H204="","",'03_Functionalities'!$M204)</x:f>
      </x:c>
      <x:c r="S204" s="32" t="str">
        <x:f>IF($H204="","",'03_Functionalities'!$N204)</x:f>
      </x:c>
      <x:c r="T204" s="32" t="str">
        <x:f>IF($H204="","",'03_Functionalities'!$O204)</x:f>
      </x:c>
      <x:c r="U204" s="32" t="str">
        <x:f>IF($A204="","",IFERROR(XLOOKUP($A204,'01_Products'!$A$5:$A$500,'01_Products'!$G$5:$G$500),""))</x:f>
      </x:c>
      <x:c r="V204" s="32" t="str">
        <x:f>IF($D204="","",IFERROR(XLOOKUP($D204,'02_Features'!$A$5:$A$1000,'02_Features'!$J$5:$J$1000),""))</x:f>
      </x:c>
      <x:c r="W204" s="32" t="str">
        <x:f>IF($H204="","",'03_Functionalities'!$P204)</x:f>
      </x:c>
      <x:c r="X204" s="32" t="str">
        <x:f>IF($H204="","",'03_Functionalities'!$Q204)</x:f>
      </x:c>
      <x:c r="Y204" s="38"/>
      <x:c r="Z204" s="38"/>
    </x:row>
    <x:row r="205" ht="18" customHeight="1">
      <x:c r="A205" s="32" t="str">
        <x:f>IF('03_Functionalities'!$A205="","",'03_Functionalities'!$C205)</x:f>
      </x:c>
      <x:c r="B205" s="32" t="str">
        <x:f>IF($A205="","",IFERROR(XLOOKUP($A205,'01_Products'!$A$5:$A$500,'01_Products'!$B$5:$B$500),""))</x:f>
      </x:c>
      <x:c r="C205" s="32" t="str">
        <x:f>IF($A205="","",IFERROR(XLOOKUP($A205,'01_Products'!$A$5:$A$500,'01_Products'!$C$5:$C$500),""))</x:f>
      </x:c>
      <x:c r="D205" s="32" t="str">
        <x:f>IF('03_Functionalities'!$A205="","",'03_Functionalities'!$B205)</x:f>
      </x:c>
      <x:c r="E205" s="32" t="str">
        <x:f>IF($D205="","",IFERROR(XLOOKUP($D205,'02_Features'!$A$5:$A$1000,'02_Features'!$C$5:$C$1000),""))</x:f>
      </x:c>
      <x:c r="F205" s="32" t="str">
        <x:f>IF($D205="","",IFERROR(XLOOKUP($D205,'02_Features'!$A$5:$A$1000,'02_Features'!$D$5:$D$1000),""))</x:f>
      </x:c>
      <x:c r="G205" s="32" t="str">
        <x:f>IF($D205="","",IFERROR(XLOOKUP($D205,'02_Features'!$A$5:$A$1000,'02_Features'!$E$5:$E$1000),""))</x:f>
      </x:c>
      <x:c r="H205" s="32" t="str">
        <x:f>IF('03_Functionalities'!$A205="","",'03_Functionalities'!$A205)</x:f>
      </x:c>
      <x:c r="I205" s="32" t="str">
        <x:f>IF($H205="","",'03_Functionalities'!$D205)</x:f>
      </x:c>
      <x:c r="J205" s="32" t="str">
        <x:f>IF($H205="","",'03_Functionalities'!$E205)</x:f>
      </x:c>
      <x:c r="K205" s="32" t="str">
        <x:f>IF($H205="","",'03_Functionalities'!$F205)</x:f>
      </x:c>
      <x:c r="L205" s="32" t="str">
        <x:f>IF($H205="","",'03_Functionalities'!$G205)</x:f>
      </x:c>
      <x:c r="M205" s="32" t="str">
        <x:f>IF($H205="","",'03_Functionalities'!$H205)</x:f>
      </x:c>
      <x:c r="N205" s="32" t="str">
        <x:f>IF($H205="","",'03_Functionalities'!$I205)</x:f>
      </x:c>
      <x:c r="O205" s="32" t="str">
        <x:f>IF($H205="","",'03_Functionalities'!$J205)</x:f>
      </x:c>
      <x:c r="P205" s="32" t="str">
        <x:f>IF($H205="","",'03_Functionalities'!$K205)</x:f>
      </x:c>
      <x:c r="Q205" s="32" t="str">
        <x:f>IF($H205="","",'03_Functionalities'!$L205)</x:f>
      </x:c>
      <x:c r="R205" s="32" t="str">
        <x:f>IF($H205="","",'03_Functionalities'!$M205)</x:f>
      </x:c>
      <x:c r="S205" s="32" t="str">
        <x:f>IF($H205="","",'03_Functionalities'!$N205)</x:f>
      </x:c>
      <x:c r="T205" s="32" t="str">
        <x:f>IF($H205="","",'03_Functionalities'!$O205)</x:f>
      </x:c>
      <x:c r="U205" s="32" t="str">
        <x:f>IF($A205="","",IFERROR(XLOOKUP($A205,'01_Products'!$A$5:$A$500,'01_Products'!$G$5:$G$500),""))</x:f>
      </x:c>
      <x:c r="V205" s="32" t="str">
        <x:f>IF($D205="","",IFERROR(XLOOKUP($D205,'02_Features'!$A$5:$A$1000,'02_Features'!$J$5:$J$1000),""))</x:f>
      </x:c>
      <x:c r="W205" s="32" t="str">
        <x:f>IF($H205="","",'03_Functionalities'!$P205)</x:f>
      </x:c>
      <x:c r="X205" s="32" t="str">
        <x:f>IF($H205="","",'03_Functionalities'!$Q205)</x:f>
      </x:c>
      <x:c r="Y205" s="38"/>
      <x:c r="Z205" s="38"/>
    </x:row>
    <x:row r="206" ht="18" customHeight="1">
      <x:c r="A206" s="32" t="str">
        <x:f>IF('03_Functionalities'!$A206="","",'03_Functionalities'!$C206)</x:f>
      </x:c>
      <x:c r="B206" s="32" t="str">
        <x:f>IF($A206="","",IFERROR(XLOOKUP($A206,'01_Products'!$A$5:$A$500,'01_Products'!$B$5:$B$500),""))</x:f>
      </x:c>
      <x:c r="C206" s="32" t="str">
        <x:f>IF($A206="","",IFERROR(XLOOKUP($A206,'01_Products'!$A$5:$A$500,'01_Products'!$C$5:$C$500),""))</x:f>
      </x:c>
      <x:c r="D206" s="32" t="str">
        <x:f>IF('03_Functionalities'!$A206="","",'03_Functionalities'!$B206)</x:f>
      </x:c>
      <x:c r="E206" s="32" t="str">
        <x:f>IF($D206="","",IFERROR(XLOOKUP($D206,'02_Features'!$A$5:$A$1000,'02_Features'!$C$5:$C$1000),""))</x:f>
      </x:c>
      <x:c r="F206" s="32" t="str">
        <x:f>IF($D206="","",IFERROR(XLOOKUP($D206,'02_Features'!$A$5:$A$1000,'02_Features'!$D$5:$D$1000),""))</x:f>
      </x:c>
      <x:c r="G206" s="32" t="str">
        <x:f>IF($D206="","",IFERROR(XLOOKUP($D206,'02_Features'!$A$5:$A$1000,'02_Features'!$E$5:$E$1000),""))</x:f>
      </x:c>
      <x:c r="H206" s="32" t="str">
        <x:f>IF('03_Functionalities'!$A206="","",'03_Functionalities'!$A206)</x:f>
      </x:c>
      <x:c r="I206" s="32" t="str">
        <x:f>IF($H206="","",'03_Functionalities'!$D206)</x:f>
      </x:c>
      <x:c r="J206" s="32" t="str">
        <x:f>IF($H206="","",'03_Functionalities'!$E206)</x:f>
      </x:c>
      <x:c r="K206" s="32" t="str">
        <x:f>IF($H206="","",'03_Functionalities'!$F206)</x:f>
      </x:c>
      <x:c r="L206" s="32" t="str">
        <x:f>IF($H206="","",'03_Functionalities'!$G206)</x:f>
      </x:c>
      <x:c r="M206" s="32" t="str">
        <x:f>IF($H206="","",'03_Functionalities'!$H206)</x:f>
      </x:c>
      <x:c r="N206" s="32" t="str">
        <x:f>IF($H206="","",'03_Functionalities'!$I206)</x:f>
      </x:c>
      <x:c r="O206" s="32" t="str">
        <x:f>IF($H206="","",'03_Functionalities'!$J206)</x:f>
      </x:c>
      <x:c r="P206" s="32" t="str">
        <x:f>IF($H206="","",'03_Functionalities'!$K206)</x:f>
      </x:c>
      <x:c r="Q206" s="32" t="str">
        <x:f>IF($H206="","",'03_Functionalities'!$L206)</x:f>
      </x:c>
      <x:c r="R206" s="32" t="str">
        <x:f>IF($H206="","",'03_Functionalities'!$M206)</x:f>
      </x:c>
      <x:c r="S206" s="32" t="str">
        <x:f>IF($H206="","",'03_Functionalities'!$N206)</x:f>
      </x:c>
      <x:c r="T206" s="32" t="str">
        <x:f>IF($H206="","",'03_Functionalities'!$O206)</x:f>
      </x:c>
      <x:c r="U206" s="32" t="str">
        <x:f>IF($A206="","",IFERROR(XLOOKUP($A206,'01_Products'!$A$5:$A$500,'01_Products'!$G$5:$G$500),""))</x:f>
      </x:c>
      <x:c r="V206" s="32" t="str">
        <x:f>IF($D206="","",IFERROR(XLOOKUP($D206,'02_Features'!$A$5:$A$1000,'02_Features'!$J$5:$J$1000),""))</x:f>
      </x:c>
      <x:c r="W206" s="32" t="str">
        <x:f>IF($H206="","",'03_Functionalities'!$P206)</x:f>
      </x:c>
      <x:c r="X206" s="32" t="str">
        <x:f>IF($H206="","",'03_Functionalities'!$Q206)</x:f>
      </x:c>
      <x:c r="Y206" s="38"/>
      <x:c r="Z206" s="38"/>
    </x:row>
    <x:row r="207" ht="18" customHeight="1">
      <x:c r="A207" s="32" t="str">
        <x:f>IF('03_Functionalities'!$A207="","",'03_Functionalities'!$C207)</x:f>
      </x:c>
      <x:c r="B207" s="32" t="str">
        <x:f>IF($A207="","",IFERROR(XLOOKUP($A207,'01_Products'!$A$5:$A$500,'01_Products'!$B$5:$B$500),""))</x:f>
      </x:c>
      <x:c r="C207" s="32" t="str">
        <x:f>IF($A207="","",IFERROR(XLOOKUP($A207,'01_Products'!$A$5:$A$500,'01_Products'!$C$5:$C$500),""))</x:f>
      </x:c>
      <x:c r="D207" s="32" t="str">
        <x:f>IF('03_Functionalities'!$A207="","",'03_Functionalities'!$B207)</x:f>
      </x:c>
      <x:c r="E207" s="32" t="str">
        <x:f>IF($D207="","",IFERROR(XLOOKUP($D207,'02_Features'!$A$5:$A$1000,'02_Features'!$C$5:$C$1000),""))</x:f>
      </x:c>
      <x:c r="F207" s="32" t="str">
        <x:f>IF($D207="","",IFERROR(XLOOKUP($D207,'02_Features'!$A$5:$A$1000,'02_Features'!$D$5:$D$1000),""))</x:f>
      </x:c>
      <x:c r="G207" s="32" t="str">
        <x:f>IF($D207="","",IFERROR(XLOOKUP($D207,'02_Features'!$A$5:$A$1000,'02_Features'!$E$5:$E$1000),""))</x:f>
      </x:c>
      <x:c r="H207" s="32" t="str">
        <x:f>IF('03_Functionalities'!$A207="","",'03_Functionalities'!$A207)</x:f>
      </x:c>
      <x:c r="I207" s="32" t="str">
        <x:f>IF($H207="","",'03_Functionalities'!$D207)</x:f>
      </x:c>
      <x:c r="J207" s="32" t="str">
        <x:f>IF($H207="","",'03_Functionalities'!$E207)</x:f>
      </x:c>
      <x:c r="K207" s="32" t="str">
        <x:f>IF($H207="","",'03_Functionalities'!$F207)</x:f>
      </x:c>
      <x:c r="L207" s="32" t="str">
        <x:f>IF($H207="","",'03_Functionalities'!$G207)</x:f>
      </x:c>
      <x:c r="M207" s="32" t="str">
        <x:f>IF($H207="","",'03_Functionalities'!$H207)</x:f>
      </x:c>
      <x:c r="N207" s="32" t="str">
        <x:f>IF($H207="","",'03_Functionalities'!$I207)</x:f>
      </x:c>
      <x:c r="O207" s="32" t="str">
        <x:f>IF($H207="","",'03_Functionalities'!$J207)</x:f>
      </x:c>
      <x:c r="P207" s="32" t="str">
        <x:f>IF($H207="","",'03_Functionalities'!$K207)</x:f>
      </x:c>
      <x:c r="Q207" s="32" t="str">
        <x:f>IF($H207="","",'03_Functionalities'!$L207)</x:f>
      </x:c>
      <x:c r="R207" s="32" t="str">
        <x:f>IF($H207="","",'03_Functionalities'!$M207)</x:f>
      </x:c>
      <x:c r="S207" s="32" t="str">
        <x:f>IF($H207="","",'03_Functionalities'!$N207)</x:f>
      </x:c>
      <x:c r="T207" s="32" t="str">
        <x:f>IF($H207="","",'03_Functionalities'!$O207)</x:f>
      </x:c>
      <x:c r="U207" s="32" t="str">
        <x:f>IF($A207="","",IFERROR(XLOOKUP($A207,'01_Products'!$A$5:$A$500,'01_Products'!$G$5:$G$500),""))</x:f>
      </x:c>
      <x:c r="V207" s="32" t="str">
        <x:f>IF($D207="","",IFERROR(XLOOKUP($D207,'02_Features'!$A$5:$A$1000,'02_Features'!$J$5:$J$1000),""))</x:f>
      </x:c>
      <x:c r="W207" s="32" t="str">
        <x:f>IF($H207="","",'03_Functionalities'!$P207)</x:f>
      </x:c>
      <x:c r="X207" s="32" t="str">
        <x:f>IF($H207="","",'03_Functionalities'!$Q207)</x:f>
      </x:c>
      <x:c r="Y207" s="38"/>
      <x:c r="Z207" s="38"/>
    </x:row>
    <x:row r="208" ht="18" customHeight="1">
      <x:c r="A208" s="32" t="str">
        <x:f>IF('03_Functionalities'!$A208="","",'03_Functionalities'!$C208)</x:f>
      </x:c>
      <x:c r="B208" s="32" t="str">
        <x:f>IF($A208="","",IFERROR(XLOOKUP($A208,'01_Products'!$A$5:$A$500,'01_Products'!$B$5:$B$500),""))</x:f>
      </x:c>
      <x:c r="C208" s="32" t="str">
        <x:f>IF($A208="","",IFERROR(XLOOKUP($A208,'01_Products'!$A$5:$A$500,'01_Products'!$C$5:$C$500),""))</x:f>
      </x:c>
      <x:c r="D208" s="32" t="str">
        <x:f>IF('03_Functionalities'!$A208="","",'03_Functionalities'!$B208)</x:f>
      </x:c>
      <x:c r="E208" s="32" t="str">
        <x:f>IF($D208="","",IFERROR(XLOOKUP($D208,'02_Features'!$A$5:$A$1000,'02_Features'!$C$5:$C$1000),""))</x:f>
      </x:c>
      <x:c r="F208" s="32" t="str">
        <x:f>IF($D208="","",IFERROR(XLOOKUP($D208,'02_Features'!$A$5:$A$1000,'02_Features'!$D$5:$D$1000),""))</x:f>
      </x:c>
      <x:c r="G208" s="32" t="str">
        <x:f>IF($D208="","",IFERROR(XLOOKUP($D208,'02_Features'!$A$5:$A$1000,'02_Features'!$E$5:$E$1000),""))</x:f>
      </x:c>
      <x:c r="H208" s="32" t="str">
        <x:f>IF('03_Functionalities'!$A208="","",'03_Functionalities'!$A208)</x:f>
      </x:c>
      <x:c r="I208" s="32" t="str">
        <x:f>IF($H208="","",'03_Functionalities'!$D208)</x:f>
      </x:c>
      <x:c r="J208" s="32" t="str">
        <x:f>IF($H208="","",'03_Functionalities'!$E208)</x:f>
      </x:c>
      <x:c r="K208" s="32" t="str">
        <x:f>IF($H208="","",'03_Functionalities'!$F208)</x:f>
      </x:c>
      <x:c r="L208" s="32" t="str">
        <x:f>IF($H208="","",'03_Functionalities'!$G208)</x:f>
      </x:c>
      <x:c r="M208" s="32" t="str">
        <x:f>IF($H208="","",'03_Functionalities'!$H208)</x:f>
      </x:c>
      <x:c r="N208" s="32" t="str">
        <x:f>IF($H208="","",'03_Functionalities'!$I208)</x:f>
      </x:c>
      <x:c r="O208" s="32" t="str">
        <x:f>IF($H208="","",'03_Functionalities'!$J208)</x:f>
      </x:c>
      <x:c r="P208" s="32" t="str">
        <x:f>IF($H208="","",'03_Functionalities'!$K208)</x:f>
      </x:c>
      <x:c r="Q208" s="32" t="str">
        <x:f>IF($H208="","",'03_Functionalities'!$L208)</x:f>
      </x:c>
      <x:c r="R208" s="32" t="str">
        <x:f>IF($H208="","",'03_Functionalities'!$M208)</x:f>
      </x:c>
      <x:c r="S208" s="32" t="str">
        <x:f>IF($H208="","",'03_Functionalities'!$N208)</x:f>
      </x:c>
      <x:c r="T208" s="32" t="str">
        <x:f>IF($H208="","",'03_Functionalities'!$O208)</x:f>
      </x:c>
      <x:c r="U208" s="32" t="str">
        <x:f>IF($A208="","",IFERROR(XLOOKUP($A208,'01_Products'!$A$5:$A$500,'01_Products'!$G$5:$G$500),""))</x:f>
      </x:c>
      <x:c r="V208" s="32" t="str">
        <x:f>IF($D208="","",IFERROR(XLOOKUP($D208,'02_Features'!$A$5:$A$1000,'02_Features'!$J$5:$J$1000),""))</x:f>
      </x:c>
      <x:c r="W208" s="32" t="str">
        <x:f>IF($H208="","",'03_Functionalities'!$P208)</x:f>
      </x:c>
      <x:c r="X208" s="32" t="str">
        <x:f>IF($H208="","",'03_Functionalities'!$Q208)</x:f>
      </x:c>
      <x:c r="Y208" s="38"/>
      <x:c r="Z208" s="38"/>
    </x:row>
    <x:row r="209" ht="18" customHeight="1">
      <x:c r="A209" s="32" t="str">
        <x:f>IF('03_Functionalities'!$A209="","",'03_Functionalities'!$C209)</x:f>
      </x:c>
      <x:c r="B209" s="32" t="str">
        <x:f>IF($A209="","",IFERROR(XLOOKUP($A209,'01_Products'!$A$5:$A$500,'01_Products'!$B$5:$B$500),""))</x:f>
      </x:c>
      <x:c r="C209" s="32" t="str">
        <x:f>IF($A209="","",IFERROR(XLOOKUP($A209,'01_Products'!$A$5:$A$500,'01_Products'!$C$5:$C$500),""))</x:f>
      </x:c>
      <x:c r="D209" s="32" t="str">
        <x:f>IF('03_Functionalities'!$A209="","",'03_Functionalities'!$B209)</x:f>
      </x:c>
      <x:c r="E209" s="32" t="str">
        <x:f>IF($D209="","",IFERROR(XLOOKUP($D209,'02_Features'!$A$5:$A$1000,'02_Features'!$C$5:$C$1000),""))</x:f>
      </x:c>
      <x:c r="F209" s="32" t="str">
        <x:f>IF($D209="","",IFERROR(XLOOKUP($D209,'02_Features'!$A$5:$A$1000,'02_Features'!$D$5:$D$1000),""))</x:f>
      </x:c>
      <x:c r="G209" s="32" t="str">
        <x:f>IF($D209="","",IFERROR(XLOOKUP($D209,'02_Features'!$A$5:$A$1000,'02_Features'!$E$5:$E$1000),""))</x:f>
      </x:c>
      <x:c r="H209" s="32" t="str">
        <x:f>IF('03_Functionalities'!$A209="","",'03_Functionalities'!$A209)</x:f>
      </x:c>
      <x:c r="I209" s="32" t="str">
        <x:f>IF($H209="","",'03_Functionalities'!$D209)</x:f>
      </x:c>
      <x:c r="J209" s="32" t="str">
        <x:f>IF($H209="","",'03_Functionalities'!$E209)</x:f>
      </x:c>
      <x:c r="K209" s="32" t="str">
        <x:f>IF($H209="","",'03_Functionalities'!$F209)</x:f>
      </x:c>
      <x:c r="L209" s="32" t="str">
        <x:f>IF($H209="","",'03_Functionalities'!$G209)</x:f>
      </x:c>
      <x:c r="M209" s="32" t="str">
        <x:f>IF($H209="","",'03_Functionalities'!$H209)</x:f>
      </x:c>
      <x:c r="N209" s="32" t="str">
        <x:f>IF($H209="","",'03_Functionalities'!$I209)</x:f>
      </x:c>
      <x:c r="O209" s="32" t="str">
        <x:f>IF($H209="","",'03_Functionalities'!$J209)</x:f>
      </x:c>
      <x:c r="P209" s="32" t="str">
        <x:f>IF($H209="","",'03_Functionalities'!$K209)</x:f>
      </x:c>
      <x:c r="Q209" s="32" t="str">
        <x:f>IF($H209="","",'03_Functionalities'!$L209)</x:f>
      </x:c>
      <x:c r="R209" s="32" t="str">
        <x:f>IF($H209="","",'03_Functionalities'!$M209)</x:f>
      </x:c>
      <x:c r="S209" s="32" t="str">
        <x:f>IF($H209="","",'03_Functionalities'!$N209)</x:f>
      </x:c>
      <x:c r="T209" s="32" t="str">
        <x:f>IF($H209="","",'03_Functionalities'!$O209)</x:f>
      </x:c>
      <x:c r="U209" s="32" t="str">
        <x:f>IF($A209="","",IFERROR(XLOOKUP($A209,'01_Products'!$A$5:$A$500,'01_Products'!$G$5:$G$500),""))</x:f>
      </x:c>
      <x:c r="V209" s="32" t="str">
        <x:f>IF($D209="","",IFERROR(XLOOKUP($D209,'02_Features'!$A$5:$A$1000,'02_Features'!$J$5:$J$1000),""))</x:f>
      </x:c>
      <x:c r="W209" s="32" t="str">
        <x:f>IF($H209="","",'03_Functionalities'!$P209)</x:f>
      </x:c>
      <x:c r="X209" s="32" t="str">
        <x:f>IF($H209="","",'03_Functionalities'!$Q209)</x:f>
      </x:c>
      <x:c r="Y209" s="38"/>
      <x:c r="Z209" s="38"/>
    </x:row>
    <x:row r="210" ht="18" customHeight="1">
      <x:c r="A210" s="32" t="str">
        <x:f>IF('03_Functionalities'!$A210="","",'03_Functionalities'!$C210)</x:f>
      </x:c>
      <x:c r="B210" s="32" t="str">
        <x:f>IF($A210="","",IFERROR(XLOOKUP($A210,'01_Products'!$A$5:$A$500,'01_Products'!$B$5:$B$500),""))</x:f>
      </x:c>
      <x:c r="C210" s="32" t="str">
        <x:f>IF($A210="","",IFERROR(XLOOKUP($A210,'01_Products'!$A$5:$A$500,'01_Products'!$C$5:$C$500),""))</x:f>
      </x:c>
      <x:c r="D210" s="32" t="str">
        <x:f>IF('03_Functionalities'!$A210="","",'03_Functionalities'!$B210)</x:f>
      </x:c>
      <x:c r="E210" s="32" t="str">
        <x:f>IF($D210="","",IFERROR(XLOOKUP($D210,'02_Features'!$A$5:$A$1000,'02_Features'!$C$5:$C$1000),""))</x:f>
      </x:c>
      <x:c r="F210" s="32" t="str">
        <x:f>IF($D210="","",IFERROR(XLOOKUP($D210,'02_Features'!$A$5:$A$1000,'02_Features'!$D$5:$D$1000),""))</x:f>
      </x:c>
      <x:c r="G210" s="32" t="str">
        <x:f>IF($D210="","",IFERROR(XLOOKUP($D210,'02_Features'!$A$5:$A$1000,'02_Features'!$E$5:$E$1000),""))</x:f>
      </x:c>
      <x:c r="H210" s="32" t="str">
        <x:f>IF('03_Functionalities'!$A210="","",'03_Functionalities'!$A210)</x:f>
      </x:c>
      <x:c r="I210" s="32" t="str">
        <x:f>IF($H210="","",'03_Functionalities'!$D210)</x:f>
      </x:c>
      <x:c r="J210" s="32" t="str">
        <x:f>IF($H210="","",'03_Functionalities'!$E210)</x:f>
      </x:c>
      <x:c r="K210" s="32" t="str">
        <x:f>IF($H210="","",'03_Functionalities'!$F210)</x:f>
      </x:c>
      <x:c r="L210" s="32" t="str">
        <x:f>IF($H210="","",'03_Functionalities'!$G210)</x:f>
      </x:c>
      <x:c r="M210" s="32" t="str">
        <x:f>IF($H210="","",'03_Functionalities'!$H210)</x:f>
      </x:c>
      <x:c r="N210" s="32" t="str">
        <x:f>IF($H210="","",'03_Functionalities'!$I210)</x:f>
      </x:c>
      <x:c r="O210" s="32" t="str">
        <x:f>IF($H210="","",'03_Functionalities'!$J210)</x:f>
      </x:c>
      <x:c r="P210" s="32" t="str">
        <x:f>IF($H210="","",'03_Functionalities'!$K210)</x:f>
      </x:c>
      <x:c r="Q210" s="32" t="str">
        <x:f>IF($H210="","",'03_Functionalities'!$L210)</x:f>
      </x:c>
      <x:c r="R210" s="32" t="str">
        <x:f>IF($H210="","",'03_Functionalities'!$M210)</x:f>
      </x:c>
      <x:c r="S210" s="32" t="str">
        <x:f>IF($H210="","",'03_Functionalities'!$N210)</x:f>
      </x:c>
      <x:c r="T210" s="32" t="str">
        <x:f>IF($H210="","",'03_Functionalities'!$O210)</x:f>
      </x:c>
      <x:c r="U210" s="32" t="str">
        <x:f>IF($A210="","",IFERROR(XLOOKUP($A210,'01_Products'!$A$5:$A$500,'01_Products'!$G$5:$G$500),""))</x:f>
      </x:c>
      <x:c r="V210" s="32" t="str">
        <x:f>IF($D210="","",IFERROR(XLOOKUP($D210,'02_Features'!$A$5:$A$1000,'02_Features'!$J$5:$J$1000),""))</x:f>
      </x:c>
      <x:c r="W210" s="32" t="str">
        <x:f>IF($H210="","",'03_Functionalities'!$P210)</x:f>
      </x:c>
      <x:c r="X210" s="32" t="str">
        <x:f>IF($H210="","",'03_Functionalities'!$Q210)</x:f>
      </x:c>
      <x:c r="Y210" s="38"/>
      <x:c r="Z210" s="38"/>
    </x:row>
    <x:row r="211" ht="18" customHeight="1">
      <x:c r="A211" s="32" t="str">
        <x:f>IF('03_Functionalities'!$A211="","",'03_Functionalities'!$C211)</x:f>
      </x:c>
      <x:c r="B211" s="32" t="str">
        <x:f>IF($A211="","",IFERROR(XLOOKUP($A211,'01_Products'!$A$5:$A$500,'01_Products'!$B$5:$B$500),""))</x:f>
      </x:c>
      <x:c r="C211" s="32" t="str">
        <x:f>IF($A211="","",IFERROR(XLOOKUP($A211,'01_Products'!$A$5:$A$500,'01_Products'!$C$5:$C$500),""))</x:f>
      </x:c>
      <x:c r="D211" s="32" t="str">
        <x:f>IF('03_Functionalities'!$A211="","",'03_Functionalities'!$B211)</x:f>
      </x:c>
      <x:c r="E211" s="32" t="str">
        <x:f>IF($D211="","",IFERROR(XLOOKUP($D211,'02_Features'!$A$5:$A$1000,'02_Features'!$C$5:$C$1000),""))</x:f>
      </x:c>
      <x:c r="F211" s="32" t="str">
        <x:f>IF($D211="","",IFERROR(XLOOKUP($D211,'02_Features'!$A$5:$A$1000,'02_Features'!$D$5:$D$1000),""))</x:f>
      </x:c>
      <x:c r="G211" s="32" t="str">
        <x:f>IF($D211="","",IFERROR(XLOOKUP($D211,'02_Features'!$A$5:$A$1000,'02_Features'!$E$5:$E$1000),""))</x:f>
      </x:c>
      <x:c r="H211" s="32" t="str">
        <x:f>IF('03_Functionalities'!$A211="","",'03_Functionalities'!$A211)</x:f>
      </x:c>
      <x:c r="I211" s="32" t="str">
        <x:f>IF($H211="","",'03_Functionalities'!$D211)</x:f>
      </x:c>
      <x:c r="J211" s="32" t="str">
        <x:f>IF($H211="","",'03_Functionalities'!$E211)</x:f>
      </x:c>
      <x:c r="K211" s="32" t="str">
        <x:f>IF($H211="","",'03_Functionalities'!$F211)</x:f>
      </x:c>
      <x:c r="L211" s="32" t="str">
        <x:f>IF($H211="","",'03_Functionalities'!$G211)</x:f>
      </x:c>
      <x:c r="M211" s="32" t="str">
        <x:f>IF($H211="","",'03_Functionalities'!$H211)</x:f>
      </x:c>
      <x:c r="N211" s="32" t="str">
        <x:f>IF($H211="","",'03_Functionalities'!$I211)</x:f>
      </x:c>
      <x:c r="O211" s="32" t="str">
        <x:f>IF($H211="","",'03_Functionalities'!$J211)</x:f>
      </x:c>
      <x:c r="P211" s="32" t="str">
        <x:f>IF($H211="","",'03_Functionalities'!$K211)</x:f>
      </x:c>
      <x:c r="Q211" s="32" t="str">
        <x:f>IF($H211="","",'03_Functionalities'!$L211)</x:f>
      </x:c>
      <x:c r="R211" s="32" t="str">
        <x:f>IF($H211="","",'03_Functionalities'!$M211)</x:f>
      </x:c>
      <x:c r="S211" s="32" t="str">
        <x:f>IF($H211="","",'03_Functionalities'!$N211)</x:f>
      </x:c>
      <x:c r="T211" s="32" t="str">
        <x:f>IF($H211="","",'03_Functionalities'!$O211)</x:f>
      </x:c>
      <x:c r="U211" s="32" t="str">
        <x:f>IF($A211="","",IFERROR(XLOOKUP($A211,'01_Products'!$A$5:$A$500,'01_Products'!$G$5:$G$500),""))</x:f>
      </x:c>
      <x:c r="V211" s="32" t="str">
        <x:f>IF($D211="","",IFERROR(XLOOKUP($D211,'02_Features'!$A$5:$A$1000,'02_Features'!$J$5:$J$1000),""))</x:f>
      </x:c>
      <x:c r="W211" s="32" t="str">
        <x:f>IF($H211="","",'03_Functionalities'!$P211)</x:f>
      </x:c>
      <x:c r="X211" s="32" t="str">
        <x:f>IF($H211="","",'03_Functionalities'!$Q211)</x:f>
      </x:c>
      <x:c r="Y211" s="38"/>
      <x:c r="Z211" s="38"/>
    </x:row>
    <x:row r="212" ht="18" customHeight="1">
      <x:c r="A212" s="32" t="str">
        <x:f>IF('03_Functionalities'!$A212="","",'03_Functionalities'!$C212)</x:f>
      </x:c>
      <x:c r="B212" s="32" t="str">
        <x:f>IF($A212="","",IFERROR(XLOOKUP($A212,'01_Products'!$A$5:$A$500,'01_Products'!$B$5:$B$500),""))</x:f>
      </x:c>
      <x:c r="C212" s="32" t="str">
        <x:f>IF($A212="","",IFERROR(XLOOKUP($A212,'01_Products'!$A$5:$A$500,'01_Products'!$C$5:$C$500),""))</x:f>
      </x:c>
      <x:c r="D212" s="32" t="str">
        <x:f>IF('03_Functionalities'!$A212="","",'03_Functionalities'!$B212)</x:f>
      </x:c>
      <x:c r="E212" s="32" t="str">
        <x:f>IF($D212="","",IFERROR(XLOOKUP($D212,'02_Features'!$A$5:$A$1000,'02_Features'!$C$5:$C$1000),""))</x:f>
      </x:c>
      <x:c r="F212" s="32" t="str">
        <x:f>IF($D212="","",IFERROR(XLOOKUP($D212,'02_Features'!$A$5:$A$1000,'02_Features'!$D$5:$D$1000),""))</x:f>
      </x:c>
      <x:c r="G212" s="32" t="str">
        <x:f>IF($D212="","",IFERROR(XLOOKUP($D212,'02_Features'!$A$5:$A$1000,'02_Features'!$E$5:$E$1000),""))</x:f>
      </x:c>
      <x:c r="H212" s="32" t="str">
        <x:f>IF('03_Functionalities'!$A212="","",'03_Functionalities'!$A212)</x:f>
      </x:c>
      <x:c r="I212" s="32" t="str">
        <x:f>IF($H212="","",'03_Functionalities'!$D212)</x:f>
      </x:c>
      <x:c r="J212" s="32" t="str">
        <x:f>IF($H212="","",'03_Functionalities'!$E212)</x:f>
      </x:c>
      <x:c r="K212" s="32" t="str">
        <x:f>IF($H212="","",'03_Functionalities'!$F212)</x:f>
      </x:c>
      <x:c r="L212" s="32" t="str">
        <x:f>IF($H212="","",'03_Functionalities'!$G212)</x:f>
      </x:c>
      <x:c r="M212" s="32" t="str">
        <x:f>IF($H212="","",'03_Functionalities'!$H212)</x:f>
      </x:c>
      <x:c r="N212" s="32" t="str">
        <x:f>IF($H212="","",'03_Functionalities'!$I212)</x:f>
      </x:c>
      <x:c r="O212" s="32" t="str">
        <x:f>IF($H212="","",'03_Functionalities'!$J212)</x:f>
      </x:c>
      <x:c r="P212" s="32" t="str">
        <x:f>IF($H212="","",'03_Functionalities'!$K212)</x:f>
      </x:c>
      <x:c r="Q212" s="32" t="str">
        <x:f>IF($H212="","",'03_Functionalities'!$L212)</x:f>
      </x:c>
      <x:c r="R212" s="32" t="str">
        <x:f>IF($H212="","",'03_Functionalities'!$M212)</x:f>
      </x:c>
      <x:c r="S212" s="32" t="str">
        <x:f>IF($H212="","",'03_Functionalities'!$N212)</x:f>
      </x:c>
      <x:c r="T212" s="32" t="str">
        <x:f>IF($H212="","",'03_Functionalities'!$O212)</x:f>
      </x:c>
      <x:c r="U212" s="32" t="str">
        <x:f>IF($A212="","",IFERROR(XLOOKUP($A212,'01_Products'!$A$5:$A$500,'01_Products'!$G$5:$G$500),""))</x:f>
      </x:c>
      <x:c r="V212" s="32" t="str">
        <x:f>IF($D212="","",IFERROR(XLOOKUP($D212,'02_Features'!$A$5:$A$1000,'02_Features'!$J$5:$J$1000),""))</x:f>
      </x:c>
      <x:c r="W212" s="32" t="str">
        <x:f>IF($H212="","",'03_Functionalities'!$P212)</x:f>
      </x:c>
      <x:c r="X212" s="32" t="str">
        <x:f>IF($H212="","",'03_Functionalities'!$Q212)</x:f>
      </x:c>
      <x:c r="Y212" s="38"/>
      <x:c r="Z212" s="38"/>
    </x:row>
    <x:row r="213" ht="18" customHeight="1">
      <x:c r="A213" s="32" t="str">
        <x:f>IF('03_Functionalities'!$A213="","",'03_Functionalities'!$C213)</x:f>
      </x:c>
      <x:c r="B213" s="32" t="str">
        <x:f>IF($A213="","",IFERROR(XLOOKUP($A213,'01_Products'!$A$5:$A$500,'01_Products'!$B$5:$B$500),""))</x:f>
      </x:c>
      <x:c r="C213" s="32" t="str">
        <x:f>IF($A213="","",IFERROR(XLOOKUP($A213,'01_Products'!$A$5:$A$500,'01_Products'!$C$5:$C$500),""))</x:f>
      </x:c>
      <x:c r="D213" s="32" t="str">
        <x:f>IF('03_Functionalities'!$A213="","",'03_Functionalities'!$B213)</x:f>
      </x:c>
      <x:c r="E213" s="32" t="str">
        <x:f>IF($D213="","",IFERROR(XLOOKUP($D213,'02_Features'!$A$5:$A$1000,'02_Features'!$C$5:$C$1000),""))</x:f>
      </x:c>
      <x:c r="F213" s="32" t="str">
        <x:f>IF($D213="","",IFERROR(XLOOKUP($D213,'02_Features'!$A$5:$A$1000,'02_Features'!$D$5:$D$1000),""))</x:f>
      </x:c>
      <x:c r="G213" s="32" t="str">
        <x:f>IF($D213="","",IFERROR(XLOOKUP($D213,'02_Features'!$A$5:$A$1000,'02_Features'!$E$5:$E$1000),""))</x:f>
      </x:c>
      <x:c r="H213" s="32" t="str">
        <x:f>IF('03_Functionalities'!$A213="","",'03_Functionalities'!$A213)</x:f>
      </x:c>
      <x:c r="I213" s="32" t="str">
        <x:f>IF($H213="","",'03_Functionalities'!$D213)</x:f>
      </x:c>
      <x:c r="J213" s="32" t="str">
        <x:f>IF($H213="","",'03_Functionalities'!$E213)</x:f>
      </x:c>
      <x:c r="K213" s="32" t="str">
        <x:f>IF($H213="","",'03_Functionalities'!$F213)</x:f>
      </x:c>
      <x:c r="L213" s="32" t="str">
        <x:f>IF($H213="","",'03_Functionalities'!$G213)</x:f>
      </x:c>
      <x:c r="M213" s="32" t="str">
        <x:f>IF($H213="","",'03_Functionalities'!$H213)</x:f>
      </x:c>
      <x:c r="N213" s="32" t="str">
        <x:f>IF($H213="","",'03_Functionalities'!$I213)</x:f>
      </x:c>
      <x:c r="O213" s="32" t="str">
        <x:f>IF($H213="","",'03_Functionalities'!$J213)</x:f>
      </x:c>
      <x:c r="P213" s="32" t="str">
        <x:f>IF($H213="","",'03_Functionalities'!$K213)</x:f>
      </x:c>
      <x:c r="Q213" s="32" t="str">
        <x:f>IF($H213="","",'03_Functionalities'!$L213)</x:f>
      </x:c>
      <x:c r="R213" s="32" t="str">
        <x:f>IF($H213="","",'03_Functionalities'!$M213)</x:f>
      </x:c>
      <x:c r="S213" s="32" t="str">
        <x:f>IF($H213="","",'03_Functionalities'!$N213)</x:f>
      </x:c>
      <x:c r="T213" s="32" t="str">
        <x:f>IF($H213="","",'03_Functionalities'!$O213)</x:f>
      </x:c>
      <x:c r="U213" s="32" t="str">
        <x:f>IF($A213="","",IFERROR(XLOOKUP($A213,'01_Products'!$A$5:$A$500,'01_Products'!$G$5:$G$500),""))</x:f>
      </x:c>
      <x:c r="V213" s="32" t="str">
        <x:f>IF($D213="","",IFERROR(XLOOKUP($D213,'02_Features'!$A$5:$A$1000,'02_Features'!$J$5:$J$1000),""))</x:f>
      </x:c>
      <x:c r="W213" s="32" t="str">
        <x:f>IF($H213="","",'03_Functionalities'!$P213)</x:f>
      </x:c>
      <x:c r="X213" s="32" t="str">
        <x:f>IF($H213="","",'03_Functionalities'!$Q213)</x:f>
      </x:c>
      <x:c r="Y213" s="38"/>
      <x:c r="Z213" s="38"/>
    </x:row>
    <x:row r="214" ht="18" customHeight="1">
      <x:c r="A214" s="32" t="str">
        <x:f>IF('03_Functionalities'!$A214="","",'03_Functionalities'!$C214)</x:f>
      </x:c>
      <x:c r="B214" s="32" t="str">
        <x:f>IF($A214="","",IFERROR(XLOOKUP($A214,'01_Products'!$A$5:$A$500,'01_Products'!$B$5:$B$500),""))</x:f>
      </x:c>
      <x:c r="C214" s="32" t="str">
        <x:f>IF($A214="","",IFERROR(XLOOKUP($A214,'01_Products'!$A$5:$A$500,'01_Products'!$C$5:$C$500),""))</x:f>
      </x:c>
      <x:c r="D214" s="32" t="str">
        <x:f>IF('03_Functionalities'!$A214="","",'03_Functionalities'!$B214)</x:f>
      </x:c>
      <x:c r="E214" s="32" t="str">
        <x:f>IF($D214="","",IFERROR(XLOOKUP($D214,'02_Features'!$A$5:$A$1000,'02_Features'!$C$5:$C$1000),""))</x:f>
      </x:c>
      <x:c r="F214" s="32" t="str">
        <x:f>IF($D214="","",IFERROR(XLOOKUP($D214,'02_Features'!$A$5:$A$1000,'02_Features'!$D$5:$D$1000),""))</x:f>
      </x:c>
      <x:c r="G214" s="32" t="str">
        <x:f>IF($D214="","",IFERROR(XLOOKUP($D214,'02_Features'!$A$5:$A$1000,'02_Features'!$E$5:$E$1000),""))</x:f>
      </x:c>
      <x:c r="H214" s="32" t="str">
        <x:f>IF('03_Functionalities'!$A214="","",'03_Functionalities'!$A214)</x:f>
      </x:c>
      <x:c r="I214" s="32" t="str">
        <x:f>IF($H214="","",'03_Functionalities'!$D214)</x:f>
      </x:c>
      <x:c r="J214" s="32" t="str">
        <x:f>IF($H214="","",'03_Functionalities'!$E214)</x:f>
      </x:c>
      <x:c r="K214" s="32" t="str">
        <x:f>IF($H214="","",'03_Functionalities'!$F214)</x:f>
      </x:c>
      <x:c r="L214" s="32" t="str">
        <x:f>IF($H214="","",'03_Functionalities'!$G214)</x:f>
      </x:c>
      <x:c r="M214" s="32" t="str">
        <x:f>IF($H214="","",'03_Functionalities'!$H214)</x:f>
      </x:c>
      <x:c r="N214" s="32" t="str">
        <x:f>IF($H214="","",'03_Functionalities'!$I214)</x:f>
      </x:c>
      <x:c r="O214" s="32" t="str">
        <x:f>IF($H214="","",'03_Functionalities'!$J214)</x:f>
      </x:c>
      <x:c r="P214" s="32" t="str">
        <x:f>IF($H214="","",'03_Functionalities'!$K214)</x:f>
      </x:c>
      <x:c r="Q214" s="32" t="str">
        <x:f>IF($H214="","",'03_Functionalities'!$L214)</x:f>
      </x:c>
      <x:c r="R214" s="32" t="str">
        <x:f>IF($H214="","",'03_Functionalities'!$M214)</x:f>
      </x:c>
      <x:c r="S214" s="32" t="str">
        <x:f>IF($H214="","",'03_Functionalities'!$N214)</x:f>
      </x:c>
      <x:c r="T214" s="32" t="str">
        <x:f>IF($H214="","",'03_Functionalities'!$O214)</x:f>
      </x:c>
      <x:c r="U214" s="32" t="str">
        <x:f>IF($A214="","",IFERROR(XLOOKUP($A214,'01_Products'!$A$5:$A$500,'01_Products'!$G$5:$G$500),""))</x:f>
      </x:c>
      <x:c r="V214" s="32" t="str">
        <x:f>IF($D214="","",IFERROR(XLOOKUP($D214,'02_Features'!$A$5:$A$1000,'02_Features'!$J$5:$J$1000),""))</x:f>
      </x:c>
      <x:c r="W214" s="32" t="str">
        <x:f>IF($H214="","",'03_Functionalities'!$P214)</x:f>
      </x:c>
      <x:c r="X214" s="32" t="str">
        <x:f>IF($H214="","",'03_Functionalities'!$Q214)</x:f>
      </x:c>
      <x:c r="Y214" s="38"/>
      <x:c r="Z214" s="38"/>
    </x:row>
    <x:row r="215" ht="18" customHeight="1">
      <x:c r="A215" s="32" t="str">
        <x:f>IF('03_Functionalities'!$A215="","",'03_Functionalities'!$C215)</x:f>
      </x:c>
      <x:c r="B215" s="32" t="str">
        <x:f>IF($A215="","",IFERROR(XLOOKUP($A215,'01_Products'!$A$5:$A$500,'01_Products'!$B$5:$B$500),""))</x:f>
      </x:c>
      <x:c r="C215" s="32" t="str">
        <x:f>IF($A215="","",IFERROR(XLOOKUP($A215,'01_Products'!$A$5:$A$500,'01_Products'!$C$5:$C$500),""))</x:f>
      </x:c>
      <x:c r="D215" s="32" t="str">
        <x:f>IF('03_Functionalities'!$A215="","",'03_Functionalities'!$B215)</x:f>
      </x:c>
      <x:c r="E215" s="32" t="str">
        <x:f>IF($D215="","",IFERROR(XLOOKUP($D215,'02_Features'!$A$5:$A$1000,'02_Features'!$C$5:$C$1000),""))</x:f>
      </x:c>
      <x:c r="F215" s="32" t="str">
        <x:f>IF($D215="","",IFERROR(XLOOKUP($D215,'02_Features'!$A$5:$A$1000,'02_Features'!$D$5:$D$1000),""))</x:f>
      </x:c>
      <x:c r="G215" s="32" t="str">
        <x:f>IF($D215="","",IFERROR(XLOOKUP($D215,'02_Features'!$A$5:$A$1000,'02_Features'!$E$5:$E$1000),""))</x:f>
      </x:c>
      <x:c r="H215" s="32" t="str">
        <x:f>IF('03_Functionalities'!$A215="","",'03_Functionalities'!$A215)</x:f>
      </x:c>
      <x:c r="I215" s="32" t="str">
        <x:f>IF($H215="","",'03_Functionalities'!$D215)</x:f>
      </x:c>
      <x:c r="J215" s="32" t="str">
        <x:f>IF($H215="","",'03_Functionalities'!$E215)</x:f>
      </x:c>
      <x:c r="K215" s="32" t="str">
        <x:f>IF($H215="","",'03_Functionalities'!$F215)</x:f>
      </x:c>
      <x:c r="L215" s="32" t="str">
        <x:f>IF($H215="","",'03_Functionalities'!$G215)</x:f>
      </x:c>
      <x:c r="M215" s="32" t="str">
        <x:f>IF($H215="","",'03_Functionalities'!$H215)</x:f>
      </x:c>
      <x:c r="N215" s="32" t="str">
        <x:f>IF($H215="","",'03_Functionalities'!$I215)</x:f>
      </x:c>
      <x:c r="O215" s="32" t="str">
        <x:f>IF($H215="","",'03_Functionalities'!$J215)</x:f>
      </x:c>
      <x:c r="P215" s="32" t="str">
        <x:f>IF($H215="","",'03_Functionalities'!$K215)</x:f>
      </x:c>
      <x:c r="Q215" s="32" t="str">
        <x:f>IF($H215="","",'03_Functionalities'!$L215)</x:f>
      </x:c>
      <x:c r="R215" s="32" t="str">
        <x:f>IF($H215="","",'03_Functionalities'!$M215)</x:f>
      </x:c>
      <x:c r="S215" s="32" t="str">
        <x:f>IF($H215="","",'03_Functionalities'!$N215)</x:f>
      </x:c>
      <x:c r="T215" s="32" t="str">
        <x:f>IF($H215="","",'03_Functionalities'!$O215)</x:f>
      </x:c>
      <x:c r="U215" s="32" t="str">
        <x:f>IF($A215="","",IFERROR(XLOOKUP($A215,'01_Products'!$A$5:$A$500,'01_Products'!$G$5:$G$500),""))</x:f>
      </x:c>
      <x:c r="V215" s="32" t="str">
        <x:f>IF($D215="","",IFERROR(XLOOKUP($D215,'02_Features'!$A$5:$A$1000,'02_Features'!$J$5:$J$1000),""))</x:f>
      </x:c>
      <x:c r="W215" s="32" t="str">
        <x:f>IF($H215="","",'03_Functionalities'!$P215)</x:f>
      </x:c>
      <x:c r="X215" s="32" t="str">
        <x:f>IF($H215="","",'03_Functionalities'!$Q215)</x:f>
      </x:c>
      <x:c r="Y215" s="38"/>
      <x:c r="Z215" s="38"/>
    </x:row>
    <x:row r="216" ht="18" customHeight="1">
      <x:c r="A216" s="32" t="str">
        <x:f>IF('03_Functionalities'!$A216="","",'03_Functionalities'!$C216)</x:f>
      </x:c>
      <x:c r="B216" s="32" t="str">
        <x:f>IF($A216="","",IFERROR(XLOOKUP($A216,'01_Products'!$A$5:$A$500,'01_Products'!$B$5:$B$500),""))</x:f>
      </x:c>
      <x:c r="C216" s="32" t="str">
        <x:f>IF($A216="","",IFERROR(XLOOKUP($A216,'01_Products'!$A$5:$A$500,'01_Products'!$C$5:$C$500),""))</x:f>
      </x:c>
      <x:c r="D216" s="32" t="str">
        <x:f>IF('03_Functionalities'!$A216="","",'03_Functionalities'!$B216)</x:f>
      </x:c>
      <x:c r="E216" s="32" t="str">
        <x:f>IF($D216="","",IFERROR(XLOOKUP($D216,'02_Features'!$A$5:$A$1000,'02_Features'!$C$5:$C$1000),""))</x:f>
      </x:c>
      <x:c r="F216" s="32" t="str">
        <x:f>IF($D216="","",IFERROR(XLOOKUP($D216,'02_Features'!$A$5:$A$1000,'02_Features'!$D$5:$D$1000),""))</x:f>
      </x:c>
      <x:c r="G216" s="32" t="str">
        <x:f>IF($D216="","",IFERROR(XLOOKUP($D216,'02_Features'!$A$5:$A$1000,'02_Features'!$E$5:$E$1000),""))</x:f>
      </x:c>
      <x:c r="H216" s="32" t="str">
        <x:f>IF('03_Functionalities'!$A216="","",'03_Functionalities'!$A216)</x:f>
      </x:c>
      <x:c r="I216" s="32" t="str">
        <x:f>IF($H216="","",'03_Functionalities'!$D216)</x:f>
      </x:c>
      <x:c r="J216" s="32" t="str">
        <x:f>IF($H216="","",'03_Functionalities'!$E216)</x:f>
      </x:c>
      <x:c r="K216" s="32" t="str">
        <x:f>IF($H216="","",'03_Functionalities'!$F216)</x:f>
      </x:c>
      <x:c r="L216" s="32" t="str">
        <x:f>IF($H216="","",'03_Functionalities'!$G216)</x:f>
      </x:c>
      <x:c r="M216" s="32" t="str">
        <x:f>IF($H216="","",'03_Functionalities'!$H216)</x:f>
      </x:c>
      <x:c r="N216" s="32" t="str">
        <x:f>IF($H216="","",'03_Functionalities'!$I216)</x:f>
      </x:c>
      <x:c r="O216" s="32" t="str">
        <x:f>IF($H216="","",'03_Functionalities'!$J216)</x:f>
      </x:c>
      <x:c r="P216" s="32" t="str">
        <x:f>IF($H216="","",'03_Functionalities'!$K216)</x:f>
      </x:c>
      <x:c r="Q216" s="32" t="str">
        <x:f>IF($H216="","",'03_Functionalities'!$L216)</x:f>
      </x:c>
      <x:c r="R216" s="32" t="str">
        <x:f>IF($H216="","",'03_Functionalities'!$M216)</x:f>
      </x:c>
      <x:c r="S216" s="32" t="str">
        <x:f>IF($H216="","",'03_Functionalities'!$N216)</x:f>
      </x:c>
      <x:c r="T216" s="32" t="str">
        <x:f>IF($H216="","",'03_Functionalities'!$O216)</x:f>
      </x:c>
      <x:c r="U216" s="32" t="str">
        <x:f>IF($A216="","",IFERROR(XLOOKUP($A216,'01_Products'!$A$5:$A$500,'01_Products'!$G$5:$G$500),""))</x:f>
      </x:c>
      <x:c r="V216" s="32" t="str">
        <x:f>IF($D216="","",IFERROR(XLOOKUP($D216,'02_Features'!$A$5:$A$1000,'02_Features'!$J$5:$J$1000),""))</x:f>
      </x:c>
      <x:c r="W216" s="32" t="str">
        <x:f>IF($H216="","",'03_Functionalities'!$P216)</x:f>
      </x:c>
      <x:c r="X216" s="32" t="str">
        <x:f>IF($H216="","",'03_Functionalities'!$Q216)</x:f>
      </x:c>
      <x:c r="Y216" s="38"/>
      <x:c r="Z216" s="38"/>
    </x:row>
    <x:row r="217" ht="18" customHeight="1">
      <x:c r="A217" s="32" t="str">
        <x:f>IF('03_Functionalities'!$A217="","",'03_Functionalities'!$C217)</x:f>
      </x:c>
      <x:c r="B217" s="32" t="str">
        <x:f>IF($A217="","",IFERROR(XLOOKUP($A217,'01_Products'!$A$5:$A$500,'01_Products'!$B$5:$B$500),""))</x:f>
      </x:c>
      <x:c r="C217" s="32" t="str">
        <x:f>IF($A217="","",IFERROR(XLOOKUP($A217,'01_Products'!$A$5:$A$500,'01_Products'!$C$5:$C$500),""))</x:f>
      </x:c>
      <x:c r="D217" s="32" t="str">
        <x:f>IF('03_Functionalities'!$A217="","",'03_Functionalities'!$B217)</x:f>
      </x:c>
      <x:c r="E217" s="32" t="str">
        <x:f>IF($D217="","",IFERROR(XLOOKUP($D217,'02_Features'!$A$5:$A$1000,'02_Features'!$C$5:$C$1000),""))</x:f>
      </x:c>
      <x:c r="F217" s="32" t="str">
        <x:f>IF($D217="","",IFERROR(XLOOKUP($D217,'02_Features'!$A$5:$A$1000,'02_Features'!$D$5:$D$1000),""))</x:f>
      </x:c>
      <x:c r="G217" s="32" t="str">
        <x:f>IF($D217="","",IFERROR(XLOOKUP($D217,'02_Features'!$A$5:$A$1000,'02_Features'!$E$5:$E$1000),""))</x:f>
      </x:c>
      <x:c r="H217" s="32" t="str">
        <x:f>IF('03_Functionalities'!$A217="","",'03_Functionalities'!$A217)</x:f>
      </x:c>
      <x:c r="I217" s="32" t="str">
        <x:f>IF($H217="","",'03_Functionalities'!$D217)</x:f>
      </x:c>
      <x:c r="J217" s="32" t="str">
        <x:f>IF($H217="","",'03_Functionalities'!$E217)</x:f>
      </x:c>
      <x:c r="K217" s="32" t="str">
        <x:f>IF($H217="","",'03_Functionalities'!$F217)</x:f>
      </x:c>
      <x:c r="L217" s="32" t="str">
        <x:f>IF($H217="","",'03_Functionalities'!$G217)</x:f>
      </x:c>
      <x:c r="M217" s="32" t="str">
        <x:f>IF($H217="","",'03_Functionalities'!$H217)</x:f>
      </x:c>
      <x:c r="N217" s="32" t="str">
        <x:f>IF($H217="","",'03_Functionalities'!$I217)</x:f>
      </x:c>
      <x:c r="O217" s="32" t="str">
        <x:f>IF($H217="","",'03_Functionalities'!$J217)</x:f>
      </x:c>
      <x:c r="P217" s="32" t="str">
        <x:f>IF($H217="","",'03_Functionalities'!$K217)</x:f>
      </x:c>
      <x:c r="Q217" s="32" t="str">
        <x:f>IF($H217="","",'03_Functionalities'!$L217)</x:f>
      </x:c>
      <x:c r="R217" s="32" t="str">
        <x:f>IF($H217="","",'03_Functionalities'!$M217)</x:f>
      </x:c>
      <x:c r="S217" s="32" t="str">
        <x:f>IF($H217="","",'03_Functionalities'!$N217)</x:f>
      </x:c>
      <x:c r="T217" s="32" t="str">
        <x:f>IF($H217="","",'03_Functionalities'!$O217)</x:f>
      </x:c>
      <x:c r="U217" s="32" t="str">
        <x:f>IF($A217="","",IFERROR(XLOOKUP($A217,'01_Products'!$A$5:$A$500,'01_Products'!$G$5:$G$500),""))</x:f>
      </x:c>
      <x:c r="V217" s="32" t="str">
        <x:f>IF($D217="","",IFERROR(XLOOKUP($D217,'02_Features'!$A$5:$A$1000,'02_Features'!$J$5:$J$1000),""))</x:f>
      </x:c>
      <x:c r="W217" s="32" t="str">
        <x:f>IF($H217="","",'03_Functionalities'!$P217)</x:f>
      </x:c>
      <x:c r="X217" s="32" t="str">
        <x:f>IF($H217="","",'03_Functionalities'!$Q217)</x:f>
      </x:c>
      <x:c r="Y217" s="38"/>
      <x:c r="Z217" s="38"/>
    </x:row>
    <x:row r="218" ht="18" customHeight="1">
      <x:c r="A218" s="32" t="str">
        <x:f>IF('03_Functionalities'!$A218="","",'03_Functionalities'!$C218)</x:f>
      </x:c>
      <x:c r="B218" s="32" t="str">
        <x:f>IF($A218="","",IFERROR(XLOOKUP($A218,'01_Products'!$A$5:$A$500,'01_Products'!$B$5:$B$500),""))</x:f>
      </x:c>
      <x:c r="C218" s="32" t="str">
        <x:f>IF($A218="","",IFERROR(XLOOKUP($A218,'01_Products'!$A$5:$A$500,'01_Products'!$C$5:$C$500),""))</x:f>
      </x:c>
      <x:c r="D218" s="32" t="str">
        <x:f>IF('03_Functionalities'!$A218="","",'03_Functionalities'!$B218)</x:f>
      </x:c>
      <x:c r="E218" s="32" t="str">
        <x:f>IF($D218="","",IFERROR(XLOOKUP($D218,'02_Features'!$A$5:$A$1000,'02_Features'!$C$5:$C$1000),""))</x:f>
      </x:c>
      <x:c r="F218" s="32" t="str">
        <x:f>IF($D218="","",IFERROR(XLOOKUP($D218,'02_Features'!$A$5:$A$1000,'02_Features'!$D$5:$D$1000),""))</x:f>
      </x:c>
      <x:c r="G218" s="32" t="str">
        <x:f>IF($D218="","",IFERROR(XLOOKUP($D218,'02_Features'!$A$5:$A$1000,'02_Features'!$E$5:$E$1000),""))</x:f>
      </x:c>
      <x:c r="H218" s="32" t="str">
        <x:f>IF('03_Functionalities'!$A218="","",'03_Functionalities'!$A218)</x:f>
      </x:c>
      <x:c r="I218" s="32" t="str">
        <x:f>IF($H218="","",'03_Functionalities'!$D218)</x:f>
      </x:c>
      <x:c r="J218" s="32" t="str">
        <x:f>IF($H218="","",'03_Functionalities'!$E218)</x:f>
      </x:c>
      <x:c r="K218" s="32" t="str">
        <x:f>IF($H218="","",'03_Functionalities'!$F218)</x:f>
      </x:c>
      <x:c r="L218" s="32" t="str">
        <x:f>IF($H218="","",'03_Functionalities'!$G218)</x:f>
      </x:c>
      <x:c r="M218" s="32" t="str">
        <x:f>IF($H218="","",'03_Functionalities'!$H218)</x:f>
      </x:c>
      <x:c r="N218" s="32" t="str">
        <x:f>IF($H218="","",'03_Functionalities'!$I218)</x:f>
      </x:c>
      <x:c r="O218" s="32" t="str">
        <x:f>IF($H218="","",'03_Functionalities'!$J218)</x:f>
      </x:c>
      <x:c r="P218" s="32" t="str">
        <x:f>IF($H218="","",'03_Functionalities'!$K218)</x:f>
      </x:c>
      <x:c r="Q218" s="32" t="str">
        <x:f>IF($H218="","",'03_Functionalities'!$L218)</x:f>
      </x:c>
      <x:c r="R218" s="32" t="str">
        <x:f>IF($H218="","",'03_Functionalities'!$M218)</x:f>
      </x:c>
      <x:c r="S218" s="32" t="str">
        <x:f>IF($H218="","",'03_Functionalities'!$N218)</x:f>
      </x:c>
      <x:c r="T218" s="32" t="str">
        <x:f>IF($H218="","",'03_Functionalities'!$O218)</x:f>
      </x:c>
      <x:c r="U218" s="32" t="str">
        <x:f>IF($A218="","",IFERROR(XLOOKUP($A218,'01_Products'!$A$5:$A$500,'01_Products'!$G$5:$G$500),""))</x:f>
      </x:c>
      <x:c r="V218" s="32" t="str">
        <x:f>IF($D218="","",IFERROR(XLOOKUP($D218,'02_Features'!$A$5:$A$1000,'02_Features'!$J$5:$J$1000),""))</x:f>
      </x:c>
      <x:c r="W218" s="32" t="str">
        <x:f>IF($H218="","",'03_Functionalities'!$P218)</x:f>
      </x:c>
      <x:c r="X218" s="32" t="str">
        <x:f>IF($H218="","",'03_Functionalities'!$Q218)</x:f>
      </x:c>
      <x:c r="Y218" s="38"/>
      <x:c r="Z218" s="38"/>
    </x:row>
    <x:row r="219" ht="18" customHeight="1">
      <x:c r="A219" s="32" t="str">
        <x:f>IF('03_Functionalities'!$A219="","",'03_Functionalities'!$C219)</x:f>
      </x:c>
      <x:c r="B219" s="32" t="str">
        <x:f>IF($A219="","",IFERROR(XLOOKUP($A219,'01_Products'!$A$5:$A$500,'01_Products'!$B$5:$B$500),""))</x:f>
      </x:c>
      <x:c r="C219" s="32" t="str">
        <x:f>IF($A219="","",IFERROR(XLOOKUP($A219,'01_Products'!$A$5:$A$500,'01_Products'!$C$5:$C$500),""))</x:f>
      </x:c>
      <x:c r="D219" s="32" t="str">
        <x:f>IF('03_Functionalities'!$A219="","",'03_Functionalities'!$B219)</x:f>
      </x:c>
      <x:c r="E219" s="32" t="str">
        <x:f>IF($D219="","",IFERROR(XLOOKUP($D219,'02_Features'!$A$5:$A$1000,'02_Features'!$C$5:$C$1000),""))</x:f>
      </x:c>
      <x:c r="F219" s="32" t="str">
        <x:f>IF($D219="","",IFERROR(XLOOKUP($D219,'02_Features'!$A$5:$A$1000,'02_Features'!$D$5:$D$1000),""))</x:f>
      </x:c>
      <x:c r="G219" s="32" t="str">
        <x:f>IF($D219="","",IFERROR(XLOOKUP($D219,'02_Features'!$A$5:$A$1000,'02_Features'!$E$5:$E$1000),""))</x:f>
      </x:c>
      <x:c r="H219" s="32" t="str">
        <x:f>IF('03_Functionalities'!$A219="","",'03_Functionalities'!$A219)</x:f>
      </x:c>
      <x:c r="I219" s="32" t="str">
        <x:f>IF($H219="","",'03_Functionalities'!$D219)</x:f>
      </x:c>
      <x:c r="J219" s="32" t="str">
        <x:f>IF($H219="","",'03_Functionalities'!$E219)</x:f>
      </x:c>
      <x:c r="K219" s="32" t="str">
        <x:f>IF($H219="","",'03_Functionalities'!$F219)</x:f>
      </x:c>
      <x:c r="L219" s="32" t="str">
        <x:f>IF($H219="","",'03_Functionalities'!$G219)</x:f>
      </x:c>
      <x:c r="M219" s="32" t="str">
        <x:f>IF($H219="","",'03_Functionalities'!$H219)</x:f>
      </x:c>
      <x:c r="N219" s="32" t="str">
        <x:f>IF($H219="","",'03_Functionalities'!$I219)</x:f>
      </x:c>
      <x:c r="O219" s="32" t="str">
        <x:f>IF($H219="","",'03_Functionalities'!$J219)</x:f>
      </x:c>
      <x:c r="P219" s="32" t="str">
        <x:f>IF($H219="","",'03_Functionalities'!$K219)</x:f>
      </x:c>
      <x:c r="Q219" s="32" t="str">
        <x:f>IF($H219="","",'03_Functionalities'!$L219)</x:f>
      </x:c>
      <x:c r="R219" s="32" t="str">
        <x:f>IF($H219="","",'03_Functionalities'!$M219)</x:f>
      </x:c>
      <x:c r="S219" s="32" t="str">
        <x:f>IF($H219="","",'03_Functionalities'!$N219)</x:f>
      </x:c>
      <x:c r="T219" s="32" t="str">
        <x:f>IF($H219="","",'03_Functionalities'!$O219)</x:f>
      </x:c>
      <x:c r="U219" s="32" t="str">
        <x:f>IF($A219="","",IFERROR(XLOOKUP($A219,'01_Products'!$A$5:$A$500,'01_Products'!$G$5:$G$500),""))</x:f>
      </x:c>
      <x:c r="V219" s="32" t="str">
        <x:f>IF($D219="","",IFERROR(XLOOKUP($D219,'02_Features'!$A$5:$A$1000,'02_Features'!$J$5:$J$1000),""))</x:f>
      </x:c>
      <x:c r="W219" s="32" t="str">
        <x:f>IF($H219="","",'03_Functionalities'!$P219)</x:f>
      </x:c>
      <x:c r="X219" s="32" t="str">
        <x:f>IF($H219="","",'03_Functionalities'!$Q219)</x:f>
      </x:c>
      <x:c r="Y219" s="38"/>
      <x:c r="Z219" s="38"/>
    </x:row>
    <x:row r="220" ht="18" customHeight="1">
      <x:c r="A220" s="32" t="str">
        <x:f>IF('03_Functionalities'!$A220="","",'03_Functionalities'!$C220)</x:f>
      </x:c>
      <x:c r="B220" s="32" t="str">
        <x:f>IF($A220="","",IFERROR(XLOOKUP($A220,'01_Products'!$A$5:$A$500,'01_Products'!$B$5:$B$500),""))</x:f>
      </x:c>
      <x:c r="C220" s="32" t="str">
        <x:f>IF($A220="","",IFERROR(XLOOKUP($A220,'01_Products'!$A$5:$A$500,'01_Products'!$C$5:$C$500),""))</x:f>
      </x:c>
      <x:c r="D220" s="32" t="str">
        <x:f>IF('03_Functionalities'!$A220="","",'03_Functionalities'!$B220)</x:f>
      </x:c>
      <x:c r="E220" s="32" t="str">
        <x:f>IF($D220="","",IFERROR(XLOOKUP($D220,'02_Features'!$A$5:$A$1000,'02_Features'!$C$5:$C$1000),""))</x:f>
      </x:c>
      <x:c r="F220" s="32" t="str">
        <x:f>IF($D220="","",IFERROR(XLOOKUP($D220,'02_Features'!$A$5:$A$1000,'02_Features'!$D$5:$D$1000),""))</x:f>
      </x:c>
      <x:c r="G220" s="32" t="str">
        <x:f>IF($D220="","",IFERROR(XLOOKUP($D220,'02_Features'!$A$5:$A$1000,'02_Features'!$E$5:$E$1000),""))</x:f>
      </x:c>
      <x:c r="H220" s="32" t="str">
        <x:f>IF('03_Functionalities'!$A220="","",'03_Functionalities'!$A220)</x:f>
      </x:c>
      <x:c r="I220" s="32" t="str">
        <x:f>IF($H220="","",'03_Functionalities'!$D220)</x:f>
      </x:c>
      <x:c r="J220" s="32" t="str">
        <x:f>IF($H220="","",'03_Functionalities'!$E220)</x:f>
      </x:c>
      <x:c r="K220" s="32" t="str">
        <x:f>IF($H220="","",'03_Functionalities'!$F220)</x:f>
      </x:c>
      <x:c r="L220" s="32" t="str">
        <x:f>IF($H220="","",'03_Functionalities'!$G220)</x:f>
      </x:c>
      <x:c r="M220" s="32" t="str">
        <x:f>IF($H220="","",'03_Functionalities'!$H220)</x:f>
      </x:c>
      <x:c r="N220" s="32" t="str">
        <x:f>IF($H220="","",'03_Functionalities'!$I220)</x:f>
      </x:c>
      <x:c r="O220" s="32" t="str">
        <x:f>IF($H220="","",'03_Functionalities'!$J220)</x:f>
      </x:c>
      <x:c r="P220" s="32" t="str">
        <x:f>IF($H220="","",'03_Functionalities'!$K220)</x:f>
      </x:c>
      <x:c r="Q220" s="32" t="str">
        <x:f>IF($H220="","",'03_Functionalities'!$L220)</x:f>
      </x:c>
      <x:c r="R220" s="32" t="str">
        <x:f>IF($H220="","",'03_Functionalities'!$M220)</x:f>
      </x:c>
      <x:c r="S220" s="32" t="str">
        <x:f>IF($H220="","",'03_Functionalities'!$N220)</x:f>
      </x:c>
      <x:c r="T220" s="32" t="str">
        <x:f>IF($H220="","",'03_Functionalities'!$O220)</x:f>
      </x:c>
      <x:c r="U220" s="32" t="str">
        <x:f>IF($A220="","",IFERROR(XLOOKUP($A220,'01_Products'!$A$5:$A$500,'01_Products'!$G$5:$G$500),""))</x:f>
      </x:c>
      <x:c r="V220" s="32" t="str">
        <x:f>IF($D220="","",IFERROR(XLOOKUP($D220,'02_Features'!$A$5:$A$1000,'02_Features'!$J$5:$J$1000),""))</x:f>
      </x:c>
      <x:c r="W220" s="32" t="str">
        <x:f>IF($H220="","",'03_Functionalities'!$P220)</x:f>
      </x:c>
      <x:c r="X220" s="32" t="str">
        <x:f>IF($H220="","",'03_Functionalities'!$Q220)</x:f>
      </x:c>
      <x:c r="Y220" s="38"/>
      <x:c r="Z220" s="38"/>
    </x:row>
    <x:row r="221" ht="18" customHeight="1">
      <x:c r="A221" s="32" t="str">
        <x:f>IF('03_Functionalities'!$A221="","",'03_Functionalities'!$C221)</x:f>
      </x:c>
      <x:c r="B221" s="32" t="str">
        <x:f>IF($A221="","",IFERROR(XLOOKUP($A221,'01_Products'!$A$5:$A$500,'01_Products'!$B$5:$B$500),""))</x:f>
      </x:c>
      <x:c r="C221" s="32" t="str">
        <x:f>IF($A221="","",IFERROR(XLOOKUP($A221,'01_Products'!$A$5:$A$500,'01_Products'!$C$5:$C$500),""))</x:f>
      </x:c>
      <x:c r="D221" s="32" t="str">
        <x:f>IF('03_Functionalities'!$A221="","",'03_Functionalities'!$B221)</x:f>
      </x:c>
      <x:c r="E221" s="32" t="str">
        <x:f>IF($D221="","",IFERROR(XLOOKUP($D221,'02_Features'!$A$5:$A$1000,'02_Features'!$C$5:$C$1000),""))</x:f>
      </x:c>
      <x:c r="F221" s="32" t="str">
        <x:f>IF($D221="","",IFERROR(XLOOKUP($D221,'02_Features'!$A$5:$A$1000,'02_Features'!$D$5:$D$1000),""))</x:f>
      </x:c>
      <x:c r="G221" s="32" t="str">
        <x:f>IF($D221="","",IFERROR(XLOOKUP($D221,'02_Features'!$A$5:$A$1000,'02_Features'!$E$5:$E$1000),""))</x:f>
      </x:c>
      <x:c r="H221" s="32" t="str">
        <x:f>IF('03_Functionalities'!$A221="","",'03_Functionalities'!$A221)</x:f>
      </x:c>
      <x:c r="I221" s="32" t="str">
        <x:f>IF($H221="","",'03_Functionalities'!$D221)</x:f>
      </x:c>
      <x:c r="J221" s="32" t="str">
        <x:f>IF($H221="","",'03_Functionalities'!$E221)</x:f>
      </x:c>
      <x:c r="K221" s="32" t="str">
        <x:f>IF($H221="","",'03_Functionalities'!$F221)</x:f>
      </x:c>
      <x:c r="L221" s="32" t="str">
        <x:f>IF($H221="","",'03_Functionalities'!$G221)</x:f>
      </x:c>
      <x:c r="M221" s="32" t="str">
        <x:f>IF($H221="","",'03_Functionalities'!$H221)</x:f>
      </x:c>
      <x:c r="N221" s="32" t="str">
        <x:f>IF($H221="","",'03_Functionalities'!$I221)</x:f>
      </x:c>
      <x:c r="O221" s="32" t="str">
        <x:f>IF($H221="","",'03_Functionalities'!$J221)</x:f>
      </x:c>
      <x:c r="P221" s="32" t="str">
        <x:f>IF($H221="","",'03_Functionalities'!$K221)</x:f>
      </x:c>
      <x:c r="Q221" s="32" t="str">
        <x:f>IF($H221="","",'03_Functionalities'!$L221)</x:f>
      </x:c>
      <x:c r="R221" s="32" t="str">
        <x:f>IF($H221="","",'03_Functionalities'!$M221)</x:f>
      </x:c>
      <x:c r="S221" s="32" t="str">
        <x:f>IF($H221="","",'03_Functionalities'!$N221)</x:f>
      </x:c>
      <x:c r="T221" s="32" t="str">
        <x:f>IF($H221="","",'03_Functionalities'!$O221)</x:f>
      </x:c>
      <x:c r="U221" s="32" t="str">
        <x:f>IF($A221="","",IFERROR(XLOOKUP($A221,'01_Products'!$A$5:$A$500,'01_Products'!$G$5:$G$500),""))</x:f>
      </x:c>
      <x:c r="V221" s="32" t="str">
        <x:f>IF($D221="","",IFERROR(XLOOKUP($D221,'02_Features'!$A$5:$A$1000,'02_Features'!$J$5:$J$1000),""))</x:f>
      </x:c>
      <x:c r="W221" s="32" t="str">
        <x:f>IF($H221="","",'03_Functionalities'!$P221)</x:f>
      </x:c>
      <x:c r="X221" s="32" t="str">
        <x:f>IF($H221="","",'03_Functionalities'!$Q221)</x:f>
      </x:c>
      <x:c r="Y221" s="38"/>
      <x:c r="Z221" s="38"/>
    </x:row>
    <x:row r="222" ht="18" customHeight="1">
      <x:c r="A222" s="32" t="str">
        <x:f>IF('03_Functionalities'!$A222="","",'03_Functionalities'!$C222)</x:f>
      </x:c>
      <x:c r="B222" s="32" t="str">
        <x:f>IF($A222="","",IFERROR(XLOOKUP($A222,'01_Products'!$A$5:$A$500,'01_Products'!$B$5:$B$500),""))</x:f>
      </x:c>
      <x:c r="C222" s="32" t="str">
        <x:f>IF($A222="","",IFERROR(XLOOKUP($A222,'01_Products'!$A$5:$A$500,'01_Products'!$C$5:$C$500),""))</x:f>
      </x:c>
      <x:c r="D222" s="32" t="str">
        <x:f>IF('03_Functionalities'!$A222="","",'03_Functionalities'!$B222)</x:f>
      </x:c>
      <x:c r="E222" s="32" t="str">
        <x:f>IF($D222="","",IFERROR(XLOOKUP($D222,'02_Features'!$A$5:$A$1000,'02_Features'!$C$5:$C$1000),""))</x:f>
      </x:c>
      <x:c r="F222" s="32" t="str">
        <x:f>IF($D222="","",IFERROR(XLOOKUP($D222,'02_Features'!$A$5:$A$1000,'02_Features'!$D$5:$D$1000),""))</x:f>
      </x:c>
      <x:c r="G222" s="32" t="str">
        <x:f>IF($D222="","",IFERROR(XLOOKUP($D222,'02_Features'!$A$5:$A$1000,'02_Features'!$E$5:$E$1000),""))</x:f>
      </x:c>
      <x:c r="H222" s="32" t="str">
        <x:f>IF('03_Functionalities'!$A222="","",'03_Functionalities'!$A222)</x:f>
      </x:c>
      <x:c r="I222" s="32" t="str">
        <x:f>IF($H222="","",'03_Functionalities'!$D222)</x:f>
      </x:c>
      <x:c r="J222" s="32" t="str">
        <x:f>IF($H222="","",'03_Functionalities'!$E222)</x:f>
      </x:c>
      <x:c r="K222" s="32" t="str">
        <x:f>IF($H222="","",'03_Functionalities'!$F222)</x:f>
      </x:c>
      <x:c r="L222" s="32" t="str">
        <x:f>IF($H222="","",'03_Functionalities'!$G222)</x:f>
      </x:c>
      <x:c r="M222" s="32" t="str">
        <x:f>IF($H222="","",'03_Functionalities'!$H222)</x:f>
      </x:c>
      <x:c r="N222" s="32" t="str">
        <x:f>IF($H222="","",'03_Functionalities'!$I222)</x:f>
      </x:c>
      <x:c r="O222" s="32" t="str">
        <x:f>IF($H222="","",'03_Functionalities'!$J222)</x:f>
      </x:c>
      <x:c r="P222" s="32" t="str">
        <x:f>IF($H222="","",'03_Functionalities'!$K222)</x:f>
      </x:c>
      <x:c r="Q222" s="32" t="str">
        <x:f>IF($H222="","",'03_Functionalities'!$L222)</x:f>
      </x:c>
      <x:c r="R222" s="32" t="str">
        <x:f>IF($H222="","",'03_Functionalities'!$M222)</x:f>
      </x:c>
      <x:c r="S222" s="32" t="str">
        <x:f>IF($H222="","",'03_Functionalities'!$N222)</x:f>
      </x:c>
      <x:c r="T222" s="32" t="str">
        <x:f>IF($H222="","",'03_Functionalities'!$O222)</x:f>
      </x:c>
      <x:c r="U222" s="32" t="str">
        <x:f>IF($A222="","",IFERROR(XLOOKUP($A222,'01_Products'!$A$5:$A$500,'01_Products'!$G$5:$G$500),""))</x:f>
      </x:c>
      <x:c r="V222" s="32" t="str">
        <x:f>IF($D222="","",IFERROR(XLOOKUP($D222,'02_Features'!$A$5:$A$1000,'02_Features'!$J$5:$J$1000),""))</x:f>
      </x:c>
      <x:c r="W222" s="32" t="str">
        <x:f>IF($H222="","",'03_Functionalities'!$P222)</x:f>
      </x:c>
      <x:c r="X222" s="32" t="str">
        <x:f>IF($H222="","",'03_Functionalities'!$Q222)</x:f>
      </x:c>
      <x:c r="Y222" s="38"/>
      <x:c r="Z222" s="38"/>
    </x:row>
    <x:row r="223" ht="18" customHeight="1">
      <x:c r="A223" s="32" t="str">
        <x:f>IF('03_Functionalities'!$A223="","",'03_Functionalities'!$C223)</x:f>
      </x:c>
      <x:c r="B223" s="32" t="str">
        <x:f>IF($A223="","",IFERROR(XLOOKUP($A223,'01_Products'!$A$5:$A$500,'01_Products'!$B$5:$B$500),""))</x:f>
      </x:c>
      <x:c r="C223" s="32" t="str">
        <x:f>IF($A223="","",IFERROR(XLOOKUP($A223,'01_Products'!$A$5:$A$500,'01_Products'!$C$5:$C$500),""))</x:f>
      </x:c>
      <x:c r="D223" s="32" t="str">
        <x:f>IF('03_Functionalities'!$A223="","",'03_Functionalities'!$B223)</x:f>
      </x:c>
      <x:c r="E223" s="32" t="str">
        <x:f>IF($D223="","",IFERROR(XLOOKUP($D223,'02_Features'!$A$5:$A$1000,'02_Features'!$C$5:$C$1000),""))</x:f>
      </x:c>
      <x:c r="F223" s="32" t="str">
        <x:f>IF($D223="","",IFERROR(XLOOKUP($D223,'02_Features'!$A$5:$A$1000,'02_Features'!$D$5:$D$1000),""))</x:f>
      </x:c>
      <x:c r="G223" s="32" t="str">
        <x:f>IF($D223="","",IFERROR(XLOOKUP($D223,'02_Features'!$A$5:$A$1000,'02_Features'!$E$5:$E$1000),""))</x:f>
      </x:c>
      <x:c r="H223" s="32" t="str">
        <x:f>IF('03_Functionalities'!$A223="","",'03_Functionalities'!$A223)</x:f>
      </x:c>
      <x:c r="I223" s="32" t="str">
        <x:f>IF($H223="","",'03_Functionalities'!$D223)</x:f>
      </x:c>
      <x:c r="J223" s="32" t="str">
        <x:f>IF($H223="","",'03_Functionalities'!$E223)</x:f>
      </x:c>
      <x:c r="K223" s="32" t="str">
        <x:f>IF($H223="","",'03_Functionalities'!$F223)</x:f>
      </x:c>
      <x:c r="L223" s="32" t="str">
        <x:f>IF($H223="","",'03_Functionalities'!$G223)</x:f>
      </x:c>
      <x:c r="M223" s="32" t="str">
        <x:f>IF($H223="","",'03_Functionalities'!$H223)</x:f>
      </x:c>
      <x:c r="N223" s="32" t="str">
        <x:f>IF($H223="","",'03_Functionalities'!$I223)</x:f>
      </x:c>
      <x:c r="O223" s="32" t="str">
        <x:f>IF($H223="","",'03_Functionalities'!$J223)</x:f>
      </x:c>
      <x:c r="P223" s="32" t="str">
        <x:f>IF($H223="","",'03_Functionalities'!$K223)</x:f>
      </x:c>
      <x:c r="Q223" s="32" t="str">
        <x:f>IF($H223="","",'03_Functionalities'!$L223)</x:f>
      </x:c>
      <x:c r="R223" s="32" t="str">
        <x:f>IF($H223="","",'03_Functionalities'!$M223)</x:f>
      </x:c>
      <x:c r="S223" s="32" t="str">
        <x:f>IF($H223="","",'03_Functionalities'!$N223)</x:f>
      </x:c>
      <x:c r="T223" s="32" t="str">
        <x:f>IF($H223="","",'03_Functionalities'!$O223)</x:f>
      </x:c>
      <x:c r="U223" s="32" t="str">
        <x:f>IF($A223="","",IFERROR(XLOOKUP($A223,'01_Products'!$A$5:$A$500,'01_Products'!$G$5:$G$500),""))</x:f>
      </x:c>
      <x:c r="V223" s="32" t="str">
        <x:f>IF($D223="","",IFERROR(XLOOKUP($D223,'02_Features'!$A$5:$A$1000,'02_Features'!$J$5:$J$1000),""))</x:f>
      </x:c>
      <x:c r="W223" s="32" t="str">
        <x:f>IF($H223="","",'03_Functionalities'!$P223)</x:f>
      </x:c>
      <x:c r="X223" s="32" t="str">
        <x:f>IF($H223="","",'03_Functionalities'!$Q223)</x:f>
      </x:c>
      <x:c r="Y223" s="38"/>
      <x:c r="Z223" s="38"/>
    </x:row>
    <x:row r="224" ht="18" customHeight="1">
      <x:c r="A224" s="32" t="str">
        <x:f>IF('03_Functionalities'!$A224="","",'03_Functionalities'!$C224)</x:f>
      </x:c>
      <x:c r="B224" s="32" t="str">
        <x:f>IF($A224="","",IFERROR(XLOOKUP($A224,'01_Products'!$A$5:$A$500,'01_Products'!$B$5:$B$500),""))</x:f>
      </x:c>
      <x:c r="C224" s="32" t="str">
        <x:f>IF($A224="","",IFERROR(XLOOKUP($A224,'01_Products'!$A$5:$A$500,'01_Products'!$C$5:$C$500),""))</x:f>
      </x:c>
      <x:c r="D224" s="32" t="str">
        <x:f>IF('03_Functionalities'!$A224="","",'03_Functionalities'!$B224)</x:f>
      </x:c>
      <x:c r="E224" s="32" t="str">
        <x:f>IF($D224="","",IFERROR(XLOOKUP($D224,'02_Features'!$A$5:$A$1000,'02_Features'!$C$5:$C$1000),""))</x:f>
      </x:c>
      <x:c r="F224" s="32" t="str">
        <x:f>IF($D224="","",IFERROR(XLOOKUP($D224,'02_Features'!$A$5:$A$1000,'02_Features'!$D$5:$D$1000),""))</x:f>
      </x:c>
      <x:c r="G224" s="32" t="str">
        <x:f>IF($D224="","",IFERROR(XLOOKUP($D224,'02_Features'!$A$5:$A$1000,'02_Features'!$E$5:$E$1000),""))</x:f>
      </x:c>
      <x:c r="H224" s="32" t="str">
        <x:f>IF('03_Functionalities'!$A224="","",'03_Functionalities'!$A224)</x:f>
      </x:c>
      <x:c r="I224" s="32" t="str">
        <x:f>IF($H224="","",'03_Functionalities'!$D224)</x:f>
      </x:c>
      <x:c r="J224" s="32" t="str">
        <x:f>IF($H224="","",'03_Functionalities'!$E224)</x:f>
      </x:c>
      <x:c r="K224" s="32" t="str">
        <x:f>IF($H224="","",'03_Functionalities'!$F224)</x:f>
      </x:c>
      <x:c r="L224" s="32" t="str">
        <x:f>IF($H224="","",'03_Functionalities'!$G224)</x:f>
      </x:c>
      <x:c r="M224" s="32" t="str">
        <x:f>IF($H224="","",'03_Functionalities'!$H224)</x:f>
      </x:c>
      <x:c r="N224" s="32" t="str">
        <x:f>IF($H224="","",'03_Functionalities'!$I224)</x:f>
      </x:c>
      <x:c r="O224" s="32" t="str">
        <x:f>IF($H224="","",'03_Functionalities'!$J224)</x:f>
      </x:c>
      <x:c r="P224" s="32" t="str">
        <x:f>IF($H224="","",'03_Functionalities'!$K224)</x:f>
      </x:c>
      <x:c r="Q224" s="32" t="str">
        <x:f>IF($H224="","",'03_Functionalities'!$L224)</x:f>
      </x:c>
      <x:c r="R224" s="32" t="str">
        <x:f>IF($H224="","",'03_Functionalities'!$M224)</x:f>
      </x:c>
      <x:c r="S224" s="32" t="str">
        <x:f>IF($H224="","",'03_Functionalities'!$N224)</x:f>
      </x:c>
      <x:c r="T224" s="32" t="str">
        <x:f>IF($H224="","",'03_Functionalities'!$O224)</x:f>
      </x:c>
      <x:c r="U224" s="32" t="str">
        <x:f>IF($A224="","",IFERROR(XLOOKUP($A224,'01_Products'!$A$5:$A$500,'01_Products'!$G$5:$G$500),""))</x:f>
      </x:c>
      <x:c r="V224" s="32" t="str">
        <x:f>IF($D224="","",IFERROR(XLOOKUP($D224,'02_Features'!$A$5:$A$1000,'02_Features'!$J$5:$J$1000),""))</x:f>
      </x:c>
      <x:c r="W224" s="32" t="str">
        <x:f>IF($H224="","",'03_Functionalities'!$P224)</x:f>
      </x:c>
      <x:c r="X224" s="32" t="str">
        <x:f>IF($H224="","",'03_Functionalities'!$Q224)</x:f>
      </x:c>
      <x:c r="Y224" s="38"/>
      <x:c r="Z224" s="38"/>
    </x:row>
    <x:row r="225" ht="18" customHeight="1">
      <x:c r="A225" s="32" t="str">
        <x:f>IF('03_Functionalities'!$A225="","",'03_Functionalities'!$C225)</x:f>
      </x:c>
      <x:c r="B225" s="32" t="str">
        <x:f>IF($A225="","",IFERROR(XLOOKUP($A225,'01_Products'!$A$5:$A$500,'01_Products'!$B$5:$B$500),""))</x:f>
      </x:c>
      <x:c r="C225" s="32" t="str">
        <x:f>IF($A225="","",IFERROR(XLOOKUP($A225,'01_Products'!$A$5:$A$500,'01_Products'!$C$5:$C$500),""))</x:f>
      </x:c>
      <x:c r="D225" s="32" t="str">
        <x:f>IF('03_Functionalities'!$A225="","",'03_Functionalities'!$B225)</x:f>
      </x:c>
      <x:c r="E225" s="32" t="str">
        <x:f>IF($D225="","",IFERROR(XLOOKUP($D225,'02_Features'!$A$5:$A$1000,'02_Features'!$C$5:$C$1000),""))</x:f>
      </x:c>
      <x:c r="F225" s="32" t="str">
        <x:f>IF($D225="","",IFERROR(XLOOKUP($D225,'02_Features'!$A$5:$A$1000,'02_Features'!$D$5:$D$1000),""))</x:f>
      </x:c>
      <x:c r="G225" s="32" t="str">
        <x:f>IF($D225="","",IFERROR(XLOOKUP($D225,'02_Features'!$A$5:$A$1000,'02_Features'!$E$5:$E$1000),""))</x:f>
      </x:c>
      <x:c r="H225" s="32" t="str">
        <x:f>IF('03_Functionalities'!$A225="","",'03_Functionalities'!$A225)</x:f>
      </x:c>
      <x:c r="I225" s="32" t="str">
        <x:f>IF($H225="","",'03_Functionalities'!$D225)</x:f>
      </x:c>
      <x:c r="J225" s="32" t="str">
        <x:f>IF($H225="","",'03_Functionalities'!$E225)</x:f>
      </x:c>
      <x:c r="K225" s="32" t="str">
        <x:f>IF($H225="","",'03_Functionalities'!$F225)</x:f>
      </x:c>
      <x:c r="L225" s="32" t="str">
        <x:f>IF($H225="","",'03_Functionalities'!$G225)</x:f>
      </x:c>
      <x:c r="M225" s="32" t="str">
        <x:f>IF($H225="","",'03_Functionalities'!$H225)</x:f>
      </x:c>
      <x:c r="N225" s="32" t="str">
        <x:f>IF($H225="","",'03_Functionalities'!$I225)</x:f>
      </x:c>
      <x:c r="O225" s="32" t="str">
        <x:f>IF($H225="","",'03_Functionalities'!$J225)</x:f>
      </x:c>
      <x:c r="P225" s="32" t="str">
        <x:f>IF($H225="","",'03_Functionalities'!$K225)</x:f>
      </x:c>
      <x:c r="Q225" s="32" t="str">
        <x:f>IF($H225="","",'03_Functionalities'!$L225)</x:f>
      </x:c>
      <x:c r="R225" s="32" t="str">
        <x:f>IF($H225="","",'03_Functionalities'!$M225)</x:f>
      </x:c>
      <x:c r="S225" s="32" t="str">
        <x:f>IF($H225="","",'03_Functionalities'!$N225)</x:f>
      </x:c>
      <x:c r="T225" s="32" t="str">
        <x:f>IF($H225="","",'03_Functionalities'!$O225)</x:f>
      </x:c>
      <x:c r="U225" s="32" t="str">
        <x:f>IF($A225="","",IFERROR(XLOOKUP($A225,'01_Products'!$A$5:$A$500,'01_Products'!$G$5:$G$500),""))</x:f>
      </x:c>
      <x:c r="V225" s="32" t="str">
        <x:f>IF($D225="","",IFERROR(XLOOKUP($D225,'02_Features'!$A$5:$A$1000,'02_Features'!$J$5:$J$1000),""))</x:f>
      </x:c>
      <x:c r="W225" s="32" t="str">
        <x:f>IF($H225="","",'03_Functionalities'!$P225)</x:f>
      </x:c>
      <x:c r="X225" s="32" t="str">
        <x:f>IF($H225="","",'03_Functionalities'!$Q225)</x:f>
      </x:c>
      <x:c r="Y225" s="38"/>
      <x:c r="Z225" s="38"/>
    </x:row>
    <x:row r="226" ht="18" customHeight="1">
      <x:c r="A226" s="32" t="str">
        <x:f>IF('03_Functionalities'!$A226="","",'03_Functionalities'!$C226)</x:f>
      </x:c>
      <x:c r="B226" s="32" t="str">
        <x:f>IF($A226="","",IFERROR(XLOOKUP($A226,'01_Products'!$A$5:$A$500,'01_Products'!$B$5:$B$500),""))</x:f>
      </x:c>
      <x:c r="C226" s="32" t="str">
        <x:f>IF($A226="","",IFERROR(XLOOKUP($A226,'01_Products'!$A$5:$A$500,'01_Products'!$C$5:$C$500),""))</x:f>
      </x:c>
      <x:c r="D226" s="32" t="str">
        <x:f>IF('03_Functionalities'!$A226="","",'03_Functionalities'!$B226)</x:f>
      </x:c>
      <x:c r="E226" s="32" t="str">
        <x:f>IF($D226="","",IFERROR(XLOOKUP($D226,'02_Features'!$A$5:$A$1000,'02_Features'!$C$5:$C$1000),""))</x:f>
      </x:c>
      <x:c r="F226" s="32" t="str">
        <x:f>IF($D226="","",IFERROR(XLOOKUP($D226,'02_Features'!$A$5:$A$1000,'02_Features'!$D$5:$D$1000),""))</x:f>
      </x:c>
      <x:c r="G226" s="32" t="str">
        <x:f>IF($D226="","",IFERROR(XLOOKUP($D226,'02_Features'!$A$5:$A$1000,'02_Features'!$E$5:$E$1000),""))</x:f>
      </x:c>
      <x:c r="H226" s="32" t="str">
        <x:f>IF('03_Functionalities'!$A226="","",'03_Functionalities'!$A226)</x:f>
      </x:c>
      <x:c r="I226" s="32" t="str">
        <x:f>IF($H226="","",'03_Functionalities'!$D226)</x:f>
      </x:c>
      <x:c r="J226" s="32" t="str">
        <x:f>IF($H226="","",'03_Functionalities'!$E226)</x:f>
      </x:c>
      <x:c r="K226" s="32" t="str">
        <x:f>IF($H226="","",'03_Functionalities'!$F226)</x:f>
      </x:c>
      <x:c r="L226" s="32" t="str">
        <x:f>IF($H226="","",'03_Functionalities'!$G226)</x:f>
      </x:c>
      <x:c r="M226" s="32" t="str">
        <x:f>IF($H226="","",'03_Functionalities'!$H226)</x:f>
      </x:c>
      <x:c r="N226" s="32" t="str">
        <x:f>IF($H226="","",'03_Functionalities'!$I226)</x:f>
      </x:c>
      <x:c r="O226" s="32" t="str">
        <x:f>IF($H226="","",'03_Functionalities'!$J226)</x:f>
      </x:c>
      <x:c r="P226" s="32" t="str">
        <x:f>IF($H226="","",'03_Functionalities'!$K226)</x:f>
      </x:c>
      <x:c r="Q226" s="32" t="str">
        <x:f>IF($H226="","",'03_Functionalities'!$L226)</x:f>
      </x:c>
      <x:c r="R226" s="32" t="str">
        <x:f>IF($H226="","",'03_Functionalities'!$M226)</x:f>
      </x:c>
      <x:c r="S226" s="32" t="str">
        <x:f>IF($H226="","",'03_Functionalities'!$N226)</x:f>
      </x:c>
      <x:c r="T226" s="32" t="str">
        <x:f>IF($H226="","",'03_Functionalities'!$O226)</x:f>
      </x:c>
      <x:c r="U226" s="32" t="str">
        <x:f>IF($A226="","",IFERROR(XLOOKUP($A226,'01_Products'!$A$5:$A$500,'01_Products'!$G$5:$G$500),""))</x:f>
      </x:c>
      <x:c r="V226" s="32" t="str">
        <x:f>IF($D226="","",IFERROR(XLOOKUP($D226,'02_Features'!$A$5:$A$1000,'02_Features'!$J$5:$J$1000),""))</x:f>
      </x:c>
      <x:c r="W226" s="32" t="str">
        <x:f>IF($H226="","",'03_Functionalities'!$P226)</x:f>
      </x:c>
      <x:c r="X226" s="32" t="str">
        <x:f>IF($H226="","",'03_Functionalities'!$Q226)</x:f>
      </x:c>
      <x:c r="Y226" s="38"/>
      <x:c r="Z226" s="38"/>
    </x:row>
    <x:row r="227" ht="18" customHeight="1">
      <x:c r="A227" s="32" t="str">
        <x:f>IF('03_Functionalities'!$A227="","",'03_Functionalities'!$C227)</x:f>
      </x:c>
      <x:c r="B227" s="32" t="str">
        <x:f>IF($A227="","",IFERROR(XLOOKUP($A227,'01_Products'!$A$5:$A$500,'01_Products'!$B$5:$B$500),""))</x:f>
      </x:c>
      <x:c r="C227" s="32" t="str">
        <x:f>IF($A227="","",IFERROR(XLOOKUP($A227,'01_Products'!$A$5:$A$500,'01_Products'!$C$5:$C$500),""))</x:f>
      </x:c>
      <x:c r="D227" s="32" t="str">
        <x:f>IF('03_Functionalities'!$A227="","",'03_Functionalities'!$B227)</x:f>
      </x:c>
      <x:c r="E227" s="32" t="str">
        <x:f>IF($D227="","",IFERROR(XLOOKUP($D227,'02_Features'!$A$5:$A$1000,'02_Features'!$C$5:$C$1000),""))</x:f>
      </x:c>
      <x:c r="F227" s="32" t="str">
        <x:f>IF($D227="","",IFERROR(XLOOKUP($D227,'02_Features'!$A$5:$A$1000,'02_Features'!$D$5:$D$1000),""))</x:f>
      </x:c>
      <x:c r="G227" s="32" t="str">
        <x:f>IF($D227="","",IFERROR(XLOOKUP($D227,'02_Features'!$A$5:$A$1000,'02_Features'!$E$5:$E$1000),""))</x:f>
      </x:c>
      <x:c r="H227" s="32" t="str">
        <x:f>IF('03_Functionalities'!$A227="","",'03_Functionalities'!$A227)</x:f>
      </x:c>
      <x:c r="I227" s="32" t="str">
        <x:f>IF($H227="","",'03_Functionalities'!$D227)</x:f>
      </x:c>
      <x:c r="J227" s="32" t="str">
        <x:f>IF($H227="","",'03_Functionalities'!$E227)</x:f>
      </x:c>
      <x:c r="K227" s="32" t="str">
        <x:f>IF($H227="","",'03_Functionalities'!$F227)</x:f>
      </x:c>
      <x:c r="L227" s="32" t="str">
        <x:f>IF($H227="","",'03_Functionalities'!$G227)</x:f>
      </x:c>
      <x:c r="M227" s="32" t="str">
        <x:f>IF($H227="","",'03_Functionalities'!$H227)</x:f>
      </x:c>
      <x:c r="N227" s="32" t="str">
        <x:f>IF($H227="","",'03_Functionalities'!$I227)</x:f>
      </x:c>
      <x:c r="O227" s="32" t="str">
        <x:f>IF($H227="","",'03_Functionalities'!$J227)</x:f>
      </x:c>
      <x:c r="P227" s="32" t="str">
        <x:f>IF($H227="","",'03_Functionalities'!$K227)</x:f>
      </x:c>
      <x:c r="Q227" s="32" t="str">
        <x:f>IF($H227="","",'03_Functionalities'!$L227)</x:f>
      </x:c>
      <x:c r="R227" s="32" t="str">
        <x:f>IF($H227="","",'03_Functionalities'!$M227)</x:f>
      </x:c>
      <x:c r="S227" s="32" t="str">
        <x:f>IF($H227="","",'03_Functionalities'!$N227)</x:f>
      </x:c>
      <x:c r="T227" s="32" t="str">
        <x:f>IF($H227="","",'03_Functionalities'!$O227)</x:f>
      </x:c>
      <x:c r="U227" s="32" t="str">
        <x:f>IF($A227="","",IFERROR(XLOOKUP($A227,'01_Products'!$A$5:$A$500,'01_Products'!$G$5:$G$500),""))</x:f>
      </x:c>
      <x:c r="V227" s="32" t="str">
        <x:f>IF($D227="","",IFERROR(XLOOKUP($D227,'02_Features'!$A$5:$A$1000,'02_Features'!$J$5:$J$1000),""))</x:f>
      </x:c>
      <x:c r="W227" s="32" t="str">
        <x:f>IF($H227="","",'03_Functionalities'!$P227)</x:f>
      </x:c>
      <x:c r="X227" s="32" t="str">
        <x:f>IF($H227="","",'03_Functionalities'!$Q227)</x:f>
      </x:c>
      <x:c r="Y227" s="38"/>
      <x:c r="Z227" s="38"/>
    </x:row>
    <x:row r="228" ht="18" customHeight="1">
      <x:c r="A228" s="32" t="str">
        <x:f>IF('03_Functionalities'!$A228="","",'03_Functionalities'!$C228)</x:f>
      </x:c>
      <x:c r="B228" s="32" t="str">
        <x:f>IF($A228="","",IFERROR(XLOOKUP($A228,'01_Products'!$A$5:$A$500,'01_Products'!$B$5:$B$500),""))</x:f>
      </x:c>
      <x:c r="C228" s="32" t="str">
        <x:f>IF($A228="","",IFERROR(XLOOKUP($A228,'01_Products'!$A$5:$A$500,'01_Products'!$C$5:$C$500),""))</x:f>
      </x:c>
      <x:c r="D228" s="32" t="str">
        <x:f>IF('03_Functionalities'!$A228="","",'03_Functionalities'!$B228)</x:f>
      </x:c>
      <x:c r="E228" s="32" t="str">
        <x:f>IF($D228="","",IFERROR(XLOOKUP($D228,'02_Features'!$A$5:$A$1000,'02_Features'!$C$5:$C$1000),""))</x:f>
      </x:c>
      <x:c r="F228" s="32" t="str">
        <x:f>IF($D228="","",IFERROR(XLOOKUP($D228,'02_Features'!$A$5:$A$1000,'02_Features'!$D$5:$D$1000),""))</x:f>
      </x:c>
      <x:c r="G228" s="32" t="str">
        <x:f>IF($D228="","",IFERROR(XLOOKUP($D228,'02_Features'!$A$5:$A$1000,'02_Features'!$E$5:$E$1000),""))</x:f>
      </x:c>
      <x:c r="H228" s="32" t="str">
        <x:f>IF('03_Functionalities'!$A228="","",'03_Functionalities'!$A228)</x:f>
      </x:c>
      <x:c r="I228" s="32" t="str">
        <x:f>IF($H228="","",'03_Functionalities'!$D228)</x:f>
      </x:c>
      <x:c r="J228" s="32" t="str">
        <x:f>IF($H228="","",'03_Functionalities'!$E228)</x:f>
      </x:c>
      <x:c r="K228" s="32" t="str">
        <x:f>IF($H228="","",'03_Functionalities'!$F228)</x:f>
      </x:c>
      <x:c r="L228" s="32" t="str">
        <x:f>IF($H228="","",'03_Functionalities'!$G228)</x:f>
      </x:c>
      <x:c r="M228" s="32" t="str">
        <x:f>IF($H228="","",'03_Functionalities'!$H228)</x:f>
      </x:c>
      <x:c r="N228" s="32" t="str">
        <x:f>IF($H228="","",'03_Functionalities'!$I228)</x:f>
      </x:c>
      <x:c r="O228" s="32" t="str">
        <x:f>IF($H228="","",'03_Functionalities'!$J228)</x:f>
      </x:c>
      <x:c r="P228" s="32" t="str">
        <x:f>IF($H228="","",'03_Functionalities'!$K228)</x:f>
      </x:c>
      <x:c r="Q228" s="32" t="str">
        <x:f>IF($H228="","",'03_Functionalities'!$L228)</x:f>
      </x:c>
      <x:c r="R228" s="32" t="str">
        <x:f>IF($H228="","",'03_Functionalities'!$M228)</x:f>
      </x:c>
      <x:c r="S228" s="32" t="str">
        <x:f>IF($H228="","",'03_Functionalities'!$N228)</x:f>
      </x:c>
      <x:c r="T228" s="32" t="str">
        <x:f>IF($H228="","",'03_Functionalities'!$O228)</x:f>
      </x:c>
      <x:c r="U228" s="32" t="str">
        <x:f>IF($A228="","",IFERROR(XLOOKUP($A228,'01_Products'!$A$5:$A$500,'01_Products'!$G$5:$G$500),""))</x:f>
      </x:c>
      <x:c r="V228" s="32" t="str">
        <x:f>IF($D228="","",IFERROR(XLOOKUP($D228,'02_Features'!$A$5:$A$1000,'02_Features'!$J$5:$J$1000),""))</x:f>
      </x:c>
      <x:c r="W228" s="32" t="str">
        <x:f>IF($H228="","",'03_Functionalities'!$P228)</x:f>
      </x:c>
      <x:c r="X228" s="32" t="str">
        <x:f>IF($H228="","",'03_Functionalities'!$Q228)</x:f>
      </x:c>
      <x:c r="Y228" s="38"/>
      <x:c r="Z228" s="38"/>
    </x:row>
    <x:row r="229" ht="18" customHeight="1">
      <x:c r="A229" s="32" t="str">
        <x:f>IF('03_Functionalities'!$A229="","",'03_Functionalities'!$C229)</x:f>
      </x:c>
      <x:c r="B229" s="32" t="str">
        <x:f>IF($A229="","",IFERROR(XLOOKUP($A229,'01_Products'!$A$5:$A$500,'01_Products'!$B$5:$B$500),""))</x:f>
      </x:c>
      <x:c r="C229" s="32" t="str">
        <x:f>IF($A229="","",IFERROR(XLOOKUP($A229,'01_Products'!$A$5:$A$500,'01_Products'!$C$5:$C$500),""))</x:f>
      </x:c>
      <x:c r="D229" s="32" t="str">
        <x:f>IF('03_Functionalities'!$A229="","",'03_Functionalities'!$B229)</x:f>
      </x:c>
      <x:c r="E229" s="32" t="str">
        <x:f>IF($D229="","",IFERROR(XLOOKUP($D229,'02_Features'!$A$5:$A$1000,'02_Features'!$C$5:$C$1000),""))</x:f>
      </x:c>
      <x:c r="F229" s="32" t="str">
        <x:f>IF($D229="","",IFERROR(XLOOKUP($D229,'02_Features'!$A$5:$A$1000,'02_Features'!$D$5:$D$1000),""))</x:f>
      </x:c>
      <x:c r="G229" s="32" t="str">
        <x:f>IF($D229="","",IFERROR(XLOOKUP($D229,'02_Features'!$A$5:$A$1000,'02_Features'!$E$5:$E$1000),""))</x:f>
      </x:c>
      <x:c r="H229" s="32" t="str">
        <x:f>IF('03_Functionalities'!$A229="","",'03_Functionalities'!$A229)</x:f>
      </x:c>
      <x:c r="I229" s="32" t="str">
        <x:f>IF($H229="","",'03_Functionalities'!$D229)</x:f>
      </x:c>
      <x:c r="J229" s="32" t="str">
        <x:f>IF($H229="","",'03_Functionalities'!$E229)</x:f>
      </x:c>
      <x:c r="K229" s="32" t="str">
        <x:f>IF($H229="","",'03_Functionalities'!$F229)</x:f>
      </x:c>
      <x:c r="L229" s="32" t="str">
        <x:f>IF($H229="","",'03_Functionalities'!$G229)</x:f>
      </x:c>
      <x:c r="M229" s="32" t="str">
        <x:f>IF($H229="","",'03_Functionalities'!$H229)</x:f>
      </x:c>
      <x:c r="N229" s="32" t="str">
        <x:f>IF($H229="","",'03_Functionalities'!$I229)</x:f>
      </x:c>
      <x:c r="O229" s="32" t="str">
        <x:f>IF($H229="","",'03_Functionalities'!$J229)</x:f>
      </x:c>
      <x:c r="P229" s="32" t="str">
        <x:f>IF($H229="","",'03_Functionalities'!$K229)</x:f>
      </x:c>
      <x:c r="Q229" s="32" t="str">
        <x:f>IF($H229="","",'03_Functionalities'!$L229)</x:f>
      </x:c>
      <x:c r="R229" s="32" t="str">
        <x:f>IF($H229="","",'03_Functionalities'!$M229)</x:f>
      </x:c>
      <x:c r="S229" s="32" t="str">
        <x:f>IF($H229="","",'03_Functionalities'!$N229)</x:f>
      </x:c>
      <x:c r="T229" s="32" t="str">
        <x:f>IF($H229="","",'03_Functionalities'!$O229)</x:f>
      </x:c>
      <x:c r="U229" s="32" t="str">
        <x:f>IF($A229="","",IFERROR(XLOOKUP($A229,'01_Products'!$A$5:$A$500,'01_Products'!$G$5:$G$500),""))</x:f>
      </x:c>
      <x:c r="V229" s="32" t="str">
        <x:f>IF($D229="","",IFERROR(XLOOKUP($D229,'02_Features'!$A$5:$A$1000,'02_Features'!$J$5:$J$1000),""))</x:f>
      </x:c>
      <x:c r="W229" s="32" t="str">
        <x:f>IF($H229="","",'03_Functionalities'!$P229)</x:f>
      </x:c>
      <x:c r="X229" s="32" t="str">
        <x:f>IF($H229="","",'03_Functionalities'!$Q229)</x:f>
      </x:c>
      <x:c r="Y229" s="38"/>
      <x:c r="Z229" s="38"/>
    </x:row>
    <x:row r="230" ht="18" customHeight="1">
      <x:c r="A230" s="32" t="str">
        <x:f>IF('03_Functionalities'!$A230="","",'03_Functionalities'!$C230)</x:f>
      </x:c>
      <x:c r="B230" s="32" t="str">
        <x:f>IF($A230="","",IFERROR(XLOOKUP($A230,'01_Products'!$A$5:$A$500,'01_Products'!$B$5:$B$500),""))</x:f>
      </x:c>
      <x:c r="C230" s="32" t="str">
        <x:f>IF($A230="","",IFERROR(XLOOKUP($A230,'01_Products'!$A$5:$A$500,'01_Products'!$C$5:$C$500),""))</x:f>
      </x:c>
      <x:c r="D230" s="32" t="str">
        <x:f>IF('03_Functionalities'!$A230="","",'03_Functionalities'!$B230)</x:f>
      </x:c>
      <x:c r="E230" s="32" t="str">
        <x:f>IF($D230="","",IFERROR(XLOOKUP($D230,'02_Features'!$A$5:$A$1000,'02_Features'!$C$5:$C$1000),""))</x:f>
      </x:c>
      <x:c r="F230" s="32" t="str">
        <x:f>IF($D230="","",IFERROR(XLOOKUP($D230,'02_Features'!$A$5:$A$1000,'02_Features'!$D$5:$D$1000),""))</x:f>
      </x:c>
      <x:c r="G230" s="32" t="str">
        <x:f>IF($D230="","",IFERROR(XLOOKUP($D230,'02_Features'!$A$5:$A$1000,'02_Features'!$E$5:$E$1000),""))</x:f>
      </x:c>
      <x:c r="H230" s="32" t="str">
        <x:f>IF('03_Functionalities'!$A230="","",'03_Functionalities'!$A230)</x:f>
      </x:c>
      <x:c r="I230" s="32" t="str">
        <x:f>IF($H230="","",'03_Functionalities'!$D230)</x:f>
      </x:c>
      <x:c r="J230" s="32" t="str">
        <x:f>IF($H230="","",'03_Functionalities'!$E230)</x:f>
      </x:c>
      <x:c r="K230" s="32" t="str">
        <x:f>IF($H230="","",'03_Functionalities'!$F230)</x:f>
      </x:c>
      <x:c r="L230" s="32" t="str">
        <x:f>IF($H230="","",'03_Functionalities'!$G230)</x:f>
      </x:c>
      <x:c r="M230" s="32" t="str">
        <x:f>IF($H230="","",'03_Functionalities'!$H230)</x:f>
      </x:c>
      <x:c r="N230" s="32" t="str">
        <x:f>IF($H230="","",'03_Functionalities'!$I230)</x:f>
      </x:c>
      <x:c r="O230" s="32" t="str">
        <x:f>IF($H230="","",'03_Functionalities'!$J230)</x:f>
      </x:c>
      <x:c r="P230" s="32" t="str">
        <x:f>IF($H230="","",'03_Functionalities'!$K230)</x:f>
      </x:c>
      <x:c r="Q230" s="32" t="str">
        <x:f>IF($H230="","",'03_Functionalities'!$L230)</x:f>
      </x:c>
      <x:c r="R230" s="32" t="str">
        <x:f>IF($H230="","",'03_Functionalities'!$M230)</x:f>
      </x:c>
      <x:c r="S230" s="32" t="str">
        <x:f>IF($H230="","",'03_Functionalities'!$N230)</x:f>
      </x:c>
      <x:c r="T230" s="32" t="str">
        <x:f>IF($H230="","",'03_Functionalities'!$O230)</x:f>
      </x:c>
      <x:c r="U230" s="32" t="str">
        <x:f>IF($A230="","",IFERROR(XLOOKUP($A230,'01_Products'!$A$5:$A$500,'01_Products'!$G$5:$G$500),""))</x:f>
      </x:c>
      <x:c r="V230" s="32" t="str">
        <x:f>IF($D230="","",IFERROR(XLOOKUP($D230,'02_Features'!$A$5:$A$1000,'02_Features'!$J$5:$J$1000),""))</x:f>
      </x:c>
      <x:c r="W230" s="32" t="str">
        <x:f>IF($H230="","",'03_Functionalities'!$P230)</x:f>
      </x:c>
      <x:c r="X230" s="32" t="str">
        <x:f>IF($H230="","",'03_Functionalities'!$Q230)</x:f>
      </x:c>
      <x:c r="Y230" s="38"/>
      <x:c r="Z230" s="38"/>
    </x:row>
    <x:row r="231" ht="18" customHeight="1">
      <x:c r="A231" s="32" t="str">
        <x:f>IF('03_Functionalities'!$A231="","",'03_Functionalities'!$C231)</x:f>
      </x:c>
      <x:c r="B231" s="32" t="str">
        <x:f>IF($A231="","",IFERROR(XLOOKUP($A231,'01_Products'!$A$5:$A$500,'01_Products'!$B$5:$B$500),""))</x:f>
      </x:c>
      <x:c r="C231" s="32" t="str">
        <x:f>IF($A231="","",IFERROR(XLOOKUP($A231,'01_Products'!$A$5:$A$500,'01_Products'!$C$5:$C$500),""))</x:f>
      </x:c>
      <x:c r="D231" s="32" t="str">
        <x:f>IF('03_Functionalities'!$A231="","",'03_Functionalities'!$B231)</x:f>
      </x:c>
      <x:c r="E231" s="32" t="str">
        <x:f>IF($D231="","",IFERROR(XLOOKUP($D231,'02_Features'!$A$5:$A$1000,'02_Features'!$C$5:$C$1000),""))</x:f>
      </x:c>
      <x:c r="F231" s="32" t="str">
        <x:f>IF($D231="","",IFERROR(XLOOKUP($D231,'02_Features'!$A$5:$A$1000,'02_Features'!$D$5:$D$1000),""))</x:f>
      </x:c>
      <x:c r="G231" s="32" t="str">
        <x:f>IF($D231="","",IFERROR(XLOOKUP($D231,'02_Features'!$A$5:$A$1000,'02_Features'!$E$5:$E$1000),""))</x:f>
      </x:c>
      <x:c r="H231" s="32" t="str">
        <x:f>IF('03_Functionalities'!$A231="","",'03_Functionalities'!$A231)</x:f>
      </x:c>
      <x:c r="I231" s="32" t="str">
        <x:f>IF($H231="","",'03_Functionalities'!$D231)</x:f>
      </x:c>
      <x:c r="J231" s="32" t="str">
        <x:f>IF($H231="","",'03_Functionalities'!$E231)</x:f>
      </x:c>
      <x:c r="K231" s="32" t="str">
        <x:f>IF($H231="","",'03_Functionalities'!$F231)</x:f>
      </x:c>
      <x:c r="L231" s="32" t="str">
        <x:f>IF($H231="","",'03_Functionalities'!$G231)</x:f>
      </x:c>
      <x:c r="M231" s="32" t="str">
        <x:f>IF($H231="","",'03_Functionalities'!$H231)</x:f>
      </x:c>
      <x:c r="N231" s="32" t="str">
        <x:f>IF($H231="","",'03_Functionalities'!$I231)</x:f>
      </x:c>
      <x:c r="O231" s="32" t="str">
        <x:f>IF($H231="","",'03_Functionalities'!$J231)</x:f>
      </x:c>
      <x:c r="P231" s="32" t="str">
        <x:f>IF($H231="","",'03_Functionalities'!$K231)</x:f>
      </x:c>
      <x:c r="Q231" s="32" t="str">
        <x:f>IF($H231="","",'03_Functionalities'!$L231)</x:f>
      </x:c>
      <x:c r="R231" s="32" t="str">
        <x:f>IF($H231="","",'03_Functionalities'!$M231)</x:f>
      </x:c>
      <x:c r="S231" s="32" t="str">
        <x:f>IF($H231="","",'03_Functionalities'!$N231)</x:f>
      </x:c>
      <x:c r="T231" s="32" t="str">
        <x:f>IF($H231="","",'03_Functionalities'!$O231)</x:f>
      </x:c>
      <x:c r="U231" s="32" t="str">
        <x:f>IF($A231="","",IFERROR(XLOOKUP($A231,'01_Products'!$A$5:$A$500,'01_Products'!$G$5:$G$500),""))</x:f>
      </x:c>
      <x:c r="V231" s="32" t="str">
        <x:f>IF($D231="","",IFERROR(XLOOKUP($D231,'02_Features'!$A$5:$A$1000,'02_Features'!$J$5:$J$1000),""))</x:f>
      </x:c>
      <x:c r="W231" s="32" t="str">
        <x:f>IF($H231="","",'03_Functionalities'!$P231)</x:f>
      </x:c>
      <x:c r="X231" s="32" t="str">
        <x:f>IF($H231="","",'03_Functionalities'!$Q231)</x:f>
      </x:c>
      <x:c r="Y231" s="38"/>
      <x:c r="Z231" s="38"/>
    </x:row>
    <x:row r="232" ht="18" customHeight="1">
      <x:c r="A232" s="32" t="str">
        <x:f>IF('03_Functionalities'!$A232="","",'03_Functionalities'!$C232)</x:f>
      </x:c>
      <x:c r="B232" s="32" t="str">
        <x:f>IF($A232="","",IFERROR(XLOOKUP($A232,'01_Products'!$A$5:$A$500,'01_Products'!$B$5:$B$500),""))</x:f>
      </x:c>
      <x:c r="C232" s="32" t="str">
        <x:f>IF($A232="","",IFERROR(XLOOKUP($A232,'01_Products'!$A$5:$A$500,'01_Products'!$C$5:$C$500),""))</x:f>
      </x:c>
      <x:c r="D232" s="32" t="str">
        <x:f>IF('03_Functionalities'!$A232="","",'03_Functionalities'!$B232)</x:f>
      </x:c>
      <x:c r="E232" s="32" t="str">
        <x:f>IF($D232="","",IFERROR(XLOOKUP($D232,'02_Features'!$A$5:$A$1000,'02_Features'!$C$5:$C$1000),""))</x:f>
      </x:c>
      <x:c r="F232" s="32" t="str">
        <x:f>IF($D232="","",IFERROR(XLOOKUP($D232,'02_Features'!$A$5:$A$1000,'02_Features'!$D$5:$D$1000),""))</x:f>
      </x:c>
      <x:c r="G232" s="32" t="str">
        <x:f>IF($D232="","",IFERROR(XLOOKUP($D232,'02_Features'!$A$5:$A$1000,'02_Features'!$E$5:$E$1000),""))</x:f>
      </x:c>
      <x:c r="H232" s="32" t="str">
        <x:f>IF('03_Functionalities'!$A232="","",'03_Functionalities'!$A232)</x:f>
      </x:c>
      <x:c r="I232" s="32" t="str">
        <x:f>IF($H232="","",'03_Functionalities'!$D232)</x:f>
      </x:c>
      <x:c r="J232" s="32" t="str">
        <x:f>IF($H232="","",'03_Functionalities'!$E232)</x:f>
      </x:c>
      <x:c r="K232" s="32" t="str">
        <x:f>IF($H232="","",'03_Functionalities'!$F232)</x:f>
      </x:c>
      <x:c r="L232" s="32" t="str">
        <x:f>IF($H232="","",'03_Functionalities'!$G232)</x:f>
      </x:c>
      <x:c r="M232" s="32" t="str">
        <x:f>IF($H232="","",'03_Functionalities'!$H232)</x:f>
      </x:c>
      <x:c r="N232" s="32" t="str">
        <x:f>IF($H232="","",'03_Functionalities'!$I232)</x:f>
      </x:c>
      <x:c r="O232" s="32" t="str">
        <x:f>IF($H232="","",'03_Functionalities'!$J232)</x:f>
      </x:c>
      <x:c r="P232" s="32" t="str">
        <x:f>IF($H232="","",'03_Functionalities'!$K232)</x:f>
      </x:c>
      <x:c r="Q232" s="32" t="str">
        <x:f>IF($H232="","",'03_Functionalities'!$L232)</x:f>
      </x:c>
      <x:c r="R232" s="32" t="str">
        <x:f>IF($H232="","",'03_Functionalities'!$M232)</x:f>
      </x:c>
      <x:c r="S232" s="32" t="str">
        <x:f>IF($H232="","",'03_Functionalities'!$N232)</x:f>
      </x:c>
      <x:c r="T232" s="32" t="str">
        <x:f>IF($H232="","",'03_Functionalities'!$O232)</x:f>
      </x:c>
      <x:c r="U232" s="32" t="str">
        <x:f>IF($A232="","",IFERROR(XLOOKUP($A232,'01_Products'!$A$5:$A$500,'01_Products'!$G$5:$G$500),""))</x:f>
      </x:c>
      <x:c r="V232" s="32" t="str">
        <x:f>IF($D232="","",IFERROR(XLOOKUP($D232,'02_Features'!$A$5:$A$1000,'02_Features'!$J$5:$J$1000),""))</x:f>
      </x:c>
      <x:c r="W232" s="32" t="str">
        <x:f>IF($H232="","",'03_Functionalities'!$P232)</x:f>
      </x:c>
      <x:c r="X232" s="32" t="str">
        <x:f>IF($H232="","",'03_Functionalities'!$Q232)</x:f>
      </x:c>
      <x:c r="Y232" s="38"/>
      <x:c r="Z232" s="38"/>
    </x:row>
    <x:row r="233" ht="18" customHeight="1">
      <x:c r="A233" s="32" t="str">
        <x:f>IF('03_Functionalities'!$A233="","",'03_Functionalities'!$C233)</x:f>
      </x:c>
      <x:c r="B233" s="32" t="str">
        <x:f>IF($A233="","",IFERROR(XLOOKUP($A233,'01_Products'!$A$5:$A$500,'01_Products'!$B$5:$B$500),""))</x:f>
      </x:c>
      <x:c r="C233" s="32" t="str">
        <x:f>IF($A233="","",IFERROR(XLOOKUP($A233,'01_Products'!$A$5:$A$500,'01_Products'!$C$5:$C$500),""))</x:f>
      </x:c>
      <x:c r="D233" s="32" t="str">
        <x:f>IF('03_Functionalities'!$A233="","",'03_Functionalities'!$B233)</x:f>
      </x:c>
      <x:c r="E233" s="32" t="str">
        <x:f>IF($D233="","",IFERROR(XLOOKUP($D233,'02_Features'!$A$5:$A$1000,'02_Features'!$C$5:$C$1000),""))</x:f>
      </x:c>
      <x:c r="F233" s="32" t="str">
        <x:f>IF($D233="","",IFERROR(XLOOKUP($D233,'02_Features'!$A$5:$A$1000,'02_Features'!$D$5:$D$1000),""))</x:f>
      </x:c>
      <x:c r="G233" s="32" t="str">
        <x:f>IF($D233="","",IFERROR(XLOOKUP($D233,'02_Features'!$A$5:$A$1000,'02_Features'!$E$5:$E$1000),""))</x:f>
      </x:c>
      <x:c r="H233" s="32" t="str">
        <x:f>IF('03_Functionalities'!$A233="","",'03_Functionalities'!$A233)</x:f>
      </x:c>
      <x:c r="I233" s="32" t="str">
        <x:f>IF($H233="","",'03_Functionalities'!$D233)</x:f>
      </x:c>
      <x:c r="J233" s="32" t="str">
        <x:f>IF($H233="","",'03_Functionalities'!$E233)</x:f>
      </x:c>
      <x:c r="K233" s="32" t="str">
        <x:f>IF($H233="","",'03_Functionalities'!$F233)</x:f>
      </x:c>
      <x:c r="L233" s="32" t="str">
        <x:f>IF($H233="","",'03_Functionalities'!$G233)</x:f>
      </x:c>
      <x:c r="M233" s="32" t="str">
        <x:f>IF($H233="","",'03_Functionalities'!$H233)</x:f>
      </x:c>
      <x:c r="N233" s="32" t="str">
        <x:f>IF($H233="","",'03_Functionalities'!$I233)</x:f>
      </x:c>
      <x:c r="O233" s="32" t="str">
        <x:f>IF($H233="","",'03_Functionalities'!$J233)</x:f>
      </x:c>
      <x:c r="P233" s="32" t="str">
        <x:f>IF($H233="","",'03_Functionalities'!$K233)</x:f>
      </x:c>
      <x:c r="Q233" s="32" t="str">
        <x:f>IF($H233="","",'03_Functionalities'!$L233)</x:f>
      </x:c>
      <x:c r="R233" s="32" t="str">
        <x:f>IF($H233="","",'03_Functionalities'!$M233)</x:f>
      </x:c>
      <x:c r="S233" s="32" t="str">
        <x:f>IF($H233="","",'03_Functionalities'!$N233)</x:f>
      </x:c>
      <x:c r="T233" s="32" t="str">
        <x:f>IF($H233="","",'03_Functionalities'!$O233)</x:f>
      </x:c>
      <x:c r="U233" s="32" t="str">
        <x:f>IF($A233="","",IFERROR(XLOOKUP($A233,'01_Products'!$A$5:$A$500,'01_Products'!$G$5:$G$500),""))</x:f>
      </x:c>
      <x:c r="V233" s="32" t="str">
        <x:f>IF($D233="","",IFERROR(XLOOKUP($D233,'02_Features'!$A$5:$A$1000,'02_Features'!$J$5:$J$1000),""))</x:f>
      </x:c>
      <x:c r="W233" s="32" t="str">
        <x:f>IF($H233="","",'03_Functionalities'!$P233)</x:f>
      </x:c>
      <x:c r="X233" s="32" t="str">
        <x:f>IF($H233="","",'03_Functionalities'!$Q233)</x:f>
      </x:c>
      <x:c r="Y233" s="38"/>
      <x:c r="Z233" s="38"/>
    </x:row>
    <x:row r="234" ht="18" customHeight="1">
      <x:c r="A234" s="32" t="str">
        <x:f>IF('03_Functionalities'!$A234="","",'03_Functionalities'!$C234)</x:f>
      </x:c>
      <x:c r="B234" s="32" t="str">
        <x:f>IF($A234="","",IFERROR(XLOOKUP($A234,'01_Products'!$A$5:$A$500,'01_Products'!$B$5:$B$500),""))</x:f>
      </x:c>
      <x:c r="C234" s="32" t="str">
        <x:f>IF($A234="","",IFERROR(XLOOKUP($A234,'01_Products'!$A$5:$A$500,'01_Products'!$C$5:$C$500),""))</x:f>
      </x:c>
      <x:c r="D234" s="32" t="str">
        <x:f>IF('03_Functionalities'!$A234="","",'03_Functionalities'!$B234)</x:f>
      </x:c>
      <x:c r="E234" s="32" t="str">
        <x:f>IF($D234="","",IFERROR(XLOOKUP($D234,'02_Features'!$A$5:$A$1000,'02_Features'!$C$5:$C$1000),""))</x:f>
      </x:c>
      <x:c r="F234" s="32" t="str">
        <x:f>IF($D234="","",IFERROR(XLOOKUP($D234,'02_Features'!$A$5:$A$1000,'02_Features'!$D$5:$D$1000),""))</x:f>
      </x:c>
      <x:c r="G234" s="32" t="str">
        <x:f>IF($D234="","",IFERROR(XLOOKUP($D234,'02_Features'!$A$5:$A$1000,'02_Features'!$E$5:$E$1000),""))</x:f>
      </x:c>
      <x:c r="H234" s="32" t="str">
        <x:f>IF('03_Functionalities'!$A234="","",'03_Functionalities'!$A234)</x:f>
      </x:c>
      <x:c r="I234" s="32" t="str">
        <x:f>IF($H234="","",'03_Functionalities'!$D234)</x:f>
      </x:c>
      <x:c r="J234" s="32" t="str">
        <x:f>IF($H234="","",'03_Functionalities'!$E234)</x:f>
      </x:c>
      <x:c r="K234" s="32" t="str">
        <x:f>IF($H234="","",'03_Functionalities'!$F234)</x:f>
      </x:c>
      <x:c r="L234" s="32" t="str">
        <x:f>IF($H234="","",'03_Functionalities'!$G234)</x:f>
      </x:c>
      <x:c r="M234" s="32" t="str">
        <x:f>IF($H234="","",'03_Functionalities'!$H234)</x:f>
      </x:c>
      <x:c r="N234" s="32" t="str">
        <x:f>IF($H234="","",'03_Functionalities'!$I234)</x:f>
      </x:c>
      <x:c r="O234" s="32" t="str">
        <x:f>IF($H234="","",'03_Functionalities'!$J234)</x:f>
      </x:c>
      <x:c r="P234" s="32" t="str">
        <x:f>IF($H234="","",'03_Functionalities'!$K234)</x:f>
      </x:c>
      <x:c r="Q234" s="32" t="str">
        <x:f>IF($H234="","",'03_Functionalities'!$L234)</x:f>
      </x:c>
      <x:c r="R234" s="32" t="str">
        <x:f>IF($H234="","",'03_Functionalities'!$M234)</x:f>
      </x:c>
      <x:c r="S234" s="32" t="str">
        <x:f>IF($H234="","",'03_Functionalities'!$N234)</x:f>
      </x:c>
      <x:c r="T234" s="32" t="str">
        <x:f>IF($H234="","",'03_Functionalities'!$O234)</x:f>
      </x:c>
      <x:c r="U234" s="32" t="str">
        <x:f>IF($A234="","",IFERROR(XLOOKUP($A234,'01_Products'!$A$5:$A$500,'01_Products'!$G$5:$G$500),""))</x:f>
      </x:c>
      <x:c r="V234" s="32" t="str">
        <x:f>IF($D234="","",IFERROR(XLOOKUP($D234,'02_Features'!$A$5:$A$1000,'02_Features'!$J$5:$J$1000),""))</x:f>
      </x:c>
      <x:c r="W234" s="32" t="str">
        <x:f>IF($H234="","",'03_Functionalities'!$P234)</x:f>
      </x:c>
      <x:c r="X234" s="32" t="str">
        <x:f>IF($H234="","",'03_Functionalities'!$Q234)</x:f>
      </x:c>
      <x:c r="Y234" s="38"/>
      <x:c r="Z234" s="38"/>
    </x:row>
    <x:row r="235" ht="18" customHeight="1">
      <x:c r="A235" s="32" t="str">
        <x:f>IF('03_Functionalities'!$A235="","",'03_Functionalities'!$C235)</x:f>
      </x:c>
      <x:c r="B235" s="32" t="str">
        <x:f>IF($A235="","",IFERROR(XLOOKUP($A235,'01_Products'!$A$5:$A$500,'01_Products'!$B$5:$B$500),""))</x:f>
      </x:c>
      <x:c r="C235" s="32" t="str">
        <x:f>IF($A235="","",IFERROR(XLOOKUP($A235,'01_Products'!$A$5:$A$500,'01_Products'!$C$5:$C$500),""))</x:f>
      </x:c>
      <x:c r="D235" s="32" t="str">
        <x:f>IF('03_Functionalities'!$A235="","",'03_Functionalities'!$B235)</x:f>
      </x:c>
      <x:c r="E235" s="32" t="str">
        <x:f>IF($D235="","",IFERROR(XLOOKUP($D235,'02_Features'!$A$5:$A$1000,'02_Features'!$C$5:$C$1000),""))</x:f>
      </x:c>
      <x:c r="F235" s="32" t="str">
        <x:f>IF($D235="","",IFERROR(XLOOKUP($D235,'02_Features'!$A$5:$A$1000,'02_Features'!$D$5:$D$1000),""))</x:f>
      </x:c>
      <x:c r="G235" s="32" t="str">
        <x:f>IF($D235="","",IFERROR(XLOOKUP($D235,'02_Features'!$A$5:$A$1000,'02_Features'!$E$5:$E$1000),""))</x:f>
      </x:c>
      <x:c r="H235" s="32" t="str">
        <x:f>IF('03_Functionalities'!$A235="","",'03_Functionalities'!$A235)</x:f>
      </x:c>
      <x:c r="I235" s="32" t="str">
        <x:f>IF($H235="","",'03_Functionalities'!$D235)</x:f>
      </x:c>
      <x:c r="J235" s="32" t="str">
        <x:f>IF($H235="","",'03_Functionalities'!$E235)</x:f>
      </x:c>
      <x:c r="K235" s="32" t="str">
        <x:f>IF($H235="","",'03_Functionalities'!$F235)</x:f>
      </x:c>
      <x:c r="L235" s="32" t="str">
        <x:f>IF($H235="","",'03_Functionalities'!$G235)</x:f>
      </x:c>
      <x:c r="M235" s="32" t="str">
        <x:f>IF($H235="","",'03_Functionalities'!$H235)</x:f>
      </x:c>
      <x:c r="N235" s="32" t="str">
        <x:f>IF($H235="","",'03_Functionalities'!$I235)</x:f>
      </x:c>
      <x:c r="O235" s="32" t="str">
        <x:f>IF($H235="","",'03_Functionalities'!$J235)</x:f>
      </x:c>
      <x:c r="P235" s="32" t="str">
        <x:f>IF($H235="","",'03_Functionalities'!$K235)</x:f>
      </x:c>
      <x:c r="Q235" s="32" t="str">
        <x:f>IF($H235="","",'03_Functionalities'!$L235)</x:f>
      </x:c>
      <x:c r="R235" s="32" t="str">
        <x:f>IF($H235="","",'03_Functionalities'!$M235)</x:f>
      </x:c>
      <x:c r="S235" s="32" t="str">
        <x:f>IF($H235="","",'03_Functionalities'!$N235)</x:f>
      </x:c>
      <x:c r="T235" s="32" t="str">
        <x:f>IF($H235="","",'03_Functionalities'!$O235)</x:f>
      </x:c>
      <x:c r="U235" s="32" t="str">
        <x:f>IF($A235="","",IFERROR(XLOOKUP($A235,'01_Products'!$A$5:$A$500,'01_Products'!$G$5:$G$500),""))</x:f>
      </x:c>
      <x:c r="V235" s="32" t="str">
        <x:f>IF($D235="","",IFERROR(XLOOKUP($D235,'02_Features'!$A$5:$A$1000,'02_Features'!$J$5:$J$1000),""))</x:f>
      </x:c>
      <x:c r="W235" s="32" t="str">
        <x:f>IF($H235="","",'03_Functionalities'!$P235)</x:f>
      </x:c>
      <x:c r="X235" s="32" t="str">
        <x:f>IF($H235="","",'03_Functionalities'!$Q235)</x:f>
      </x:c>
      <x:c r="Y235" s="38"/>
      <x:c r="Z235" s="38"/>
    </x:row>
    <x:row r="236" ht="18" customHeight="1">
      <x:c r="A236" s="32" t="str">
        <x:f>IF('03_Functionalities'!$A236="","",'03_Functionalities'!$C236)</x:f>
      </x:c>
      <x:c r="B236" s="32" t="str">
        <x:f>IF($A236="","",IFERROR(XLOOKUP($A236,'01_Products'!$A$5:$A$500,'01_Products'!$B$5:$B$500),""))</x:f>
      </x:c>
      <x:c r="C236" s="32" t="str">
        <x:f>IF($A236="","",IFERROR(XLOOKUP($A236,'01_Products'!$A$5:$A$500,'01_Products'!$C$5:$C$500),""))</x:f>
      </x:c>
      <x:c r="D236" s="32" t="str">
        <x:f>IF('03_Functionalities'!$A236="","",'03_Functionalities'!$B236)</x:f>
      </x:c>
      <x:c r="E236" s="32" t="str">
        <x:f>IF($D236="","",IFERROR(XLOOKUP($D236,'02_Features'!$A$5:$A$1000,'02_Features'!$C$5:$C$1000),""))</x:f>
      </x:c>
      <x:c r="F236" s="32" t="str">
        <x:f>IF($D236="","",IFERROR(XLOOKUP($D236,'02_Features'!$A$5:$A$1000,'02_Features'!$D$5:$D$1000),""))</x:f>
      </x:c>
      <x:c r="G236" s="32" t="str">
        <x:f>IF($D236="","",IFERROR(XLOOKUP($D236,'02_Features'!$A$5:$A$1000,'02_Features'!$E$5:$E$1000),""))</x:f>
      </x:c>
      <x:c r="H236" s="32" t="str">
        <x:f>IF('03_Functionalities'!$A236="","",'03_Functionalities'!$A236)</x:f>
      </x:c>
      <x:c r="I236" s="32" t="str">
        <x:f>IF($H236="","",'03_Functionalities'!$D236)</x:f>
      </x:c>
      <x:c r="J236" s="32" t="str">
        <x:f>IF($H236="","",'03_Functionalities'!$E236)</x:f>
      </x:c>
      <x:c r="K236" s="32" t="str">
        <x:f>IF($H236="","",'03_Functionalities'!$F236)</x:f>
      </x:c>
      <x:c r="L236" s="32" t="str">
        <x:f>IF($H236="","",'03_Functionalities'!$G236)</x:f>
      </x:c>
      <x:c r="M236" s="32" t="str">
        <x:f>IF($H236="","",'03_Functionalities'!$H236)</x:f>
      </x:c>
      <x:c r="N236" s="32" t="str">
        <x:f>IF($H236="","",'03_Functionalities'!$I236)</x:f>
      </x:c>
      <x:c r="O236" s="32" t="str">
        <x:f>IF($H236="","",'03_Functionalities'!$J236)</x:f>
      </x:c>
      <x:c r="P236" s="32" t="str">
        <x:f>IF($H236="","",'03_Functionalities'!$K236)</x:f>
      </x:c>
      <x:c r="Q236" s="32" t="str">
        <x:f>IF($H236="","",'03_Functionalities'!$L236)</x:f>
      </x:c>
      <x:c r="R236" s="32" t="str">
        <x:f>IF($H236="","",'03_Functionalities'!$M236)</x:f>
      </x:c>
      <x:c r="S236" s="32" t="str">
        <x:f>IF($H236="","",'03_Functionalities'!$N236)</x:f>
      </x:c>
      <x:c r="T236" s="32" t="str">
        <x:f>IF($H236="","",'03_Functionalities'!$O236)</x:f>
      </x:c>
      <x:c r="U236" s="32" t="str">
        <x:f>IF($A236="","",IFERROR(XLOOKUP($A236,'01_Products'!$A$5:$A$500,'01_Products'!$G$5:$G$500),""))</x:f>
      </x:c>
      <x:c r="V236" s="32" t="str">
        <x:f>IF($D236="","",IFERROR(XLOOKUP($D236,'02_Features'!$A$5:$A$1000,'02_Features'!$J$5:$J$1000),""))</x:f>
      </x:c>
      <x:c r="W236" s="32" t="str">
        <x:f>IF($H236="","",'03_Functionalities'!$P236)</x:f>
      </x:c>
      <x:c r="X236" s="32" t="str">
        <x:f>IF($H236="","",'03_Functionalities'!$Q236)</x:f>
      </x:c>
      <x:c r="Y236" s="38"/>
      <x:c r="Z236" s="38"/>
    </x:row>
    <x:row r="237" ht="18" customHeight="1">
      <x:c r="A237" s="32" t="str">
        <x:f>IF('03_Functionalities'!$A237="","",'03_Functionalities'!$C237)</x:f>
      </x:c>
      <x:c r="B237" s="32" t="str">
        <x:f>IF($A237="","",IFERROR(XLOOKUP($A237,'01_Products'!$A$5:$A$500,'01_Products'!$B$5:$B$500),""))</x:f>
      </x:c>
      <x:c r="C237" s="32" t="str">
        <x:f>IF($A237="","",IFERROR(XLOOKUP($A237,'01_Products'!$A$5:$A$500,'01_Products'!$C$5:$C$500),""))</x:f>
      </x:c>
      <x:c r="D237" s="32" t="str">
        <x:f>IF('03_Functionalities'!$A237="","",'03_Functionalities'!$B237)</x:f>
      </x:c>
      <x:c r="E237" s="32" t="str">
        <x:f>IF($D237="","",IFERROR(XLOOKUP($D237,'02_Features'!$A$5:$A$1000,'02_Features'!$C$5:$C$1000),""))</x:f>
      </x:c>
      <x:c r="F237" s="32" t="str">
        <x:f>IF($D237="","",IFERROR(XLOOKUP($D237,'02_Features'!$A$5:$A$1000,'02_Features'!$D$5:$D$1000),""))</x:f>
      </x:c>
      <x:c r="G237" s="32" t="str">
        <x:f>IF($D237="","",IFERROR(XLOOKUP($D237,'02_Features'!$A$5:$A$1000,'02_Features'!$E$5:$E$1000),""))</x:f>
      </x:c>
      <x:c r="H237" s="32" t="str">
        <x:f>IF('03_Functionalities'!$A237="","",'03_Functionalities'!$A237)</x:f>
      </x:c>
      <x:c r="I237" s="32" t="str">
        <x:f>IF($H237="","",'03_Functionalities'!$D237)</x:f>
      </x:c>
      <x:c r="J237" s="32" t="str">
        <x:f>IF($H237="","",'03_Functionalities'!$E237)</x:f>
      </x:c>
      <x:c r="K237" s="32" t="str">
        <x:f>IF($H237="","",'03_Functionalities'!$F237)</x:f>
      </x:c>
      <x:c r="L237" s="32" t="str">
        <x:f>IF($H237="","",'03_Functionalities'!$G237)</x:f>
      </x:c>
      <x:c r="M237" s="32" t="str">
        <x:f>IF($H237="","",'03_Functionalities'!$H237)</x:f>
      </x:c>
      <x:c r="N237" s="32" t="str">
        <x:f>IF($H237="","",'03_Functionalities'!$I237)</x:f>
      </x:c>
      <x:c r="O237" s="32" t="str">
        <x:f>IF($H237="","",'03_Functionalities'!$J237)</x:f>
      </x:c>
      <x:c r="P237" s="32" t="str">
        <x:f>IF($H237="","",'03_Functionalities'!$K237)</x:f>
      </x:c>
      <x:c r="Q237" s="32" t="str">
        <x:f>IF($H237="","",'03_Functionalities'!$L237)</x:f>
      </x:c>
      <x:c r="R237" s="32" t="str">
        <x:f>IF($H237="","",'03_Functionalities'!$M237)</x:f>
      </x:c>
      <x:c r="S237" s="32" t="str">
        <x:f>IF($H237="","",'03_Functionalities'!$N237)</x:f>
      </x:c>
      <x:c r="T237" s="32" t="str">
        <x:f>IF($H237="","",'03_Functionalities'!$O237)</x:f>
      </x:c>
      <x:c r="U237" s="32" t="str">
        <x:f>IF($A237="","",IFERROR(XLOOKUP($A237,'01_Products'!$A$5:$A$500,'01_Products'!$G$5:$G$500),""))</x:f>
      </x:c>
      <x:c r="V237" s="32" t="str">
        <x:f>IF($D237="","",IFERROR(XLOOKUP($D237,'02_Features'!$A$5:$A$1000,'02_Features'!$J$5:$J$1000),""))</x:f>
      </x:c>
      <x:c r="W237" s="32" t="str">
        <x:f>IF($H237="","",'03_Functionalities'!$P237)</x:f>
      </x:c>
      <x:c r="X237" s="32" t="str">
        <x:f>IF($H237="","",'03_Functionalities'!$Q237)</x:f>
      </x:c>
      <x:c r="Y237" s="38"/>
      <x:c r="Z237" s="38"/>
    </x:row>
    <x:row r="238" ht="18" customHeight="1">
      <x:c r="A238" s="32" t="str">
        <x:f>IF('03_Functionalities'!$A238="","",'03_Functionalities'!$C238)</x:f>
      </x:c>
      <x:c r="B238" s="32" t="str">
        <x:f>IF($A238="","",IFERROR(XLOOKUP($A238,'01_Products'!$A$5:$A$500,'01_Products'!$B$5:$B$500),""))</x:f>
      </x:c>
      <x:c r="C238" s="32" t="str">
        <x:f>IF($A238="","",IFERROR(XLOOKUP($A238,'01_Products'!$A$5:$A$500,'01_Products'!$C$5:$C$500),""))</x:f>
      </x:c>
      <x:c r="D238" s="32" t="str">
        <x:f>IF('03_Functionalities'!$A238="","",'03_Functionalities'!$B238)</x:f>
      </x:c>
      <x:c r="E238" s="32" t="str">
        <x:f>IF($D238="","",IFERROR(XLOOKUP($D238,'02_Features'!$A$5:$A$1000,'02_Features'!$C$5:$C$1000),""))</x:f>
      </x:c>
      <x:c r="F238" s="32" t="str">
        <x:f>IF($D238="","",IFERROR(XLOOKUP($D238,'02_Features'!$A$5:$A$1000,'02_Features'!$D$5:$D$1000),""))</x:f>
      </x:c>
      <x:c r="G238" s="32" t="str">
        <x:f>IF($D238="","",IFERROR(XLOOKUP($D238,'02_Features'!$A$5:$A$1000,'02_Features'!$E$5:$E$1000),""))</x:f>
      </x:c>
      <x:c r="H238" s="32" t="str">
        <x:f>IF('03_Functionalities'!$A238="","",'03_Functionalities'!$A238)</x:f>
      </x:c>
      <x:c r="I238" s="32" t="str">
        <x:f>IF($H238="","",'03_Functionalities'!$D238)</x:f>
      </x:c>
      <x:c r="J238" s="32" t="str">
        <x:f>IF($H238="","",'03_Functionalities'!$E238)</x:f>
      </x:c>
      <x:c r="K238" s="32" t="str">
        <x:f>IF($H238="","",'03_Functionalities'!$F238)</x:f>
      </x:c>
      <x:c r="L238" s="32" t="str">
        <x:f>IF($H238="","",'03_Functionalities'!$G238)</x:f>
      </x:c>
      <x:c r="M238" s="32" t="str">
        <x:f>IF($H238="","",'03_Functionalities'!$H238)</x:f>
      </x:c>
      <x:c r="N238" s="32" t="str">
        <x:f>IF($H238="","",'03_Functionalities'!$I238)</x:f>
      </x:c>
      <x:c r="O238" s="32" t="str">
        <x:f>IF($H238="","",'03_Functionalities'!$J238)</x:f>
      </x:c>
      <x:c r="P238" s="32" t="str">
        <x:f>IF($H238="","",'03_Functionalities'!$K238)</x:f>
      </x:c>
      <x:c r="Q238" s="32" t="str">
        <x:f>IF($H238="","",'03_Functionalities'!$L238)</x:f>
      </x:c>
      <x:c r="R238" s="32" t="str">
        <x:f>IF($H238="","",'03_Functionalities'!$M238)</x:f>
      </x:c>
      <x:c r="S238" s="32" t="str">
        <x:f>IF($H238="","",'03_Functionalities'!$N238)</x:f>
      </x:c>
      <x:c r="T238" s="32" t="str">
        <x:f>IF($H238="","",'03_Functionalities'!$O238)</x:f>
      </x:c>
      <x:c r="U238" s="32" t="str">
        <x:f>IF($A238="","",IFERROR(XLOOKUP($A238,'01_Products'!$A$5:$A$500,'01_Products'!$G$5:$G$500),""))</x:f>
      </x:c>
      <x:c r="V238" s="32" t="str">
        <x:f>IF($D238="","",IFERROR(XLOOKUP($D238,'02_Features'!$A$5:$A$1000,'02_Features'!$J$5:$J$1000),""))</x:f>
      </x:c>
      <x:c r="W238" s="32" t="str">
        <x:f>IF($H238="","",'03_Functionalities'!$P238)</x:f>
      </x:c>
      <x:c r="X238" s="32" t="str">
        <x:f>IF($H238="","",'03_Functionalities'!$Q238)</x:f>
      </x:c>
      <x:c r="Y238" s="38"/>
      <x:c r="Z238" s="38"/>
    </x:row>
    <x:row r="239" ht="18" customHeight="1">
      <x:c r="A239" s="32" t="str">
        <x:f>IF('03_Functionalities'!$A239="","",'03_Functionalities'!$C239)</x:f>
      </x:c>
      <x:c r="B239" s="32" t="str">
        <x:f>IF($A239="","",IFERROR(XLOOKUP($A239,'01_Products'!$A$5:$A$500,'01_Products'!$B$5:$B$500),""))</x:f>
      </x:c>
      <x:c r="C239" s="32" t="str">
        <x:f>IF($A239="","",IFERROR(XLOOKUP($A239,'01_Products'!$A$5:$A$500,'01_Products'!$C$5:$C$500),""))</x:f>
      </x:c>
      <x:c r="D239" s="32" t="str">
        <x:f>IF('03_Functionalities'!$A239="","",'03_Functionalities'!$B239)</x:f>
      </x:c>
      <x:c r="E239" s="32" t="str">
        <x:f>IF($D239="","",IFERROR(XLOOKUP($D239,'02_Features'!$A$5:$A$1000,'02_Features'!$C$5:$C$1000),""))</x:f>
      </x:c>
      <x:c r="F239" s="32" t="str">
        <x:f>IF($D239="","",IFERROR(XLOOKUP($D239,'02_Features'!$A$5:$A$1000,'02_Features'!$D$5:$D$1000),""))</x:f>
      </x:c>
      <x:c r="G239" s="32" t="str">
        <x:f>IF($D239="","",IFERROR(XLOOKUP($D239,'02_Features'!$A$5:$A$1000,'02_Features'!$E$5:$E$1000),""))</x:f>
      </x:c>
      <x:c r="H239" s="32" t="str">
        <x:f>IF('03_Functionalities'!$A239="","",'03_Functionalities'!$A239)</x:f>
      </x:c>
      <x:c r="I239" s="32" t="str">
        <x:f>IF($H239="","",'03_Functionalities'!$D239)</x:f>
      </x:c>
      <x:c r="J239" s="32" t="str">
        <x:f>IF($H239="","",'03_Functionalities'!$E239)</x:f>
      </x:c>
      <x:c r="K239" s="32" t="str">
        <x:f>IF($H239="","",'03_Functionalities'!$F239)</x:f>
      </x:c>
      <x:c r="L239" s="32" t="str">
        <x:f>IF($H239="","",'03_Functionalities'!$G239)</x:f>
      </x:c>
      <x:c r="M239" s="32" t="str">
        <x:f>IF($H239="","",'03_Functionalities'!$H239)</x:f>
      </x:c>
      <x:c r="N239" s="32" t="str">
        <x:f>IF($H239="","",'03_Functionalities'!$I239)</x:f>
      </x:c>
      <x:c r="O239" s="32" t="str">
        <x:f>IF($H239="","",'03_Functionalities'!$J239)</x:f>
      </x:c>
      <x:c r="P239" s="32" t="str">
        <x:f>IF($H239="","",'03_Functionalities'!$K239)</x:f>
      </x:c>
      <x:c r="Q239" s="32" t="str">
        <x:f>IF($H239="","",'03_Functionalities'!$L239)</x:f>
      </x:c>
      <x:c r="R239" s="32" t="str">
        <x:f>IF($H239="","",'03_Functionalities'!$M239)</x:f>
      </x:c>
      <x:c r="S239" s="32" t="str">
        <x:f>IF($H239="","",'03_Functionalities'!$N239)</x:f>
      </x:c>
      <x:c r="T239" s="32" t="str">
        <x:f>IF($H239="","",'03_Functionalities'!$O239)</x:f>
      </x:c>
      <x:c r="U239" s="32" t="str">
        <x:f>IF($A239="","",IFERROR(XLOOKUP($A239,'01_Products'!$A$5:$A$500,'01_Products'!$G$5:$G$500),""))</x:f>
      </x:c>
      <x:c r="V239" s="32" t="str">
        <x:f>IF($D239="","",IFERROR(XLOOKUP($D239,'02_Features'!$A$5:$A$1000,'02_Features'!$J$5:$J$1000),""))</x:f>
      </x:c>
      <x:c r="W239" s="32" t="str">
        <x:f>IF($H239="","",'03_Functionalities'!$P239)</x:f>
      </x:c>
      <x:c r="X239" s="32" t="str">
        <x:f>IF($H239="","",'03_Functionalities'!$Q239)</x:f>
      </x:c>
      <x:c r="Y239" s="38"/>
      <x:c r="Z239" s="38"/>
    </x:row>
    <x:row r="240" ht="18" customHeight="1">
      <x:c r="A240" s="32" t="str">
        <x:f>IF('03_Functionalities'!$A240="","",'03_Functionalities'!$C240)</x:f>
      </x:c>
      <x:c r="B240" s="32" t="str">
        <x:f>IF($A240="","",IFERROR(XLOOKUP($A240,'01_Products'!$A$5:$A$500,'01_Products'!$B$5:$B$500),""))</x:f>
      </x:c>
      <x:c r="C240" s="32" t="str">
        <x:f>IF($A240="","",IFERROR(XLOOKUP($A240,'01_Products'!$A$5:$A$500,'01_Products'!$C$5:$C$500),""))</x:f>
      </x:c>
      <x:c r="D240" s="32" t="str">
        <x:f>IF('03_Functionalities'!$A240="","",'03_Functionalities'!$B240)</x:f>
      </x:c>
      <x:c r="E240" s="32" t="str">
        <x:f>IF($D240="","",IFERROR(XLOOKUP($D240,'02_Features'!$A$5:$A$1000,'02_Features'!$C$5:$C$1000),""))</x:f>
      </x:c>
      <x:c r="F240" s="32" t="str">
        <x:f>IF($D240="","",IFERROR(XLOOKUP($D240,'02_Features'!$A$5:$A$1000,'02_Features'!$D$5:$D$1000),""))</x:f>
      </x:c>
      <x:c r="G240" s="32" t="str">
        <x:f>IF($D240="","",IFERROR(XLOOKUP($D240,'02_Features'!$A$5:$A$1000,'02_Features'!$E$5:$E$1000),""))</x:f>
      </x:c>
      <x:c r="H240" s="32" t="str">
        <x:f>IF('03_Functionalities'!$A240="","",'03_Functionalities'!$A240)</x:f>
      </x:c>
      <x:c r="I240" s="32" t="str">
        <x:f>IF($H240="","",'03_Functionalities'!$D240)</x:f>
      </x:c>
      <x:c r="J240" s="32" t="str">
        <x:f>IF($H240="","",'03_Functionalities'!$E240)</x:f>
      </x:c>
      <x:c r="K240" s="32" t="str">
        <x:f>IF($H240="","",'03_Functionalities'!$F240)</x:f>
      </x:c>
      <x:c r="L240" s="32" t="str">
        <x:f>IF($H240="","",'03_Functionalities'!$G240)</x:f>
      </x:c>
      <x:c r="M240" s="32" t="str">
        <x:f>IF($H240="","",'03_Functionalities'!$H240)</x:f>
      </x:c>
      <x:c r="N240" s="32" t="str">
        <x:f>IF($H240="","",'03_Functionalities'!$I240)</x:f>
      </x:c>
      <x:c r="O240" s="32" t="str">
        <x:f>IF($H240="","",'03_Functionalities'!$J240)</x:f>
      </x:c>
      <x:c r="P240" s="32" t="str">
        <x:f>IF($H240="","",'03_Functionalities'!$K240)</x:f>
      </x:c>
      <x:c r="Q240" s="32" t="str">
        <x:f>IF($H240="","",'03_Functionalities'!$L240)</x:f>
      </x:c>
      <x:c r="R240" s="32" t="str">
        <x:f>IF($H240="","",'03_Functionalities'!$M240)</x:f>
      </x:c>
      <x:c r="S240" s="32" t="str">
        <x:f>IF($H240="","",'03_Functionalities'!$N240)</x:f>
      </x:c>
      <x:c r="T240" s="32" t="str">
        <x:f>IF($H240="","",'03_Functionalities'!$O240)</x:f>
      </x:c>
      <x:c r="U240" s="32" t="str">
        <x:f>IF($A240="","",IFERROR(XLOOKUP($A240,'01_Products'!$A$5:$A$500,'01_Products'!$G$5:$G$500),""))</x:f>
      </x:c>
      <x:c r="V240" s="32" t="str">
        <x:f>IF($D240="","",IFERROR(XLOOKUP($D240,'02_Features'!$A$5:$A$1000,'02_Features'!$J$5:$J$1000),""))</x:f>
      </x:c>
      <x:c r="W240" s="32" t="str">
        <x:f>IF($H240="","",'03_Functionalities'!$P240)</x:f>
      </x:c>
      <x:c r="X240" s="32" t="str">
        <x:f>IF($H240="","",'03_Functionalities'!$Q240)</x:f>
      </x:c>
      <x:c r="Y240" s="38"/>
      <x:c r="Z240" s="38"/>
    </x:row>
    <x:row r="241" ht="18" customHeight="1">
      <x:c r="A241" s="32" t="str">
        <x:f>IF('03_Functionalities'!$A241="","",'03_Functionalities'!$C241)</x:f>
      </x:c>
      <x:c r="B241" s="32" t="str">
        <x:f>IF($A241="","",IFERROR(XLOOKUP($A241,'01_Products'!$A$5:$A$500,'01_Products'!$B$5:$B$500),""))</x:f>
      </x:c>
      <x:c r="C241" s="32" t="str">
        <x:f>IF($A241="","",IFERROR(XLOOKUP($A241,'01_Products'!$A$5:$A$500,'01_Products'!$C$5:$C$500),""))</x:f>
      </x:c>
      <x:c r="D241" s="32" t="str">
        <x:f>IF('03_Functionalities'!$A241="","",'03_Functionalities'!$B241)</x:f>
      </x:c>
      <x:c r="E241" s="32" t="str">
        <x:f>IF($D241="","",IFERROR(XLOOKUP($D241,'02_Features'!$A$5:$A$1000,'02_Features'!$C$5:$C$1000),""))</x:f>
      </x:c>
      <x:c r="F241" s="32" t="str">
        <x:f>IF($D241="","",IFERROR(XLOOKUP($D241,'02_Features'!$A$5:$A$1000,'02_Features'!$D$5:$D$1000),""))</x:f>
      </x:c>
      <x:c r="G241" s="32" t="str">
        <x:f>IF($D241="","",IFERROR(XLOOKUP($D241,'02_Features'!$A$5:$A$1000,'02_Features'!$E$5:$E$1000),""))</x:f>
      </x:c>
      <x:c r="H241" s="32" t="str">
        <x:f>IF('03_Functionalities'!$A241="","",'03_Functionalities'!$A241)</x:f>
      </x:c>
      <x:c r="I241" s="32" t="str">
        <x:f>IF($H241="","",'03_Functionalities'!$D241)</x:f>
      </x:c>
      <x:c r="J241" s="32" t="str">
        <x:f>IF($H241="","",'03_Functionalities'!$E241)</x:f>
      </x:c>
      <x:c r="K241" s="32" t="str">
        <x:f>IF($H241="","",'03_Functionalities'!$F241)</x:f>
      </x:c>
      <x:c r="L241" s="32" t="str">
        <x:f>IF($H241="","",'03_Functionalities'!$G241)</x:f>
      </x:c>
      <x:c r="M241" s="32" t="str">
        <x:f>IF($H241="","",'03_Functionalities'!$H241)</x:f>
      </x:c>
      <x:c r="N241" s="32" t="str">
        <x:f>IF($H241="","",'03_Functionalities'!$I241)</x:f>
      </x:c>
      <x:c r="O241" s="32" t="str">
        <x:f>IF($H241="","",'03_Functionalities'!$J241)</x:f>
      </x:c>
      <x:c r="P241" s="32" t="str">
        <x:f>IF($H241="","",'03_Functionalities'!$K241)</x:f>
      </x:c>
      <x:c r="Q241" s="32" t="str">
        <x:f>IF($H241="","",'03_Functionalities'!$L241)</x:f>
      </x:c>
      <x:c r="R241" s="32" t="str">
        <x:f>IF($H241="","",'03_Functionalities'!$M241)</x:f>
      </x:c>
      <x:c r="S241" s="32" t="str">
        <x:f>IF($H241="","",'03_Functionalities'!$N241)</x:f>
      </x:c>
      <x:c r="T241" s="32" t="str">
        <x:f>IF($H241="","",'03_Functionalities'!$O241)</x:f>
      </x:c>
      <x:c r="U241" s="32" t="str">
        <x:f>IF($A241="","",IFERROR(XLOOKUP($A241,'01_Products'!$A$5:$A$500,'01_Products'!$G$5:$G$500),""))</x:f>
      </x:c>
      <x:c r="V241" s="32" t="str">
        <x:f>IF($D241="","",IFERROR(XLOOKUP($D241,'02_Features'!$A$5:$A$1000,'02_Features'!$J$5:$J$1000),""))</x:f>
      </x:c>
      <x:c r="W241" s="32" t="str">
        <x:f>IF($H241="","",'03_Functionalities'!$P241)</x:f>
      </x:c>
      <x:c r="X241" s="32" t="str">
        <x:f>IF($H241="","",'03_Functionalities'!$Q241)</x:f>
      </x:c>
      <x:c r="Y241" s="38"/>
      <x:c r="Z241" s="38"/>
    </x:row>
    <x:row r="242" ht="18" customHeight="1">
      <x:c r="A242" s="32" t="str">
        <x:f>IF('03_Functionalities'!$A242="","",'03_Functionalities'!$C242)</x:f>
      </x:c>
      <x:c r="B242" s="32" t="str">
        <x:f>IF($A242="","",IFERROR(XLOOKUP($A242,'01_Products'!$A$5:$A$500,'01_Products'!$B$5:$B$500),""))</x:f>
      </x:c>
      <x:c r="C242" s="32" t="str">
        <x:f>IF($A242="","",IFERROR(XLOOKUP($A242,'01_Products'!$A$5:$A$500,'01_Products'!$C$5:$C$500),""))</x:f>
      </x:c>
      <x:c r="D242" s="32" t="str">
        <x:f>IF('03_Functionalities'!$A242="","",'03_Functionalities'!$B242)</x:f>
      </x:c>
      <x:c r="E242" s="32" t="str">
        <x:f>IF($D242="","",IFERROR(XLOOKUP($D242,'02_Features'!$A$5:$A$1000,'02_Features'!$C$5:$C$1000),""))</x:f>
      </x:c>
      <x:c r="F242" s="32" t="str">
        <x:f>IF($D242="","",IFERROR(XLOOKUP($D242,'02_Features'!$A$5:$A$1000,'02_Features'!$D$5:$D$1000),""))</x:f>
      </x:c>
      <x:c r="G242" s="32" t="str">
        <x:f>IF($D242="","",IFERROR(XLOOKUP($D242,'02_Features'!$A$5:$A$1000,'02_Features'!$E$5:$E$1000),""))</x:f>
      </x:c>
      <x:c r="H242" s="32" t="str">
        <x:f>IF('03_Functionalities'!$A242="","",'03_Functionalities'!$A242)</x:f>
      </x:c>
      <x:c r="I242" s="32" t="str">
        <x:f>IF($H242="","",'03_Functionalities'!$D242)</x:f>
      </x:c>
      <x:c r="J242" s="32" t="str">
        <x:f>IF($H242="","",'03_Functionalities'!$E242)</x:f>
      </x:c>
      <x:c r="K242" s="32" t="str">
        <x:f>IF($H242="","",'03_Functionalities'!$F242)</x:f>
      </x:c>
      <x:c r="L242" s="32" t="str">
        <x:f>IF($H242="","",'03_Functionalities'!$G242)</x:f>
      </x:c>
      <x:c r="M242" s="32" t="str">
        <x:f>IF($H242="","",'03_Functionalities'!$H242)</x:f>
      </x:c>
      <x:c r="N242" s="32" t="str">
        <x:f>IF($H242="","",'03_Functionalities'!$I242)</x:f>
      </x:c>
      <x:c r="O242" s="32" t="str">
        <x:f>IF($H242="","",'03_Functionalities'!$J242)</x:f>
      </x:c>
      <x:c r="P242" s="32" t="str">
        <x:f>IF($H242="","",'03_Functionalities'!$K242)</x:f>
      </x:c>
      <x:c r="Q242" s="32" t="str">
        <x:f>IF($H242="","",'03_Functionalities'!$L242)</x:f>
      </x:c>
      <x:c r="R242" s="32" t="str">
        <x:f>IF($H242="","",'03_Functionalities'!$M242)</x:f>
      </x:c>
      <x:c r="S242" s="32" t="str">
        <x:f>IF($H242="","",'03_Functionalities'!$N242)</x:f>
      </x:c>
      <x:c r="T242" s="32" t="str">
        <x:f>IF($H242="","",'03_Functionalities'!$O242)</x:f>
      </x:c>
      <x:c r="U242" s="32" t="str">
        <x:f>IF($A242="","",IFERROR(XLOOKUP($A242,'01_Products'!$A$5:$A$500,'01_Products'!$G$5:$G$500),""))</x:f>
      </x:c>
      <x:c r="V242" s="32" t="str">
        <x:f>IF($D242="","",IFERROR(XLOOKUP($D242,'02_Features'!$A$5:$A$1000,'02_Features'!$J$5:$J$1000),""))</x:f>
      </x:c>
      <x:c r="W242" s="32" t="str">
        <x:f>IF($H242="","",'03_Functionalities'!$P242)</x:f>
      </x:c>
      <x:c r="X242" s="32" t="str">
        <x:f>IF($H242="","",'03_Functionalities'!$Q242)</x:f>
      </x:c>
      <x:c r="Y242" s="38"/>
      <x:c r="Z242" s="38"/>
    </x:row>
    <x:row r="243" ht="18" customHeight="1">
      <x:c r="A243" s="32" t="str">
        <x:f>IF('03_Functionalities'!$A243="","",'03_Functionalities'!$C243)</x:f>
      </x:c>
      <x:c r="B243" s="32" t="str">
        <x:f>IF($A243="","",IFERROR(XLOOKUP($A243,'01_Products'!$A$5:$A$500,'01_Products'!$B$5:$B$500),""))</x:f>
      </x:c>
      <x:c r="C243" s="32" t="str">
        <x:f>IF($A243="","",IFERROR(XLOOKUP($A243,'01_Products'!$A$5:$A$500,'01_Products'!$C$5:$C$500),""))</x:f>
      </x:c>
      <x:c r="D243" s="32" t="str">
        <x:f>IF('03_Functionalities'!$A243="","",'03_Functionalities'!$B243)</x:f>
      </x:c>
      <x:c r="E243" s="32" t="str">
        <x:f>IF($D243="","",IFERROR(XLOOKUP($D243,'02_Features'!$A$5:$A$1000,'02_Features'!$C$5:$C$1000),""))</x:f>
      </x:c>
      <x:c r="F243" s="32" t="str">
        <x:f>IF($D243="","",IFERROR(XLOOKUP($D243,'02_Features'!$A$5:$A$1000,'02_Features'!$D$5:$D$1000),""))</x:f>
      </x:c>
      <x:c r="G243" s="32" t="str">
        <x:f>IF($D243="","",IFERROR(XLOOKUP($D243,'02_Features'!$A$5:$A$1000,'02_Features'!$E$5:$E$1000),""))</x:f>
      </x:c>
      <x:c r="H243" s="32" t="str">
        <x:f>IF('03_Functionalities'!$A243="","",'03_Functionalities'!$A243)</x:f>
      </x:c>
      <x:c r="I243" s="32" t="str">
        <x:f>IF($H243="","",'03_Functionalities'!$D243)</x:f>
      </x:c>
      <x:c r="J243" s="32" t="str">
        <x:f>IF($H243="","",'03_Functionalities'!$E243)</x:f>
      </x:c>
      <x:c r="K243" s="32" t="str">
        <x:f>IF($H243="","",'03_Functionalities'!$F243)</x:f>
      </x:c>
      <x:c r="L243" s="32" t="str">
        <x:f>IF($H243="","",'03_Functionalities'!$G243)</x:f>
      </x:c>
      <x:c r="M243" s="32" t="str">
        <x:f>IF($H243="","",'03_Functionalities'!$H243)</x:f>
      </x:c>
      <x:c r="N243" s="32" t="str">
        <x:f>IF($H243="","",'03_Functionalities'!$I243)</x:f>
      </x:c>
      <x:c r="O243" s="32" t="str">
        <x:f>IF($H243="","",'03_Functionalities'!$J243)</x:f>
      </x:c>
      <x:c r="P243" s="32" t="str">
        <x:f>IF($H243="","",'03_Functionalities'!$K243)</x:f>
      </x:c>
      <x:c r="Q243" s="32" t="str">
        <x:f>IF($H243="","",'03_Functionalities'!$L243)</x:f>
      </x:c>
      <x:c r="R243" s="32" t="str">
        <x:f>IF($H243="","",'03_Functionalities'!$M243)</x:f>
      </x:c>
      <x:c r="S243" s="32" t="str">
        <x:f>IF($H243="","",'03_Functionalities'!$N243)</x:f>
      </x:c>
      <x:c r="T243" s="32" t="str">
        <x:f>IF($H243="","",'03_Functionalities'!$O243)</x:f>
      </x:c>
      <x:c r="U243" s="32" t="str">
        <x:f>IF($A243="","",IFERROR(XLOOKUP($A243,'01_Products'!$A$5:$A$500,'01_Products'!$G$5:$G$500),""))</x:f>
      </x:c>
      <x:c r="V243" s="32" t="str">
        <x:f>IF($D243="","",IFERROR(XLOOKUP($D243,'02_Features'!$A$5:$A$1000,'02_Features'!$J$5:$J$1000),""))</x:f>
      </x:c>
      <x:c r="W243" s="32" t="str">
        <x:f>IF($H243="","",'03_Functionalities'!$P243)</x:f>
      </x:c>
      <x:c r="X243" s="32" t="str">
        <x:f>IF($H243="","",'03_Functionalities'!$Q243)</x:f>
      </x:c>
      <x:c r="Y243" s="38"/>
      <x:c r="Z243" s="38"/>
    </x:row>
    <x:row r="244" ht="18" customHeight="1">
      <x:c r="A244" s="32" t="str">
        <x:f>IF('03_Functionalities'!$A244="","",'03_Functionalities'!$C244)</x:f>
      </x:c>
      <x:c r="B244" s="32" t="str">
        <x:f>IF($A244="","",IFERROR(XLOOKUP($A244,'01_Products'!$A$5:$A$500,'01_Products'!$B$5:$B$500),""))</x:f>
      </x:c>
      <x:c r="C244" s="32" t="str">
        <x:f>IF($A244="","",IFERROR(XLOOKUP($A244,'01_Products'!$A$5:$A$500,'01_Products'!$C$5:$C$500),""))</x:f>
      </x:c>
      <x:c r="D244" s="32" t="str">
        <x:f>IF('03_Functionalities'!$A244="","",'03_Functionalities'!$B244)</x:f>
      </x:c>
      <x:c r="E244" s="32" t="str">
        <x:f>IF($D244="","",IFERROR(XLOOKUP($D244,'02_Features'!$A$5:$A$1000,'02_Features'!$C$5:$C$1000),""))</x:f>
      </x:c>
      <x:c r="F244" s="32" t="str">
        <x:f>IF($D244="","",IFERROR(XLOOKUP($D244,'02_Features'!$A$5:$A$1000,'02_Features'!$D$5:$D$1000),""))</x:f>
      </x:c>
      <x:c r="G244" s="32" t="str">
        <x:f>IF($D244="","",IFERROR(XLOOKUP($D244,'02_Features'!$A$5:$A$1000,'02_Features'!$E$5:$E$1000),""))</x:f>
      </x:c>
      <x:c r="H244" s="32" t="str">
        <x:f>IF('03_Functionalities'!$A244="","",'03_Functionalities'!$A244)</x:f>
      </x:c>
      <x:c r="I244" s="32" t="str">
        <x:f>IF($H244="","",'03_Functionalities'!$D244)</x:f>
      </x:c>
      <x:c r="J244" s="32" t="str">
        <x:f>IF($H244="","",'03_Functionalities'!$E244)</x:f>
      </x:c>
      <x:c r="K244" s="32" t="str">
        <x:f>IF($H244="","",'03_Functionalities'!$F244)</x:f>
      </x:c>
      <x:c r="L244" s="32" t="str">
        <x:f>IF($H244="","",'03_Functionalities'!$G244)</x:f>
      </x:c>
      <x:c r="M244" s="32" t="str">
        <x:f>IF($H244="","",'03_Functionalities'!$H244)</x:f>
      </x:c>
      <x:c r="N244" s="32" t="str">
        <x:f>IF($H244="","",'03_Functionalities'!$I244)</x:f>
      </x:c>
      <x:c r="O244" s="32" t="str">
        <x:f>IF($H244="","",'03_Functionalities'!$J244)</x:f>
      </x:c>
      <x:c r="P244" s="32" t="str">
        <x:f>IF($H244="","",'03_Functionalities'!$K244)</x:f>
      </x:c>
      <x:c r="Q244" s="32" t="str">
        <x:f>IF($H244="","",'03_Functionalities'!$L244)</x:f>
      </x:c>
      <x:c r="R244" s="32" t="str">
        <x:f>IF($H244="","",'03_Functionalities'!$M244)</x:f>
      </x:c>
      <x:c r="S244" s="32" t="str">
        <x:f>IF($H244="","",'03_Functionalities'!$N244)</x:f>
      </x:c>
      <x:c r="T244" s="32" t="str">
        <x:f>IF($H244="","",'03_Functionalities'!$O244)</x:f>
      </x:c>
      <x:c r="U244" s="32" t="str">
        <x:f>IF($A244="","",IFERROR(XLOOKUP($A244,'01_Products'!$A$5:$A$500,'01_Products'!$G$5:$G$500),""))</x:f>
      </x:c>
      <x:c r="V244" s="32" t="str">
        <x:f>IF($D244="","",IFERROR(XLOOKUP($D244,'02_Features'!$A$5:$A$1000,'02_Features'!$J$5:$J$1000),""))</x:f>
      </x:c>
      <x:c r="W244" s="32" t="str">
        <x:f>IF($H244="","",'03_Functionalities'!$P244)</x:f>
      </x:c>
      <x:c r="X244" s="32" t="str">
        <x:f>IF($H244="","",'03_Functionalities'!$Q244)</x:f>
      </x:c>
      <x:c r="Y244" s="38"/>
      <x:c r="Z244" s="38"/>
    </x:row>
    <x:row r="245" ht="18" customHeight="1">
      <x:c r="A245" s="32" t="str">
        <x:f>IF('03_Functionalities'!$A245="","",'03_Functionalities'!$C245)</x:f>
      </x:c>
      <x:c r="B245" s="32" t="str">
        <x:f>IF($A245="","",IFERROR(XLOOKUP($A245,'01_Products'!$A$5:$A$500,'01_Products'!$B$5:$B$500),""))</x:f>
      </x:c>
      <x:c r="C245" s="32" t="str">
        <x:f>IF($A245="","",IFERROR(XLOOKUP($A245,'01_Products'!$A$5:$A$500,'01_Products'!$C$5:$C$500),""))</x:f>
      </x:c>
      <x:c r="D245" s="32" t="str">
        <x:f>IF('03_Functionalities'!$A245="","",'03_Functionalities'!$B245)</x:f>
      </x:c>
      <x:c r="E245" s="32" t="str">
        <x:f>IF($D245="","",IFERROR(XLOOKUP($D245,'02_Features'!$A$5:$A$1000,'02_Features'!$C$5:$C$1000),""))</x:f>
      </x:c>
      <x:c r="F245" s="32" t="str">
        <x:f>IF($D245="","",IFERROR(XLOOKUP($D245,'02_Features'!$A$5:$A$1000,'02_Features'!$D$5:$D$1000),""))</x:f>
      </x:c>
      <x:c r="G245" s="32" t="str">
        <x:f>IF($D245="","",IFERROR(XLOOKUP($D245,'02_Features'!$A$5:$A$1000,'02_Features'!$E$5:$E$1000),""))</x:f>
      </x:c>
      <x:c r="H245" s="32" t="str">
        <x:f>IF('03_Functionalities'!$A245="","",'03_Functionalities'!$A245)</x:f>
      </x:c>
      <x:c r="I245" s="32" t="str">
        <x:f>IF($H245="","",'03_Functionalities'!$D245)</x:f>
      </x:c>
      <x:c r="J245" s="32" t="str">
        <x:f>IF($H245="","",'03_Functionalities'!$E245)</x:f>
      </x:c>
      <x:c r="K245" s="32" t="str">
        <x:f>IF($H245="","",'03_Functionalities'!$F245)</x:f>
      </x:c>
      <x:c r="L245" s="32" t="str">
        <x:f>IF($H245="","",'03_Functionalities'!$G245)</x:f>
      </x:c>
      <x:c r="M245" s="32" t="str">
        <x:f>IF($H245="","",'03_Functionalities'!$H245)</x:f>
      </x:c>
      <x:c r="N245" s="32" t="str">
        <x:f>IF($H245="","",'03_Functionalities'!$I245)</x:f>
      </x:c>
      <x:c r="O245" s="32" t="str">
        <x:f>IF($H245="","",'03_Functionalities'!$J245)</x:f>
      </x:c>
      <x:c r="P245" s="32" t="str">
        <x:f>IF($H245="","",'03_Functionalities'!$K245)</x:f>
      </x:c>
      <x:c r="Q245" s="32" t="str">
        <x:f>IF($H245="","",'03_Functionalities'!$L245)</x:f>
      </x:c>
      <x:c r="R245" s="32" t="str">
        <x:f>IF($H245="","",'03_Functionalities'!$M245)</x:f>
      </x:c>
      <x:c r="S245" s="32" t="str">
        <x:f>IF($H245="","",'03_Functionalities'!$N245)</x:f>
      </x:c>
      <x:c r="T245" s="32" t="str">
        <x:f>IF($H245="","",'03_Functionalities'!$O245)</x:f>
      </x:c>
      <x:c r="U245" s="32" t="str">
        <x:f>IF($A245="","",IFERROR(XLOOKUP($A245,'01_Products'!$A$5:$A$500,'01_Products'!$G$5:$G$500),""))</x:f>
      </x:c>
      <x:c r="V245" s="32" t="str">
        <x:f>IF($D245="","",IFERROR(XLOOKUP($D245,'02_Features'!$A$5:$A$1000,'02_Features'!$J$5:$J$1000),""))</x:f>
      </x:c>
      <x:c r="W245" s="32" t="str">
        <x:f>IF($H245="","",'03_Functionalities'!$P245)</x:f>
      </x:c>
      <x:c r="X245" s="32" t="str">
        <x:f>IF($H245="","",'03_Functionalities'!$Q245)</x:f>
      </x:c>
      <x:c r="Y245" s="38"/>
      <x:c r="Z245" s="38"/>
    </x:row>
    <x:row r="246" ht="18" customHeight="1">
      <x:c r="A246" s="32" t="str">
        <x:f>IF('03_Functionalities'!$A246="","",'03_Functionalities'!$C246)</x:f>
      </x:c>
      <x:c r="B246" s="32" t="str">
        <x:f>IF($A246="","",IFERROR(XLOOKUP($A246,'01_Products'!$A$5:$A$500,'01_Products'!$B$5:$B$500),""))</x:f>
      </x:c>
      <x:c r="C246" s="32" t="str">
        <x:f>IF($A246="","",IFERROR(XLOOKUP($A246,'01_Products'!$A$5:$A$500,'01_Products'!$C$5:$C$500),""))</x:f>
      </x:c>
      <x:c r="D246" s="32" t="str">
        <x:f>IF('03_Functionalities'!$A246="","",'03_Functionalities'!$B246)</x:f>
      </x:c>
      <x:c r="E246" s="32" t="str">
        <x:f>IF($D246="","",IFERROR(XLOOKUP($D246,'02_Features'!$A$5:$A$1000,'02_Features'!$C$5:$C$1000),""))</x:f>
      </x:c>
      <x:c r="F246" s="32" t="str">
        <x:f>IF($D246="","",IFERROR(XLOOKUP($D246,'02_Features'!$A$5:$A$1000,'02_Features'!$D$5:$D$1000),""))</x:f>
      </x:c>
      <x:c r="G246" s="32" t="str">
        <x:f>IF($D246="","",IFERROR(XLOOKUP($D246,'02_Features'!$A$5:$A$1000,'02_Features'!$E$5:$E$1000),""))</x:f>
      </x:c>
      <x:c r="H246" s="32" t="str">
        <x:f>IF('03_Functionalities'!$A246="","",'03_Functionalities'!$A246)</x:f>
      </x:c>
      <x:c r="I246" s="32" t="str">
        <x:f>IF($H246="","",'03_Functionalities'!$D246)</x:f>
      </x:c>
      <x:c r="J246" s="32" t="str">
        <x:f>IF($H246="","",'03_Functionalities'!$E246)</x:f>
      </x:c>
      <x:c r="K246" s="32" t="str">
        <x:f>IF($H246="","",'03_Functionalities'!$F246)</x:f>
      </x:c>
      <x:c r="L246" s="32" t="str">
        <x:f>IF($H246="","",'03_Functionalities'!$G246)</x:f>
      </x:c>
      <x:c r="M246" s="32" t="str">
        <x:f>IF($H246="","",'03_Functionalities'!$H246)</x:f>
      </x:c>
      <x:c r="N246" s="32" t="str">
        <x:f>IF($H246="","",'03_Functionalities'!$I246)</x:f>
      </x:c>
      <x:c r="O246" s="32" t="str">
        <x:f>IF($H246="","",'03_Functionalities'!$J246)</x:f>
      </x:c>
      <x:c r="P246" s="32" t="str">
        <x:f>IF($H246="","",'03_Functionalities'!$K246)</x:f>
      </x:c>
      <x:c r="Q246" s="32" t="str">
        <x:f>IF($H246="","",'03_Functionalities'!$L246)</x:f>
      </x:c>
      <x:c r="R246" s="32" t="str">
        <x:f>IF($H246="","",'03_Functionalities'!$M246)</x:f>
      </x:c>
      <x:c r="S246" s="32" t="str">
        <x:f>IF($H246="","",'03_Functionalities'!$N246)</x:f>
      </x:c>
      <x:c r="T246" s="32" t="str">
        <x:f>IF($H246="","",'03_Functionalities'!$O246)</x:f>
      </x:c>
      <x:c r="U246" s="32" t="str">
        <x:f>IF($A246="","",IFERROR(XLOOKUP($A246,'01_Products'!$A$5:$A$500,'01_Products'!$G$5:$G$500),""))</x:f>
      </x:c>
      <x:c r="V246" s="32" t="str">
        <x:f>IF($D246="","",IFERROR(XLOOKUP($D246,'02_Features'!$A$5:$A$1000,'02_Features'!$J$5:$J$1000),""))</x:f>
      </x:c>
      <x:c r="W246" s="32" t="str">
        <x:f>IF($H246="","",'03_Functionalities'!$P246)</x:f>
      </x:c>
      <x:c r="X246" s="32" t="str">
        <x:f>IF($H246="","",'03_Functionalities'!$Q246)</x:f>
      </x:c>
      <x:c r="Y246" s="38"/>
      <x:c r="Z246" s="38"/>
    </x:row>
    <x:row r="247" ht="18" customHeight="1">
      <x:c r="A247" s="32" t="str">
        <x:f>IF('03_Functionalities'!$A247="","",'03_Functionalities'!$C247)</x:f>
      </x:c>
      <x:c r="B247" s="32" t="str">
        <x:f>IF($A247="","",IFERROR(XLOOKUP($A247,'01_Products'!$A$5:$A$500,'01_Products'!$B$5:$B$500),""))</x:f>
      </x:c>
      <x:c r="C247" s="32" t="str">
        <x:f>IF($A247="","",IFERROR(XLOOKUP($A247,'01_Products'!$A$5:$A$500,'01_Products'!$C$5:$C$500),""))</x:f>
      </x:c>
      <x:c r="D247" s="32" t="str">
        <x:f>IF('03_Functionalities'!$A247="","",'03_Functionalities'!$B247)</x:f>
      </x:c>
      <x:c r="E247" s="32" t="str">
        <x:f>IF($D247="","",IFERROR(XLOOKUP($D247,'02_Features'!$A$5:$A$1000,'02_Features'!$C$5:$C$1000),""))</x:f>
      </x:c>
      <x:c r="F247" s="32" t="str">
        <x:f>IF($D247="","",IFERROR(XLOOKUP($D247,'02_Features'!$A$5:$A$1000,'02_Features'!$D$5:$D$1000),""))</x:f>
      </x:c>
      <x:c r="G247" s="32" t="str">
        <x:f>IF($D247="","",IFERROR(XLOOKUP($D247,'02_Features'!$A$5:$A$1000,'02_Features'!$E$5:$E$1000),""))</x:f>
      </x:c>
      <x:c r="H247" s="32" t="str">
        <x:f>IF('03_Functionalities'!$A247="","",'03_Functionalities'!$A247)</x:f>
      </x:c>
      <x:c r="I247" s="32" t="str">
        <x:f>IF($H247="","",'03_Functionalities'!$D247)</x:f>
      </x:c>
      <x:c r="J247" s="32" t="str">
        <x:f>IF($H247="","",'03_Functionalities'!$E247)</x:f>
      </x:c>
      <x:c r="K247" s="32" t="str">
        <x:f>IF($H247="","",'03_Functionalities'!$F247)</x:f>
      </x:c>
      <x:c r="L247" s="32" t="str">
        <x:f>IF($H247="","",'03_Functionalities'!$G247)</x:f>
      </x:c>
      <x:c r="M247" s="32" t="str">
        <x:f>IF($H247="","",'03_Functionalities'!$H247)</x:f>
      </x:c>
      <x:c r="N247" s="32" t="str">
        <x:f>IF($H247="","",'03_Functionalities'!$I247)</x:f>
      </x:c>
      <x:c r="O247" s="32" t="str">
        <x:f>IF($H247="","",'03_Functionalities'!$J247)</x:f>
      </x:c>
      <x:c r="P247" s="32" t="str">
        <x:f>IF($H247="","",'03_Functionalities'!$K247)</x:f>
      </x:c>
      <x:c r="Q247" s="32" t="str">
        <x:f>IF($H247="","",'03_Functionalities'!$L247)</x:f>
      </x:c>
      <x:c r="R247" s="32" t="str">
        <x:f>IF($H247="","",'03_Functionalities'!$M247)</x:f>
      </x:c>
      <x:c r="S247" s="32" t="str">
        <x:f>IF($H247="","",'03_Functionalities'!$N247)</x:f>
      </x:c>
      <x:c r="T247" s="32" t="str">
        <x:f>IF($H247="","",'03_Functionalities'!$O247)</x:f>
      </x:c>
      <x:c r="U247" s="32" t="str">
        <x:f>IF($A247="","",IFERROR(XLOOKUP($A247,'01_Products'!$A$5:$A$500,'01_Products'!$G$5:$G$500),""))</x:f>
      </x:c>
      <x:c r="V247" s="32" t="str">
        <x:f>IF($D247="","",IFERROR(XLOOKUP($D247,'02_Features'!$A$5:$A$1000,'02_Features'!$J$5:$J$1000),""))</x:f>
      </x:c>
      <x:c r="W247" s="32" t="str">
        <x:f>IF($H247="","",'03_Functionalities'!$P247)</x:f>
      </x:c>
      <x:c r="X247" s="32" t="str">
        <x:f>IF($H247="","",'03_Functionalities'!$Q247)</x:f>
      </x:c>
      <x:c r="Y247" s="38"/>
      <x:c r="Z247" s="38"/>
    </x:row>
    <x:row r="248" ht="18" customHeight="1">
      <x:c r="A248" s="32" t="str">
        <x:f>IF('03_Functionalities'!$A248="","",'03_Functionalities'!$C248)</x:f>
      </x:c>
      <x:c r="B248" s="32" t="str">
        <x:f>IF($A248="","",IFERROR(XLOOKUP($A248,'01_Products'!$A$5:$A$500,'01_Products'!$B$5:$B$500),""))</x:f>
      </x:c>
      <x:c r="C248" s="32" t="str">
        <x:f>IF($A248="","",IFERROR(XLOOKUP($A248,'01_Products'!$A$5:$A$500,'01_Products'!$C$5:$C$500),""))</x:f>
      </x:c>
      <x:c r="D248" s="32" t="str">
        <x:f>IF('03_Functionalities'!$A248="","",'03_Functionalities'!$B248)</x:f>
      </x:c>
      <x:c r="E248" s="32" t="str">
        <x:f>IF($D248="","",IFERROR(XLOOKUP($D248,'02_Features'!$A$5:$A$1000,'02_Features'!$C$5:$C$1000),""))</x:f>
      </x:c>
      <x:c r="F248" s="32" t="str">
        <x:f>IF($D248="","",IFERROR(XLOOKUP($D248,'02_Features'!$A$5:$A$1000,'02_Features'!$D$5:$D$1000),""))</x:f>
      </x:c>
      <x:c r="G248" s="32" t="str">
        <x:f>IF($D248="","",IFERROR(XLOOKUP($D248,'02_Features'!$A$5:$A$1000,'02_Features'!$E$5:$E$1000),""))</x:f>
      </x:c>
      <x:c r="H248" s="32" t="str">
        <x:f>IF('03_Functionalities'!$A248="","",'03_Functionalities'!$A248)</x:f>
      </x:c>
      <x:c r="I248" s="32" t="str">
        <x:f>IF($H248="","",'03_Functionalities'!$D248)</x:f>
      </x:c>
      <x:c r="J248" s="32" t="str">
        <x:f>IF($H248="","",'03_Functionalities'!$E248)</x:f>
      </x:c>
      <x:c r="K248" s="32" t="str">
        <x:f>IF($H248="","",'03_Functionalities'!$F248)</x:f>
      </x:c>
      <x:c r="L248" s="32" t="str">
        <x:f>IF($H248="","",'03_Functionalities'!$G248)</x:f>
      </x:c>
      <x:c r="M248" s="32" t="str">
        <x:f>IF($H248="","",'03_Functionalities'!$H248)</x:f>
      </x:c>
      <x:c r="N248" s="32" t="str">
        <x:f>IF($H248="","",'03_Functionalities'!$I248)</x:f>
      </x:c>
      <x:c r="O248" s="32" t="str">
        <x:f>IF($H248="","",'03_Functionalities'!$J248)</x:f>
      </x:c>
      <x:c r="P248" s="32" t="str">
        <x:f>IF($H248="","",'03_Functionalities'!$K248)</x:f>
      </x:c>
      <x:c r="Q248" s="32" t="str">
        <x:f>IF($H248="","",'03_Functionalities'!$L248)</x:f>
      </x:c>
      <x:c r="R248" s="32" t="str">
        <x:f>IF($H248="","",'03_Functionalities'!$M248)</x:f>
      </x:c>
      <x:c r="S248" s="32" t="str">
        <x:f>IF($H248="","",'03_Functionalities'!$N248)</x:f>
      </x:c>
      <x:c r="T248" s="32" t="str">
        <x:f>IF($H248="","",'03_Functionalities'!$O248)</x:f>
      </x:c>
      <x:c r="U248" s="32" t="str">
        <x:f>IF($A248="","",IFERROR(XLOOKUP($A248,'01_Products'!$A$5:$A$500,'01_Products'!$G$5:$G$500),""))</x:f>
      </x:c>
      <x:c r="V248" s="32" t="str">
        <x:f>IF($D248="","",IFERROR(XLOOKUP($D248,'02_Features'!$A$5:$A$1000,'02_Features'!$J$5:$J$1000),""))</x:f>
      </x:c>
      <x:c r="W248" s="32" t="str">
        <x:f>IF($H248="","",'03_Functionalities'!$P248)</x:f>
      </x:c>
      <x:c r="X248" s="32" t="str">
        <x:f>IF($H248="","",'03_Functionalities'!$Q248)</x:f>
      </x:c>
      <x:c r="Y248" s="38"/>
      <x:c r="Z248" s="38"/>
    </x:row>
    <x:row r="249" ht="18" customHeight="1">
      <x:c r="A249" s="32" t="str">
        <x:f>IF('03_Functionalities'!$A249="","",'03_Functionalities'!$C249)</x:f>
      </x:c>
      <x:c r="B249" s="32" t="str">
        <x:f>IF($A249="","",IFERROR(XLOOKUP($A249,'01_Products'!$A$5:$A$500,'01_Products'!$B$5:$B$500),""))</x:f>
      </x:c>
      <x:c r="C249" s="32" t="str">
        <x:f>IF($A249="","",IFERROR(XLOOKUP($A249,'01_Products'!$A$5:$A$500,'01_Products'!$C$5:$C$500),""))</x:f>
      </x:c>
      <x:c r="D249" s="32" t="str">
        <x:f>IF('03_Functionalities'!$A249="","",'03_Functionalities'!$B249)</x:f>
      </x:c>
      <x:c r="E249" s="32" t="str">
        <x:f>IF($D249="","",IFERROR(XLOOKUP($D249,'02_Features'!$A$5:$A$1000,'02_Features'!$C$5:$C$1000),""))</x:f>
      </x:c>
      <x:c r="F249" s="32" t="str">
        <x:f>IF($D249="","",IFERROR(XLOOKUP($D249,'02_Features'!$A$5:$A$1000,'02_Features'!$D$5:$D$1000),""))</x:f>
      </x:c>
      <x:c r="G249" s="32" t="str">
        <x:f>IF($D249="","",IFERROR(XLOOKUP($D249,'02_Features'!$A$5:$A$1000,'02_Features'!$E$5:$E$1000),""))</x:f>
      </x:c>
      <x:c r="H249" s="32" t="str">
        <x:f>IF('03_Functionalities'!$A249="","",'03_Functionalities'!$A249)</x:f>
      </x:c>
      <x:c r="I249" s="32" t="str">
        <x:f>IF($H249="","",'03_Functionalities'!$D249)</x:f>
      </x:c>
      <x:c r="J249" s="32" t="str">
        <x:f>IF($H249="","",'03_Functionalities'!$E249)</x:f>
      </x:c>
      <x:c r="K249" s="32" t="str">
        <x:f>IF($H249="","",'03_Functionalities'!$F249)</x:f>
      </x:c>
      <x:c r="L249" s="32" t="str">
        <x:f>IF($H249="","",'03_Functionalities'!$G249)</x:f>
      </x:c>
      <x:c r="M249" s="32" t="str">
        <x:f>IF($H249="","",'03_Functionalities'!$H249)</x:f>
      </x:c>
      <x:c r="N249" s="32" t="str">
        <x:f>IF($H249="","",'03_Functionalities'!$I249)</x:f>
      </x:c>
      <x:c r="O249" s="32" t="str">
        <x:f>IF($H249="","",'03_Functionalities'!$J249)</x:f>
      </x:c>
      <x:c r="P249" s="32" t="str">
        <x:f>IF($H249="","",'03_Functionalities'!$K249)</x:f>
      </x:c>
      <x:c r="Q249" s="32" t="str">
        <x:f>IF($H249="","",'03_Functionalities'!$L249)</x:f>
      </x:c>
      <x:c r="R249" s="32" t="str">
        <x:f>IF($H249="","",'03_Functionalities'!$M249)</x:f>
      </x:c>
      <x:c r="S249" s="32" t="str">
        <x:f>IF($H249="","",'03_Functionalities'!$N249)</x:f>
      </x:c>
      <x:c r="T249" s="32" t="str">
        <x:f>IF($H249="","",'03_Functionalities'!$O249)</x:f>
      </x:c>
      <x:c r="U249" s="32" t="str">
        <x:f>IF($A249="","",IFERROR(XLOOKUP($A249,'01_Products'!$A$5:$A$500,'01_Products'!$G$5:$G$500),""))</x:f>
      </x:c>
      <x:c r="V249" s="32" t="str">
        <x:f>IF($D249="","",IFERROR(XLOOKUP($D249,'02_Features'!$A$5:$A$1000,'02_Features'!$J$5:$J$1000),""))</x:f>
      </x:c>
      <x:c r="W249" s="32" t="str">
        <x:f>IF($H249="","",'03_Functionalities'!$P249)</x:f>
      </x:c>
      <x:c r="X249" s="32" t="str">
        <x:f>IF($H249="","",'03_Functionalities'!$Q249)</x:f>
      </x:c>
      <x:c r="Y249" s="38"/>
      <x:c r="Z249" s="38"/>
    </x:row>
    <x:row r="250" ht="18" customHeight="1">
      <x:c r="A250" s="32" t="str">
        <x:f>IF('03_Functionalities'!$A250="","",'03_Functionalities'!$C250)</x:f>
      </x:c>
      <x:c r="B250" s="32" t="str">
        <x:f>IF($A250="","",IFERROR(XLOOKUP($A250,'01_Products'!$A$5:$A$500,'01_Products'!$B$5:$B$500),""))</x:f>
      </x:c>
      <x:c r="C250" s="32" t="str">
        <x:f>IF($A250="","",IFERROR(XLOOKUP($A250,'01_Products'!$A$5:$A$500,'01_Products'!$C$5:$C$500),""))</x:f>
      </x:c>
      <x:c r="D250" s="32" t="str">
        <x:f>IF('03_Functionalities'!$A250="","",'03_Functionalities'!$B250)</x:f>
      </x:c>
      <x:c r="E250" s="32" t="str">
        <x:f>IF($D250="","",IFERROR(XLOOKUP($D250,'02_Features'!$A$5:$A$1000,'02_Features'!$C$5:$C$1000),""))</x:f>
      </x:c>
      <x:c r="F250" s="32" t="str">
        <x:f>IF($D250="","",IFERROR(XLOOKUP($D250,'02_Features'!$A$5:$A$1000,'02_Features'!$D$5:$D$1000),""))</x:f>
      </x:c>
      <x:c r="G250" s="32" t="str">
        <x:f>IF($D250="","",IFERROR(XLOOKUP($D250,'02_Features'!$A$5:$A$1000,'02_Features'!$E$5:$E$1000),""))</x:f>
      </x:c>
      <x:c r="H250" s="32" t="str">
        <x:f>IF('03_Functionalities'!$A250="","",'03_Functionalities'!$A250)</x:f>
      </x:c>
      <x:c r="I250" s="32" t="str">
        <x:f>IF($H250="","",'03_Functionalities'!$D250)</x:f>
      </x:c>
      <x:c r="J250" s="32" t="str">
        <x:f>IF($H250="","",'03_Functionalities'!$E250)</x:f>
      </x:c>
      <x:c r="K250" s="32" t="str">
        <x:f>IF($H250="","",'03_Functionalities'!$F250)</x:f>
      </x:c>
      <x:c r="L250" s="32" t="str">
        <x:f>IF($H250="","",'03_Functionalities'!$G250)</x:f>
      </x:c>
      <x:c r="M250" s="32" t="str">
        <x:f>IF($H250="","",'03_Functionalities'!$H250)</x:f>
      </x:c>
      <x:c r="N250" s="32" t="str">
        <x:f>IF($H250="","",'03_Functionalities'!$I250)</x:f>
      </x:c>
      <x:c r="O250" s="32" t="str">
        <x:f>IF($H250="","",'03_Functionalities'!$J250)</x:f>
      </x:c>
      <x:c r="P250" s="32" t="str">
        <x:f>IF($H250="","",'03_Functionalities'!$K250)</x:f>
      </x:c>
      <x:c r="Q250" s="32" t="str">
        <x:f>IF($H250="","",'03_Functionalities'!$L250)</x:f>
      </x:c>
      <x:c r="R250" s="32" t="str">
        <x:f>IF($H250="","",'03_Functionalities'!$M250)</x:f>
      </x:c>
      <x:c r="S250" s="32" t="str">
        <x:f>IF($H250="","",'03_Functionalities'!$N250)</x:f>
      </x:c>
      <x:c r="T250" s="32" t="str">
        <x:f>IF($H250="","",'03_Functionalities'!$O250)</x:f>
      </x:c>
      <x:c r="U250" s="32" t="str">
        <x:f>IF($A250="","",IFERROR(XLOOKUP($A250,'01_Products'!$A$5:$A$500,'01_Products'!$G$5:$G$500),""))</x:f>
      </x:c>
      <x:c r="V250" s="32" t="str">
        <x:f>IF($D250="","",IFERROR(XLOOKUP($D250,'02_Features'!$A$5:$A$1000,'02_Features'!$J$5:$J$1000),""))</x:f>
      </x:c>
      <x:c r="W250" s="32" t="str">
        <x:f>IF($H250="","",'03_Functionalities'!$P250)</x:f>
      </x:c>
      <x:c r="X250" s="32" t="str">
        <x:f>IF($H250="","",'03_Functionalities'!$Q250)</x:f>
      </x:c>
      <x:c r="Y250" s="38"/>
      <x:c r="Z250" s="38"/>
    </x:row>
    <x:row r="251" ht="18" customHeight="1">
      <x:c r="A251" s="32" t="str">
        <x:f>IF('03_Functionalities'!$A251="","",'03_Functionalities'!$C251)</x:f>
      </x:c>
      <x:c r="B251" s="32" t="str">
        <x:f>IF($A251="","",IFERROR(XLOOKUP($A251,'01_Products'!$A$5:$A$500,'01_Products'!$B$5:$B$500),""))</x:f>
      </x:c>
      <x:c r="C251" s="32" t="str">
        <x:f>IF($A251="","",IFERROR(XLOOKUP($A251,'01_Products'!$A$5:$A$500,'01_Products'!$C$5:$C$500),""))</x:f>
      </x:c>
      <x:c r="D251" s="32" t="str">
        <x:f>IF('03_Functionalities'!$A251="","",'03_Functionalities'!$B251)</x:f>
      </x:c>
      <x:c r="E251" s="32" t="str">
        <x:f>IF($D251="","",IFERROR(XLOOKUP($D251,'02_Features'!$A$5:$A$1000,'02_Features'!$C$5:$C$1000),""))</x:f>
      </x:c>
      <x:c r="F251" s="32" t="str">
        <x:f>IF($D251="","",IFERROR(XLOOKUP($D251,'02_Features'!$A$5:$A$1000,'02_Features'!$D$5:$D$1000),""))</x:f>
      </x:c>
      <x:c r="G251" s="32" t="str">
        <x:f>IF($D251="","",IFERROR(XLOOKUP($D251,'02_Features'!$A$5:$A$1000,'02_Features'!$E$5:$E$1000),""))</x:f>
      </x:c>
      <x:c r="H251" s="32" t="str">
        <x:f>IF('03_Functionalities'!$A251="","",'03_Functionalities'!$A251)</x:f>
      </x:c>
      <x:c r="I251" s="32" t="str">
        <x:f>IF($H251="","",'03_Functionalities'!$D251)</x:f>
      </x:c>
      <x:c r="J251" s="32" t="str">
        <x:f>IF($H251="","",'03_Functionalities'!$E251)</x:f>
      </x:c>
      <x:c r="K251" s="32" t="str">
        <x:f>IF($H251="","",'03_Functionalities'!$F251)</x:f>
      </x:c>
      <x:c r="L251" s="32" t="str">
        <x:f>IF($H251="","",'03_Functionalities'!$G251)</x:f>
      </x:c>
      <x:c r="M251" s="32" t="str">
        <x:f>IF($H251="","",'03_Functionalities'!$H251)</x:f>
      </x:c>
      <x:c r="N251" s="32" t="str">
        <x:f>IF($H251="","",'03_Functionalities'!$I251)</x:f>
      </x:c>
      <x:c r="O251" s="32" t="str">
        <x:f>IF($H251="","",'03_Functionalities'!$J251)</x:f>
      </x:c>
      <x:c r="P251" s="32" t="str">
        <x:f>IF($H251="","",'03_Functionalities'!$K251)</x:f>
      </x:c>
      <x:c r="Q251" s="32" t="str">
        <x:f>IF($H251="","",'03_Functionalities'!$L251)</x:f>
      </x:c>
      <x:c r="R251" s="32" t="str">
        <x:f>IF($H251="","",'03_Functionalities'!$M251)</x:f>
      </x:c>
      <x:c r="S251" s="32" t="str">
        <x:f>IF($H251="","",'03_Functionalities'!$N251)</x:f>
      </x:c>
      <x:c r="T251" s="32" t="str">
        <x:f>IF($H251="","",'03_Functionalities'!$O251)</x:f>
      </x:c>
      <x:c r="U251" s="32" t="str">
        <x:f>IF($A251="","",IFERROR(XLOOKUP($A251,'01_Products'!$A$5:$A$500,'01_Products'!$G$5:$G$500),""))</x:f>
      </x:c>
      <x:c r="V251" s="32" t="str">
        <x:f>IF($D251="","",IFERROR(XLOOKUP($D251,'02_Features'!$A$5:$A$1000,'02_Features'!$J$5:$J$1000),""))</x:f>
      </x:c>
      <x:c r="W251" s="32" t="str">
        <x:f>IF($H251="","",'03_Functionalities'!$P251)</x:f>
      </x:c>
      <x:c r="X251" s="32" t="str">
        <x:f>IF($H251="","",'03_Functionalities'!$Q251)</x:f>
      </x:c>
      <x:c r="Y251" s="38"/>
      <x:c r="Z251" s="38"/>
    </x:row>
    <x:row r="252" ht="18" customHeight="1">
      <x:c r="A252" s="32" t="str">
        <x:f>IF('03_Functionalities'!$A252="","",'03_Functionalities'!$C252)</x:f>
      </x:c>
      <x:c r="B252" s="32" t="str">
        <x:f>IF($A252="","",IFERROR(XLOOKUP($A252,'01_Products'!$A$5:$A$500,'01_Products'!$B$5:$B$500),""))</x:f>
      </x:c>
      <x:c r="C252" s="32" t="str">
        <x:f>IF($A252="","",IFERROR(XLOOKUP($A252,'01_Products'!$A$5:$A$500,'01_Products'!$C$5:$C$500),""))</x:f>
      </x:c>
      <x:c r="D252" s="32" t="str">
        <x:f>IF('03_Functionalities'!$A252="","",'03_Functionalities'!$B252)</x:f>
      </x:c>
      <x:c r="E252" s="32" t="str">
        <x:f>IF($D252="","",IFERROR(XLOOKUP($D252,'02_Features'!$A$5:$A$1000,'02_Features'!$C$5:$C$1000),""))</x:f>
      </x:c>
      <x:c r="F252" s="32" t="str">
        <x:f>IF($D252="","",IFERROR(XLOOKUP($D252,'02_Features'!$A$5:$A$1000,'02_Features'!$D$5:$D$1000),""))</x:f>
      </x:c>
      <x:c r="G252" s="32" t="str">
        <x:f>IF($D252="","",IFERROR(XLOOKUP($D252,'02_Features'!$A$5:$A$1000,'02_Features'!$E$5:$E$1000),""))</x:f>
      </x:c>
      <x:c r="H252" s="32" t="str">
        <x:f>IF('03_Functionalities'!$A252="","",'03_Functionalities'!$A252)</x:f>
      </x:c>
      <x:c r="I252" s="32" t="str">
        <x:f>IF($H252="","",'03_Functionalities'!$D252)</x:f>
      </x:c>
      <x:c r="J252" s="32" t="str">
        <x:f>IF($H252="","",'03_Functionalities'!$E252)</x:f>
      </x:c>
      <x:c r="K252" s="32" t="str">
        <x:f>IF($H252="","",'03_Functionalities'!$F252)</x:f>
      </x:c>
      <x:c r="L252" s="32" t="str">
        <x:f>IF($H252="","",'03_Functionalities'!$G252)</x:f>
      </x:c>
      <x:c r="M252" s="32" t="str">
        <x:f>IF($H252="","",'03_Functionalities'!$H252)</x:f>
      </x:c>
      <x:c r="N252" s="32" t="str">
        <x:f>IF($H252="","",'03_Functionalities'!$I252)</x:f>
      </x:c>
      <x:c r="O252" s="32" t="str">
        <x:f>IF($H252="","",'03_Functionalities'!$J252)</x:f>
      </x:c>
      <x:c r="P252" s="32" t="str">
        <x:f>IF($H252="","",'03_Functionalities'!$K252)</x:f>
      </x:c>
      <x:c r="Q252" s="32" t="str">
        <x:f>IF($H252="","",'03_Functionalities'!$L252)</x:f>
      </x:c>
      <x:c r="R252" s="32" t="str">
        <x:f>IF($H252="","",'03_Functionalities'!$M252)</x:f>
      </x:c>
      <x:c r="S252" s="32" t="str">
        <x:f>IF($H252="","",'03_Functionalities'!$N252)</x:f>
      </x:c>
      <x:c r="T252" s="32" t="str">
        <x:f>IF($H252="","",'03_Functionalities'!$O252)</x:f>
      </x:c>
      <x:c r="U252" s="32" t="str">
        <x:f>IF($A252="","",IFERROR(XLOOKUP($A252,'01_Products'!$A$5:$A$500,'01_Products'!$G$5:$G$500),""))</x:f>
      </x:c>
      <x:c r="V252" s="32" t="str">
        <x:f>IF($D252="","",IFERROR(XLOOKUP($D252,'02_Features'!$A$5:$A$1000,'02_Features'!$J$5:$J$1000),""))</x:f>
      </x:c>
      <x:c r="W252" s="32" t="str">
        <x:f>IF($H252="","",'03_Functionalities'!$P252)</x:f>
      </x:c>
      <x:c r="X252" s="32" t="str">
        <x:f>IF($H252="","",'03_Functionalities'!$Q252)</x:f>
      </x:c>
      <x:c r="Y252" s="38"/>
      <x:c r="Z252" s="38"/>
    </x:row>
    <x:row r="253" ht="18" customHeight="1">
      <x:c r="A253" s="32" t="str">
        <x:f>IF('03_Functionalities'!$A253="","",'03_Functionalities'!$C253)</x:f>
      </x:c>
      <x:c r="B253" s="32" t="str">
        <x:f>IF($A253="","",IFERROR(XLOOKUP($A253,'01_Products'!$A$5:$A$500,'01_Products'!$B$5:$B$500),""))</x:f>
      </x:c>
      <x:c r="C253" s="32" t="str">
        <x:f>IF($A253="","",IFERROR(XLOOKUP($A253,'01_Products'!$A$5:$A$500,'01_Products'!$C$5:$C$500),""))</x:f>
      </x:c>
      <x:c r="D253" s="32" t="str">
        <x:f>IF('03_Functionalities'!$A253="","",'03_Functionalities'!$B253)</x:f>
      </x:c>
      <x:c r="E253" s="32" t="str">
        <x:f>IF($D253="","",IFERROR(XLOOKUP($D253,'02_Features'!$A$5:$A$1000,'02_Features'!$C$5:$C$1000),""))</x:f>
      </x:c>
      <x:c r="F253" s="32" t="str">
        <x:f>IF($D253="","",IFERROR(XLOOKUP($D253,'02_Features'!$A$5:$A$1000,'02_Features'!$D$5:$D$1000),""))</x:f>
      </x:c>
      <x:c r="G253" s="32" t="str">
        <x:f>IF($D253="","",IFERROR(XLOOKUP($D253,'02_Features'!$A$5:$A$1000,'02_Features'!$E$5:$E$1000),""))</x:f>
      </x:c>
      <x:c r="H253" s="32" t="str">
        <x:f>IF('03_Functionalities'!$A253="","",'03_Functionalities'!$A253)</x:f>
      </x:c>
      <x:c r="I253" s="32" t="str">
        <x:f>IF($H253="","",'03_Functionalities'!$D253)</x:f>
      </x:c>
      <x:c r="J253" s="32" t="str">
        <x:f>IF($H253="","",'03_Functionalities'!$E253)</x:f>
      </x:c>
      <x:c r="K253" s="32" t="str">
        <x:f>IF($H253="","",'03_Functionalities'!$F253)</x:f>
      </x:c>
      <x:c r="L253" s="32" t="str">
        <x:f>IF($H253="","",'03_Functionalities'!$G253)</x:f>
      </x:c>
      <x:c r="M253" s="32" t="str">
        <x:f>IF($H253="","",'03_Functionalities'!$H253)</x:f>
      </x:c>
      <x:c r="N253" s="32" t="str">
        <x:f>IF($H253="","",'03_Functionalities'!$I253)</x:f>
      </x:c>
      <x:c r="O253" s="32" t="str">
        <x:f>IF($H253="","",'03_Functionalities'!$J253)</x:f>
      </x:c>
      <x:c r="P253" s="32" t="str">
        <x:f>IF($H253="","",'03_Functionalities'!$K253)</x:f>
      </x:c>
      <x:c r="Q253" s="32" t="str">
        <x:f>IF($H253="","",'03_Functionalities'!$L253)</x:f>
      </x:c>
      <x:c r="R253" s="32" t="str">
        <x:f>IF($H253="","",'03_Functionalities'!$M253)</x:f>
      </x:c>
      <x:c r="S253" s="32" t="str">
        <x:f>IF($H253="","",'03_Functionalities'!$N253)</x:f>
      </x:c>
      <x:c r="T253" s="32" t="str">
        <x:f>IF($H253="","",'03_Functionalities'!$O253)</x:f>
      </x:c>
      <x:c r="U253" s="32" t="str">
        <x:f>IF($A253="","",IFERROR(XLOOKUP($A253,'01_Products'!$A$5:$A$500,'01_Products'!$G$5:$G$500),""))</x:f>
      </x:c>
      <x:c r="V253" s="32" t="str">
        <x:f>IF($D253="","",IFERROR(XLOOKUP($D253,'02_Features'!$A$5:$A$1000,'02_Features'!$J$5:$J$1000),""))</x:f>
      </x:c>
      <x:c r="W253" s="32" t="str">
        <x:f>IF($H253="","",'03_Functionalities'!$P253)</x:f>
      </x:c>
      <x:c r="X253" s="32" t="str">
        <x:f>IF($H253="","",'03_Functionalities'!$Q253)</x:f>
      </x:c>
      <x:c r="Y253" s="38"/>
      <x:c r="Z253" s="38"/>
    </x:row>
    <x:row r="254" ht="18" customHeight="1">
      <x:c r="A254" s="32" t="str">
        <x:f>IF('03_Functionalities'!$A254="","",'03_Functionalities'!$C254)</x:f>
      </x:c>
      <x:c r="B254" s="32" t="str">
        <x:f>IF($A254="","",IFERROR(XLOOKUP($A254,'01_Products'!$A$5:$A$500,'01_Products'!$B$5:$B$500),""))</x:f>
      </x:c>
      <x:c r="C254" s="32" t="str">
        <x:f>IF($A254="","",IFERROR(XLOOKUP($A254,'01_Products'!$A$5:$A$500,'01_Products'!$C$5:$C$500),""))</x:f>
      </x:c>
      <x:c r="D254" s="32" t="str">
        <x:f>IF('03_Functionalities'!$A254="","",'03_Functionalities'!$B254)</x:f>
      </x:c>
      <x:c r="E254" s="32" t="str">
        <x:f>IF($D254="","",IFERROR(XLOOKUP($D254,'02_Features'!$A$5:$A$1000,'02_Features'!$C$5:$C$1000),""))</x:f>
      </x:c>
      <x:c r="F254" s="32" t="str">
        <x:f>IF($D254="","",IFERROR(XLOOKUP($D254,'02_Features'!$A$5:$A$1000,'02_Features'!$D$5:$D$1000),""))</x:f>
      </x:c>
      <x:c r="G254" s="32" t="str">
        <x:f>IF($D254="","",IFERROR(XLOOKUP($D254,'02_Features'!$A$5:$A$1000,'02_Features'!$E$5:$E$1000),""))</x:f>
      </x:c>
      <x:c r="H254" s="32" t="str">
        <x:f>IF('03_Functionalities'!$A254="","",'03_Functionalities'!$A254)</x:f>
      </x:c>
      <x:c r="I254" s="32" t="str">
        <x:f>IF($H254="","",'03_Functionalities'!$D254)</x:f>
      </x:c>
      <x:c r="J254" s="32" t="str">
        <x:f>IF($H254="","",'03_Functionalities'!$E254)</x:f>
      </x:c>
      <x:c r="K254" s="32" t="str">
        <x:f>IF($H254="","",'03_Functionalities'!$F254)</x:f>
      </x:c>
      <x:c r="L254" s="32" t="str">
        <x:f>IF($H254="","",'03_Functionalities'!$G254)</x:f>
      </x:c>
      <x:c r="M254" s="32" t="str">
        <x:f>IF($H254="","",'03_Functionalities'!$H254)</x:f>
      </x:c>
      <x:c r="N254" s="32" t="str">
        <x:f>IF($H254="","",'03_Functionalities'!$I254)</x:f>
      </x:c>
      <x:c r="O254" s="32" t="str">
        <x:f>IF($H254="","",'03_Functionalities'!$J254)</x:f>
      </x:c>
      <x:c r="P254" s="32" t="str">
        <x:f>IF($H254="","",'03_Functionalities'!$K254)</x:f>
      </x:c>
      <x:c r="Q254" s="32" t="str">
        <x:f>IF($H254="","",'03_Functionalities'!$L254)</x:f>
      </x:c>
      <x:c r="R254" s="32" t="str">
        <x:f>IF($H254="","",'03_Functionalities'!$M254)</x:f>
      </x:c>
      <x:c r="S254" s="32" t="str">
        <x:f>IF($H254="","",'03_Functionalities'!$N254)</x:f>
      </x:c>
      <x:c r="T254" s="32" t="str">
        <x:f>IF($H254="","",'03_Functionalities'!$O254)</x:f>
      </x:c>
      <x:c r="U254" s="32" t="str">
        <x:f>IF($A254="","",IFERROR(XLOOKUP($A254,'01_Products'!$A$5:$A$500,'01_Products'!$G$5:$G$500),""))</x:f>
      </x:c>
      <x:c r="V254" s="32" t="str">
        <x:f>IF($D254="","",IFERROR(XLOOKUP($D254,'02_Features'!$A$5:$A$1000,'02_Features'!$J$5:$J$1000),""))</x:f>
      </x:c>
      <x:c r="W254" s="32" t="str">
        <x:f>IF($H254="","",'03_Functionalities'!$P254)</x:f>
      </x:c>
      <x:c r="X254" s="32" t="str">
        <x:f>IF($H254="","",'03_Functionalities'!$Q254)</x:f>
      </x:c>
      <x:c r="Y254" s="38"/>
      <x:c r="Z254" s="38"/>
    </x:row>
    <x:row r="255" ht="18" customHeight="1">
      <x:c r="A255" s="32" t="str">
        <x:f>IF('03_Functionalities'!$A255="","",'03_Functionalities'!$C255)</x:f>
      </x:c>
      <x:c r="B255" s="32" t="str">
        <x:f>IF($A255="","",IFERROR(XLOOKUP($A255,'01_Products'!$A$5:$A$500,'01_Products'!$B$5:$B$500),""))</x:f>
      </x:c>
      <x:c r="C255" s="32" t="str">
        <x:f>IF($A255="","",IFERROR(XLOOKUP($A255,'01_Products'!$A$5:$A$500,'01_Products'!$C$5:$C$500),""))</x:f>
      </x:c>
      <x:c r="D255" s="32" t="str">
        <x:f>IF('03_Functionalities'!$A255="","",'03_Functionalities'!$B255)</x:f>
      </x:c>
      <x:c r="E255" s="32" t="str">
        <x:f>IF($D255="","",IFERROR(XLOOKUP($D255,'02_Features'!$A$5:$A$1000,'02_Features'!$C$5:$C$1000),""))</x:f>
      </x:c>
      <x:c r="F255" s="32" t="str">
        <x:f>IF($D255="","",IFERROR(XLOOKUP($D255,'02_Features'!$A$5:$A$1000,'02_Features'!$D$5:$D$1000),""))</x:f>
      </x:c>
      <x:c r="G255" s="32" t="str">
        <x:f>IF($D255="","",IFERROR(XLOOKUP($D255,'02_Features'!$A$5:$A$1000,'02_Features'!$E$5:$E$1000),""))</x:f>
      </x:c>
      <x:c r="H255" s="32" t="str">
        <x:f>IF('03_Functionalities'!$A255="","",'03_Functionalities'!$A255)</x:f>
      </x:c>
      <x:c r="I255" s="32" t="str">
        <x:f>IF($H255="","",'03_Functionalities'!$D255)</x:f>
      </x:c>
      <x:c r="J255" s="32" t="str">
        <x:f>IF($H255="","",'03_Functionalities'!$E255)</x:f>
      </x:c>
      <x:c r="K255" s="32" t="str">
        <x:f>IF($H255="","",'03_Functionalities'!$F255)</x:f>
      </x:c>
      <x:c r="L255" s="32" t="str">
        <x:f>IF($H255="","",'03_Functionalities'!$G255)</x:f>
      </x:c>
      <x:c r="M255" s="32" t="str">
        <x:f>IF($H255="","",'03_Functionalities'!$H255)</x:f>
      </x:c>
      <x:c r="N255" s="32" t="str">
        <x:f>IF($H255="","",'03_Functionalities'!$I255)</x:f>
      </x:c>
      <x:c r="O255" s="32" t="str">
        <x:f>IF($H255="","",'03_Functionalities'!$J255)</x:f>
      </x:c>
      <x:c r="P255" s="32" t="str">
        <x:f>IF($H255="","",'03_Functionalities'!$K255)</x:f>
      </x:c>
      <x:c r="Q255" s="32" t="str">
        <x:f>IF($H255="","",'03_Functionalities'!$L255)</x:f>
      </x:c>
      <x:c r="R255" s="32" t="str">
        <x:f>IF($H255="","",'03_Functionalities'!$M255)</x:f>
      </x:c>
      <x:c r="S255" s="32" t="str">
        <x:f>IF($H255="","",'03_Functionalities'!$N255)</x:f>
      </x:c>
      <x:c r="T255" s="32" t="str">
        <x:f>IF($H255="","",'03_Functionalities'!$O255)</x:f>
      </x:c>
      <x:c r="U255" s="32" t="str">
        <x:f>IF($A255="","",IFERROR(XLOOKUP($A255,'01_Products'!$A$5:$A$500,'01_Products'!$G$5:$G$500),""))</x:f>
      </x:c>
      <x:c r="V255" s="32" t="str">
        <x:f>IF($D255="","",IFERROR(XLOOKUP($D255,'02_Features'!$A$5:$A$1000,'02_Features'!$J$5:$J$1000),""))</x:f>
      </x:c>
      <x:c r="W255" s="32" t="str">
        <x:f>IF($H255="","",'03_Functionalities'!$P255)</x:f>
      </x:c>
      <x:c r="X255" s="32" t="str">
        <x:f>IF($H255="","",'03_Functionalities'!$Q255)</x:f>
      </x:c>
      <x:c r="Y255" s="38"/>
      <x:c r="Z255" s="38"/>
    </x:row>
    <x:row r="256" ht="18" customHeight="1">
      <x:c r="A256" s="32" t="str">
        <x:f>IF('03_Functionalities'!$A256="","",'03_Functionalities'!$C256)</x:f>
      </x:c>
      <x:c r="B256" s="32" t="str">
        <x:f>IF($A256="","",IFERROR(XLOOKUP($A256,'01_Products'!$A$5:$A$500,'01_Products'!$B$5:$B$500),""))</x:f>
      </x:c>
      <x:c r="C256" s="32" t="str">
        <x:f>IF($A256="","",IFERROR(XLOOKUP($A256,'01_Products'!$A$5:$A$500,'01_Products'!$C$5:$C$500),""))</x:f>
      </x:c>
      <x:c r="D256" s="32" t="str">
        <x:f>IF('03_Functionalities'!$A256="","",'03_Functionalities'!$B256)</x:f>
      </x:c>
      <x:c r="E256" s="32" t="str">
        <x:f>IF($D256="","",IFERROR(XLOOKUP($D256,'02_Features'!$A$5:$A$1000,'02_Features'!$C$5:$C$1000),""))</x:f>
      </x:c>
      <x:c r="F256" s="32" t="str">
        <x:f>IF($D256="","",IFERROR(XLOOKUP($D256,'02_Features'!$A$5:$A$1000,'02_Features'!$D$5:$D$1000),""))</x:f>
      </x:c>
      <x:c r="G256" s="32" t="str">
        <x:f>IF($D256="","",IFERROR(XLOOKUP($D256,'02_Features'!$A$5:$A$1000,'02_Features'!$E$5:$E$1000),""))</x:f>
      </x:c>
      <x:c r="H256" s="32" t="str">
        <x:f>IF('03_Functionalities'!$A256="","",'03_Functionalities'!$A256)</x:f>
      </x:c>
      <x:c r="I256" s="32" t="str">
        <x:f>IF($H256="","",'03_Functionalities'!$D256)</x:f>
      </x:c>
      <x:c r="J256" s="32" t="str">
        <x:f>IF($H256="","",'03_Functionalities'!$E256)</x:f>
      </x:c>
      <x:c r="K256" s="32" t="str">
        <x:f>IF($H256="","",'03_Functionalities'!$F256)</x:f>
      </x:c>
      <x:c r="L256" s="32" t="str">
        <x:f>IF($H256="","",'03_Functionalities'!$G256)</x:f>
      </x:c>
      <x:c r="M256" s="32" t="str">
        <x:f>IF($H256="","",'03_Functionalities'!$H256)</x:f>
      </x:c>
      <x:c r="N256" s="32" t="str">
        <x:f>IF($H256="","",'03_Functionalities'!$I256)</x:f>
      </x:c>
      <x:c r="O256" s="32" t="str">
        <x:f>IF($H256="","",'03_Functionalities'!$J256)</x:f>
      </x:c>
      <x:c r="P256" s="32" t="str">
        <x:f>IF($H256="","",'03_Functionalities'!$K256)</x:f>
      </x:c>
      <x:c r="Q256" s="32" t="str">
        <x:f>IF($H256="","",'03_Functionalities'!$L256)</x:f>
      </x:c>
      <x:c r="R256" s="32" t="str">
        <x:f>IF($H256="","",'03_Functionalities'!$M256)</x:f>
      </x:c>
      <x:c r="S256" s="32" t="str">
        <x:f>IF($H256="","",'03_Functionalities'!$N256)</x:f>
      </x:c>
      <x:c r="T256" s="32" t="str">
        <x:f>IF($H256="","",'03_Functionalities'!$O256)</x:f>
      </x:c>
      <x:c r="U256" s="32" t="str">
        <x:f>IF($A256="","",IFERROR(XLOOKUP($A256,'01_Products'!$A$5:$A$500,'01_Products'!$G$5:$G$500),""))</x:f>
      </x:c>
      <x:c r="V256" s="32" t="str">
        <x:f>IF($D256="","",IFERROR(XLOOKUP($D256,'02_Features'!$A$5:$A$1000,'02_Features'!$J$5:$J$1000),""))</x:f>
      </x:c>
      <x:c r="W256" s="32" t="str">
        <x:f>IF($H256="","",'03_Functionalities'!$P256)</x:f>
      </x:c>
      <x:c r="X256" s="32" t="str">
        <x:f>IF($H256="","",'03_Functionalities'!$Q256)</x:f>
      </x:c>
      <x:c r="Y256" s="38"/>
      <x:c r="Z256" s="38"/>
    </x:row>
    <x:row r="257" ht="18" customHeight="1">
      <x:c r="A257" s="32" t="str">
        <x:f>IF('03_Functionalities'!$A257="","",'03_Functionalities'!$C257)</x:f>
      </x:c>
      <x:c r="B257" s="32" t="str">
        <x:f>IF($A257="","",IFERROR(XLOOKUP($A257,'01_Products'!$A$5:$A$500,'01_Products'!$B$5:$B$500),""))</x:f>
      </x:c>
      <x:c r="C257" s="32" t="str">
        <x:f>IF($A257="","",IFERROR(XLOOKUP($A257,'01_Products'!$A$5:$A$500,'01_Products'!$C$5:$C$500),""))</x:f>
      </x:c>
      <x:c r="D257" s="32" t="str">
        <x:f>IF('03_Functionalities'!$A257="","",'03_Functionalities'!$B257)</x:f>
      </x:c>
      <x:c r="E257" s="32" t="str">
        <x:f>IF($D257="","",IFERROR(XLOOKUP($D257,'02_Features'!$A$5:$A$1000,'02_Features'!$C$5:$C$1000),""))</x:f>
      </x:c>
      <x:c r="F257" s="32" t="str">
        <x:f>IF($D257="","",IFERROR(XLOOKUP($D257,'02_Features'!$A$5:$A$1000,'02_Features'!$D$5:$D$1000),""))</x:f>
      </x:c>
      <x:c r="G257" s="32" t="str">
        <x:f>IF($D257="","",IFERROR(XLOOKUP($D257,'02_Features'!$A$5:$A$1000,'02_Features'!$E$5:$E$1000),""))</x:f>
      </x:c>
      <x:c r="H257" s="32" t="str">
        <x:f>IF('03_Functionalities'!$A257="","",'03_Functionalities'!$A257)</x:f>
      </x:c>
      <x:c r="I257" s="32" t="str">
        <x:f>IF($H257="","",'03_Functionalities'!$D257)</x:f>
      </x:c>
      <x:c r="J257" s="32" t="str">
        <x:f>IF($H257="","",'03_Functionalities'!$E257)</x:f>
      </x:c>
      <x:c r="K257" s="32" t="str">
        <x:f>IF($H257="","",'03_Functionalities'!$F257)</x:f>
      </x:c>
      <x:c r="L257" s="32" t="str">
        <x:f>IF($H257="","",'03_Functionalities'!$G257)</x:f>
      </x:c>
      <x:c r="M257" s="32" t="str">
        <x:f>IF($H257="","",'03_Functionalities'!$H257)</x:f>
      </x:c>
      <x:c r="N257" s="32" t="str">
        <x:f>IF($H257="","",'03_Functionalities'!$I257)</x:f>
      </x:c>
      <x:c r="O257" s="32" t="str">
        <x:f>IF($H257="","",'03_Functionalities'!$J257)</x:f>
      </x:c>
      <x:c r="P257" s="32" t="str">
        <x:f>IF($H257="","",'03_Functionalities'!$K257)</x:f>
      </x:c>
      <x:c r="Q257" s="32" t="str">
        <x:f>IF($H257="","",'03_Functionalities'!$L257)</x:f>
      </x:c>
      <x:c r="R257" s="32" t="str">
        <x:f>IF($H257="","",'03_Functionalities'!$M257)</x:f>
      </x:c>
      <x:c r="S257" s="32" t="str">
        <x:f>IF($H257="","",'03_Functionalities'!$N257)</x:f>
      </x:c>
      <x:c r="T257" s="32" t="str">
        <x:f>IF($H257="","",'03_Functionalities'!$O257)</x:f>
      </x:c>
      <x:c r="U257" s="32" t="str">
        <x:f>IF($A257="","",IFERROR(XLOOKUP($A257,'01_Products'!$A$5:$A$500,'01_Products'!$G$5:$G$500),""))</x:f>
      </x:c>
      <x:c r="V257" s="32" t="str">
        <x:f>IF($D257="","",IFERROR(XLOOKUP($D257,'02_Features'!$A$5:$A$1000,'02_Features'!$J$5:$J$1000),""))</x:f>
      </x:c>
      <x:c r="W257" s="32" t="str">
        <x:f>IF($H257="","",'03_Functionalities'!$P257)</x:f>
      </x:c>
      <x:c r="X257" s="32" t="str">
        <x:f>IF($H257="","",'03_Functionalities'!$Q257)</x:f>
      </x:c>
      <x:c r="Y257" s="38"/>
      <x:c r="Z257" s="38"/>
    </x:row>
    <x:row r="258" ht="18" customHeight="1">
      <x:c r="A258" s="32" t="str">
        <x:f>IF('03_Functionalities'!$A258="","",'03_Functionalities'!$C258)</x:f>
      </x:c>
      <x:c r="B258" s="32" t="str">
        <x:f>IF($A258="","",IFERROR(XLOOKUP($A258,'01_Products'!$A$5:$A$500,'01_Products'!$B$5:$B$500),""))</x:f>
      </x:c>
      <x:c r="C258" s="32" t="str">
        <x:f>IF($A258="","",IFERROR(XLOOKUP($A258,'01_Products'!$A$5:$A$500,'01_Products'!$C$5:$C$500),""))</x:f>
      </x:c>
      <x:c r="D258" s="32" t="str">
        <x:f>IF('03_Functionalities'!$A258="","",'03_Functionalities'!$B258)</x:f>
      </x:c>
      <x:c r="E258" s="32" t="str">
        <x:f>IF($D258="","",IFERROR(XLOOKUP($D258,'02_Features'!$A$5:$A$1000,'02_Features'!$C$5:$C$1000),""))</x:f>
      </x:c>
      <x:c r="F258" s="32" t="str">
        <x:f>IF($D258="","",IFERROR(XLOOKUP($D258,'02_Features'!$A$5:$A$1000,'02_Features'!$D$5:$D$1000),""))</x:f>
      </x:c>
      <x:c r="G258" s="32" t="str">
        <x:f>IF($D258="","",IFERROR(XLOOKUP($D258,'02_Features'!$A$5:$A$1000,'02_Features'!$E$5:$E$1000),""))</x:f>
      </x:c>
      <x:c r="H258" s="32" t="str">
        <x:f>IF('03_Functionalities'!$A258="","",'03_Functionalities'!$A258)</x:f>
      </x:c>
      <x:c r="I258" s="32" t="str">
        <x:f>IF($H258="","",'03_Functionalities'!$D258)</x:f>
      </x:c>
      <x:c r="J258" s="32" t="str">
        <x:f>IF($H258="","",'03_Functionalities'!$E258)</x:f>
      </x:c>
      <x:c r="K258" s="32" t="str">
        <x:f>IF($H258="","",'03_Functionalities'!$F258)</x:f>
      </x:c>
      <x:c r="L258" s="32" t="str">
        <x:f>IF($H258="","",'03_Functionalities'!$G258)</x:f>
      </x:c>
      <x:c r="M258" s="32" t="str">
        <x:f>IF($H258="","",'03_Functionalities'!$H258)</x:f>
      </x:c>
      <x:c r="N258" s="32" t="str">
        <x:f>IF($H258="","",'03_Functionalities'!$I258)</x:f>
      </x:c>
      <x:c r="O258" s="32" t="str">
        <x:f>IF($H258="","",'03_Functionalities'!$J258)</x:f>
      </x:c>
      <x:c r="P258" s="32" t="str">
        <x:f>IF($H258="","",'03_Functionalities'!$K258)</x:f>
      </x:c>
      <x:c r="Q258" s="32" t="str">
        <x:f>IF($H258="","",'03_Functionalities'!$L258)</x:f>
      </x:c>
      <x:c r="R258" s="32" t="str">
        <x:f>IF($H258="","",'03_Functionalities'!$M258)</x:f>
      </x:c>
      <x:c r="S258" s="32" t="str">
        <x:f>IF($H258="","",'03_Functionalities'!$N258)</x:f>
      </x:c>
      <x:c r="T258" s="32" t="str">
        <x:f>IF($H258="","",'03_Functionalities'!$O258)</x:f>
      </x:c>
      <x:c r="U258" s="32" t="str">
        <x:f>IF($A258="","",IFERROR(XLOOKUP($A258,'01_Products'!$A$5:$A$500,'01_Products'!$G$5:$G$500),""))</x:f>
      </x:c>
      <x:c r="V258" s="32" t="str">
        <x:f>IF($D258="","",IFERROR(XLOOKUP($D258,'02_Features'!$A$5:$A$1000,'02_Features'!$J$5:$J$1000),""))</x:f>
      </x:c>
      <x:c r="W258" s="32" t="str">
        <x:f>IF($H258="","",'03_Functionalities'!$P258)</x:f>
      </x:c>
      <x:c r="X258" s="32" t="str">
        <x:f>IF($H258="","",'03_Functionalities'!$Q258)</x:f>
      </x:c>
      <x:c r="Y258" s="38"/>
      <x:c r="Z258" s="38"/>
    </x:row>
    <x:row r="259" ht="18" customHeight="1">
      <x:c r="A259" s="32" t="str">
        <x:f>IF('03_Functionalities'!$A259="","",'03_Functionalities'!$C259)</x:f>
      </x:c>
      <x:c r="B259" s="32" t="str">
        <x:f>IF($A259="","",IFERROR(XLOOKUP($A259,'01_Products'!$A$5:$A$500,'01_Products'!$B$5:$B$500),""))</x:f>
      </x:c>
      <x:c r="C259" s="32" t="str">
        <x:f>IF($A259="","",IFERROR(XLOOKUP($A259,'01_Products'!$A$5:$A$500,'01_Products'!$C$5:$C$500),""))</x:f>
      </x:c>
      <x:c r="D259" s="32" t="str">
        <x:f>IF('03_Functionalities'!$A259="","",'03_Functionalities'!$B259)</x:f>
      </x:c>
      <x:c r="E259" s="32" t="str">
        <x:f>IF($D259="","",IFERROR(XLOOKUP($D259,'02_Features'!$A$5:$A$1000,'02_Features'!$C$5:$C$1000),""))</x:f>
      </x:c>
      <x:c r="F259" s="32" t="str">
        <x:f>IF($D259="","",IFERROR(XLOOKUP($D259,'02_Features'!$A$5:$A$1000,'02_Features'!$D$5:$D$1000),""))</x:f>
      </x:c>
      <x:c r="G259" s="32" t="str">
        <x:f>IF($D259="","",IFERROR(XLOOKUP($D259,'02_Features'!$A$5:$A$1000,'02_Features'!$E$5:$E$1000),""))</x:f>
      </x:c>
      <x:c r="H259" s="32" t="str">
        <x:f>IF('03_Functionalities'!$A259="","",'03_Functionalities'!$A259)</x:f>
      </x:c>
      <x:c r="I259" s="32" t="str">
        <x:f>IF($H259="","",'03_Functionalities'!$D259)</x:f>
      </x:c>
      <x:c r="J259" s="32" t="str">
        <x:f>IF($H259="","",'03_Functionalities'!$E259)</x:f>
      </x:c>
      <x:c r="K259" s="32" t="str">
        <x:f>IF($H259="","",'03_Functionalities'!$F259)</x:f>
      </x:c>
      <x:c r="L259" s="32" t="str">
        <x:f>IF($H259="","",'03_Functionalities'!$G259)</x:f>
      </x:c>
      <x:c r="M259" s="32" t="str">
        <x:f>IF($H259="","",'03_Functionalities'!$H259)</x:f>
      </x:c>
      <x:c r="N259" s="32" t="str">
        <x:f>IF($H259="","",'03_Functionalities'!$I259)</x:f>
      </x:c>
      <x:c r="O259" s="32" t="str">
        <x:f>IF($H259="","",'03_Functionalities'!$J259)</x:f>
      </x:c>
      <x:c r="P259" s="32" t="str">
        <x:f>IF($H259="","",'03_Functionalities'!$K259)</x:f>
      </x:c>
      <x:c r="Q259" s="32" t="str">
        <x:f>IF($H259="","",'03_Functionalities'!$L259)</x:f>
      </x:c>
      <x:c r="R259" s="32" t="str">
        <x:f>IF($H259="","",'03_Functionalities'!$M259)</x:f>
      </x:c>
      <x:c r="S259" s="32" t="str">
        <x:f>IF($H259="","",'03_Functionalities'!$N259)</x:f>
      </x:c>
      <x:c r="T259" s="32" t="str">
        <x:f>IF($H259="","",'03_Functionalities'!$O259)</x:f>
      </x:c>
      <x:c r="U259" s="32" t="str">
        <x:f>IF($A259="","",IFERROR(XLOOKUP($A259,'01_Products'!$A$5:$A$500,'01_Products'!$G$5:$G$500),""))</x:f>
      </x:c>
      <x:c r="V259" s="32" t="str">
        <x:f>IF($D259="","",IFERROR(XLOOKUP($D259,'02_Features'!$A$5:$A$1000,'02_Features'!$J$5:$J$1000),""))</x:f>
      </x:c>
      <x:c r="W259" s="32" t="str">
        <x:f>IF($H259="","",'03_Functionalities'!$P259)</x:f>
      </x:c>
      <x:c r="X259" s="32" t="str">
        <x:f>IF($H259="","",'03_Functionalities'!$Q259)</x:f>
      </x:c>
      <x:c r="Y259" s="38"/>
      <x:c r="Z259" s="38"/>
    </x:row>
    <x:row r="260" ht="18" customHeight="1">
      <x:c r="A260" s="32" t="str">
        <x:f>IF('03_Functionalities'!$A260="","",'03_Functionalities'!$C260)</x:f>
      </x:c>
      <x:c r="B260" s="32" t="str">
        <x:f>IF($A260="","",IFERROR(XLOOKUP($A260,'01_Products'!$A$5:$A$500,'01_Products'!$B$5:$B$500),""))</x:f>
      </x:c>
      <x:c r="C260" s="32" t="str">
        <x:f>IF($A260="","",IFERROR(XLOOKUP($A260,'01_Products'!$A$5:$A$500,'01_Products'!$C$5:$C$500),""))</x:f>
      </x:c>
      <x:c r="D260" s="32" t="str">
        <x:f>IF('03_Functionalities'!$A260="","",'03_Functionalities'!$B260)</x:f>
      </x:c>
      <x:c r="E260" s="32" t="str">
        <x:f>IF($D260="","",IFERROR(XLOOKUP($D260,'02_Features'!$A$5:$A$1000,'02_Features'!$C$5:$C$1000),""))</x:f>
      </x:c>
      <x:c r="F260" s="32" t="str">
        <x:f>IF($D260="","",IFERROR(XLOOKUP($D260,'02_Features'!$A$5:$A$1000,'02_Features'!$D$5:$D$1000),""))</x:f>
      </x:c>
      <x:c r="G260" s="32" t="str">
        <x:f>IF($D260="","",IFERROR(XLOOKUP($D260,'02_Features'!$A$5:$A$1000,'02_Features'!$E$5:$E$1000),""))</x:f>
      </x:c>
      <x:c r="H260" s="32" t="str">
        <x:f>IF('03_Functionalities'!$A260="","",'03_Functionalities'!$A260)</x:f>
      </x:c>
      <x:c r="I260" s="32" t="str">
        <x:f>IF($H260="","",'03_Functionalities'!$D260)</x:f>
      </x:c>
      <x:c r="J260" s="32" t="str">
        <x:f>IF($H260="","",'03_Functionalities'!$E260)</x:f>
      </x:c>
      <x:c r="K260" s="32" t="str">
        <x:f>IF($H260="","",'03_Functionalities'!$F260)</x:f>
      </x:c>
      <x:c r="L260" s="32" t="str">
        <x:f>IF($H260="","",'03_Functionalities'!$G260)</x:f>
      </x:c>
      <x:c r="M260" s="32" t="str">
        <x:f>IF($H260="","",'03_Functionalities'!$H260)</x:f>
      </x:c>
      <x:c r="N260" s="32" t="str">
        <x:f>IF($H260="","",'03_Functionalities'!$I260)</x:f>
      </x:c>
      <x:c r="O260" s="32" t="str">
        <x:f>IF($H260="","",'03_Functionalities'!$J260)</x:f>
      </x:c>
      <x:c r="P260" s="32" t="str">
        <x:f>IF($H260="","",'03_Functionalities'!$K260)</x:f>
      </x:c>
      <x:c r="Q260" s="32" t="str">
        <x:f>IF($H260="","",'03_Functionalities'!$L260)</x:f>
      </x:c>
      <x:c r="R260" s="32" t="str">
        <x:f>IF($H260="","",'03_Functionalities'!$M260)</x:f>
      </x:c>
      <x:c r="S260" s="32" t="str">
        <x:f>IF($H260="","",'03_Functionalities'!$N260)</x:f>
      </x:c>
      <x:c r="T260" s="32" t="str">
        <x:f>IF($H260="","",'03_Functionalities'!$O260)</x:f>
      </x:c>
      <x:c r="U260" s="32" t="str">
        <x:f>IF($A260="","",IFERROR(XLOOKUP($A260,'01_Products'!$A$5:$A$500,'01_Products'!$G$5:$G$500),""))</x:f>
      </x:c>
      <x:c r="V260" s="32" t="str">
        <x:f>IF($D260="","",IFERROR(XLOOKUP($D260,'02_Features'!$A$5:$A$1000,'02_Features'!$J$5:$J$1000),""))</x:f>
      </x:c>
      <x:c r="W260" s="32" t="str">
        <x:f>IF($H260="","",'03_Functionalities'!$P260)</x:f>
      </x:c>
      <x:c r="X260" s="32" t="str">
        <x:f>IF($H260="","",'03_Functionalities'!$Q260)</x:f>
      </x:c>
      <x:c r="Y260" s="38"/>
      <x:c r="Z260" s="38"/>
    </x:row>
    <x:row r="261" ht="18" customHeight="1">
      <x:c r="A261" s="32" t="str">
        <x:f>IF('03_Functionalities'!$A261="","",'03_Functionalities'!$C261)</x:f>
      </x:c>
      <x:c r="B261" s="32" t="str">
        <x:f>IF($A261="","",IFERROR(XLOOKUP($A261,'01_Products'!$A$5:$A$500,'01_Products'!$B$5:$B$500),""))</x:f>
      </x:c>
      <x:c r="C261" s="32" t="str">
        <x:f>IF($A261="","",IFERROR(XLOOKUP($A261,'01_Products'!$A$5:$A$500,'01_Products'!$C$5:$C$500),""))</x:f>
      </x:c>
      <x:c r="D261" s="32" t="str">
        <x:f>IF('03_Functionalities'!$A261="","",'03_Functionalities'!$B261)</x:f>
      </x:c>
      <x:c r="E261" s="32" t="str">
        <x:f>IF($D261="","",IFERROR(XLOOKUP($D261,'02_Features'!$A$5:$A$1000,'02_Features'!$C$5:$C$1000),""))</x:f>
      </x:c>
      <x:c r="F261" s="32" t="str">
        <x:f>IF($D261="","",IFERROR(XLOOKUP($D261,'02_Features'!$A$5:$A$1000,'02_Features'!$D$5:$D$1000),""))</x:f>
      </x:c>
      <x:c r="G261" s="32" t="str">
        <x:f>IF($D261="","",IFERROR(XLOOKUP($D261,'02_Features'!$A$5:$A$1000,'02_Features'!$E$5:$E$1000),""))</x:f>
      </x:c>
      <x:c r="H261" s="32" t="str">
        <x:f>IF('03_Functionalities'!$A261="","",'03_Functionalities'!$A261)</x:f>
      </x:c>
      <x:c r="I261" s="32" t="str">
        <x:f>IF($H261="","",'03_Functionalities'!$D261)</x:f>
      </x:c>
      <x:c r="J261" s="32" t="str">
        <x:f>IF($H261="","",'03_Functionalities'!$E261)</x:f>
      </x:c>
      <x:c r="K261" s="32" t="str">
        <x:f>IF($H261="","",'03_Functionalities'!$F261)</x:f>
      </x:c>
      <x:c r="L261" s="32" t="str">
        <x:f>IF($H261="","",'03_Functionalities'!$G261)</x:f>
      </x:c>
      <x:c r="M261" s="32" t="str">
        <x:f>IF($H261="","",'03_Functionalities'!$H261)</x:f>
      </x:c>
      <x:c r="N261" s="32" t="str">
        <x:f>IF($H261="","",'03_Functionalities'!$I261)</x:f>
      </x:c>
      <x:c r="O261" s="32" t="str">
        <x:f>IF($H261="","",'03_Functionalities'!$J261)</x:f>
      </x:c>
      <x:c r="P261" s="32" t="str">
        <x:f>IF($H261="","",'03_Functionalities'!$K261)</x:f>
      </x:c>
      <x:c r="Q261" s="32" t="str">
        <x:f>IF($H261="","",'03_Functionalities'!$L261)</x:f>
      </x:c>
      <x:c r="R261" s="32" t="str">
        <x:f>IF($H261="","",'03_Functionalities'!$M261)</x:f>
      </x:c>
      <x:c r="S261" s="32" t="str">
        <x:f>IF($H261="","",'03_Functionalities'!$N261)</x:f>
      </x:c>
      <x:c r="T261" s="32" t="str">
        <x:f>IF($H261="","",'03_Functionalities'!$O261)</x:f>
      </x:c>
      <x:c r="U261" s="32" t="str">
        <x:f>IF($A261="","",IFERROR(XLOOKUP($A261,'01_Products'!$A$5:$A$500,'01_Products'!$G$5:$G$500),""))</x:f>
      </x:c>
      <x:c r="V261" s="32" t="str">
        <x:f>IF($D261="","",IFERROR(XLOOKUP($D261,'02_Features'!$A$5:$A$1000,'02_Features'!$J$5:$J$1000),""))</x:f>
      </x:c>
      <x:c r="W261" s="32" t="str">
        <x:f>IF($H261="","",'03_Functionalities'!$P261)</x:f>
      </x:c>
      <x:c r="X261" s="32" t="str">
        <x:f>IF($H261="","",'03_Functionalities'!$Q261)</x:f>
      </x:c>
      <x:c r="Y261" s="38"/>
      <x:c r="Z261" s="38"/>
    </x:row>
    <x:row r="262" ht="18" customHeight="1">
      <x:c r="A262" s="32" t="str">
        <x:f>IF('03_Functionalities'!$A262="","",'03_Functionalities'!$C262)</x:f>
      </x:c>
      <x:c r="B262" s="32" t="str">
        <x:f>IF($A262="","",IFERROR(XLOOKUP($A262,'01_Products'!$A$5:$A$500,'01_Products'!$B$5:$B$500),""))</x:f>
      </x:c>
      <x:c r="C262" s="32" t="str">
        <x:f>IF($A262="","",IFERROR(XLOOKUP($A262,'01_Products'!$A$5:$A$500,'01_Products'!$C$5:$C$500),""))</x:f>
      </x:c>
      <x:c r="D262" s="32" t="str">
        <x:f>IF('03_Functionalities'!$A262="","",'03_Functionalities'!$B262)</x:f>
      </x:c>
      <x:c r="E262" s="32" t="str">
        <x:f>IF($D262="","",IFERROR(XLOOKUP($D262,'02_Features'!$A$5:$A$1000,'02_Features'!$C$5:$C$1000),""))</x:f>
      </x:c>
      <x:c r="F262" s="32" t="str">
        <x:f>IF($D262="","",IFERROR(XLOOKUP($D262,'02_Features'!$A$5:$A$1000,'02_Features'!$D$5:$D$1000),""))</x:f>
      </x:c>
      <x:c r="G262" s="32" t="str">
        <x:f>IF($D262="","",IFERROR(XLOOKUP($D262,'02_Features'!$A$5:$A$1000,'02_Features'!$E$5:$E$1000),""))</x:f>
      </x:c>
      <x:c r="H262" s="32" t="str">
        <x:f>IF('03_Functionalities'!$A262="","",'03_Functionalities'!$A262)</x:f>
      </x:c>
      <x:c r="I262" s="32" t="str">
        <x:f>IF($H262="","",'03_Functionalities'!$D262)</x:f>
      </x:c>
      <x:c r="J262" s="32" t="str">
        <x:f>IF($H262="","",'03_Functionalities'!$E262)</x:f>
      </x:c>
      <x:c r="K262" s="32" t="str">
        <x:f>IF($H262="","",'03_Functionalities'!$F262)</x:f>
      </x:c>
      <x:c r="L262" s="32" t="str">
        <x:f>IF($H262="","",'03_Functionalities'!$G262)</x:f>
      </x:c>
      <x:c r="M262" s="32" t="str">
        <x:f>IF($H262="","",'03_Functionalities'!$H262)</x:f>
      </x:c>
      <x:c r="N262" s="32" t="str">
        <x:f>IF($H262="","",'03_Functionalities'!$I262)</x:f>
      </x:c>
      <x:c r="O262" s="32" t="str">
        <x:f>IF($H262="","",'03_Functionalities'!$J262)</x:f>
      </x:c>
      <x:c r="P262" s="32" t="str">
        <x:f>IF($H262="","",'03_Functionalities'!$K262)</x:f>
      </x:c>
      <x:c r="Q262" s="32" t="str">
        <x:f>IF($H262="","",'03_Functionalities'!$L262)</x:f>
      </x:c>
      <x:c r="R262" s="32" t="str">
        <x:f>IF($H262="","",'03_Functionalities'!$M262)</x:f>
      </x:c>
      <x:c r="S262" s="32" t="str">
        <x:f>IF($H262="","",'03_Functionalities'!$N262)</x:f>
      </x:c>
      <x:c r="T262" s="32" t="str">
        <x:f>IF($H262="","",'03_Functionalities'!$O262)</x:f>
      </x:c>
      <x:c r="U262" s="32" t="str">
        <x:f>IF($A262="","",IFERROR(XLOOKUP($A262,'01_Products'!$A$5:$A$500,'01_Products'!$G$5:$G$500),""))</x:f>
      </x:c>
      <x:c r="V262" s="32" t="str">
        <x:f>IF($D262="","",IFERROR(XLOOKUP($D262,'02_Features'!$A$5:$A$1000,'02_Features'!$J$5:$J$1000),""))</x:f>
      </x:c>
      <x:c r="W262" s="32" t="str">
        <x:f>IF($H262="","",'03_Functionalities'!$P262)</x:f>
      </x:c>
      <x:c r="X262" s="32" t="str">
        <x:f>IF($H262="","",'03_Functionalities'!$Q262)</x:f>
      </x:c>
      <x:c r="Y262" s="38"/>
      <x:c r="Z262" s="38"/>
    </x:row>
    <x:row r="263" ht="18" customHeight="1">
      <x:c r="A263" s="32" t="str">
        <x:f>IF('03_Functionalities'!$A263="","",'03_Functionalities'!$C263)</x:f>
      </x:c>
      <x:c r="B263" s="32" t="str">
        <x:f>IF($A263="","",IFERROR(XLOOKUP($A263,'01_Products'!$A$5:$A$500,'01_Products'!$B$5:$B$500),""))</x:f>
      </x:c>
      <x:c r="C263" s="32" t="str">
        <x:f>IF($A263="","",IFERROR(XLOOKUP($A263,'01_Products'!$A$5:$A$500,'01_Products'!$C$5:$C$500),""))</x:f>
      </x:c>
      <x:c r="D263" s="32" t="str">
        <x:f>IF('03_Functionalities'!$A263="","",'03_Functionalities'!$B263)</x:f>
      </x:c>
      <x:c r="E263" s="32" t="str">
        <x:f>IF($D263="","",IFERROR(XLOOKUP($D263,'02_Features'!$A$5:$A$1000,'02_Features'!$C$5:$C$1000),""))</x:f>
      </x:c>
      <x:c r="F263" s="32" t="str">
        <x:f>IF($D263="","",IFERROR(XLOOKUP($D263,'02_Features'!$A$5:$A$1000,'02_Features'!$D$5:$D$1000),""))</x:f>
      </x:c>
      <x:c r="G263" s="32" t="str">
        <x:f>IF($D263="","",IFERROR(XLOOKUP($D263,'02_Features'!$A$5:$A$1000,'02_Features'!$E$5:$E$1000),""))</x:f>
      </x:c>
      <x:c r="H263" s="32" t="str">
        <x:f>IF('03_Functionalities'!$A263="","",'03_Functionalities'!$A263)</x:f>
      </x:c>
      <x:c r="I263" s="32" t="str">
        <x:f>IF($H263="","",'03_Functionalities'!$D263)</x:f>
      </x:c>
      <x:c r="J263" s="32" t="str">
        <x:f>IF($H263="","",'03_Functionalities'!$E263)</x:f>
      </x:c>
      <x:c r="K263" s="32" t="str">
        <x:f>IF($H263="","",'03_Functionalities'!$F263)</x:f>
      </x:c>
      <x:c r="L263" s="32" t="str">
        <x:f>IF($H263="","",'03_Functionalities'!$G263)</x:f>
      </x:c>
      <x:c r="M263" s="32" t="str">
        <x:f>IF($H263="","",'03_Functionalities'!$H263)</x:f>
      </x:c>
      <x:c r="N263" s="32" t="str">
        <x:f>IF($H263="","",'03_Functionalities'!$I263)</x:f>
      </x:c>
      <x:c r="O263" s="32" t="str">
        <x:f>IF($H263="","",'03_Functionalities'!$J263)</x:f>
      </x:c>
      <x:c r="P263" s="32" t="str">
        <x:f>IF($H263="","",'03_Functionalities'!$K263)</x:f>
      </x:c>
      <x:c r="Q263" s="32" t="str">
        <x:f>IF($H263="","",'03_Functionalities'!$L263)</x:f>
      </x:c>
      <x:c r="R263" s="32" t="str">
        <x:f>IF($H263="","",'03_Functionalities'!$M263)</x:f>
      </x:c>
      <x:c r="S263" s="32" t="str">
        <x:f>IF($H263="","",'03_Functionalities'!$N263)</x:f>
      </x:c>
      <x:c r="T263" s="32" t="str">
        <x:f>IF($H263="","",'03_Functionalities'!$O263)</x:f>
      </x:c>
      <x:c r="U263" s="32" t="str">
        <x:f>IF($A263="","",IFERROR(XLOOKUP($A263,'01_Products'!$A$5:$A$500,'01_Products'!$G$5:$G$500),""))</x:f>
      </x:c>
      <x:c r="V263" s="32" t="str">
        <x:f>IF($D263="","",IFERROR(XLOOKUP($D263,'02_Features'!$A$5:$A$1000,'02_Features'!$J$5:$J$1000),""))</x:f>
      </x:c>
      <x:c r="W263" s="32" t="str">
        <x:f>IF($H263="","",'03_Functionalities'!$P263)</x:f>
      </x:c>
      <x:c r="X263" s="32" t="str">
        <x:f>IF($H263="","",'03_Functionalities'!$Q263)</x:f>
      </x:c>
      <x:c r="Y263" s="38"/>
      <x:c r="Z263" s="38"/>
    </x:row>
    <x:row r="264" ht="18" customHeight="1">
      <x:c r="A264" s="32" t="str">
        <x:f>IF('03_Functionalities'!$A264="","",'03_Functionalities'!$C264)</x:f>
      </x:c>
      <x:c r="B264" s="32" t="str">
        <x:f>IF($A264="","",IFERROR(XLOOKUP($A264,'01_Products'!$A$5:$A$500,'01_Products'!$B$5:$B$500),""))</x:f>
      </x:c>
      <x:c r="C264" s="32" t="str">
        <x:f>IF($A264="","",IFERROR(XLOOKUP($A264,'01_Products'!$A$5:$A$500,'01_Products'!$C$5:$C$500),""))</x:f>
      </x:c>
      <x:c r="D264" s="32" t="str">
        <x:f>IF('03_Functionalities'!$A264="","",'03_Functionalities'!$B264)</x:f>
      </x:c>
      <x:c r="E264" s="32" t="str">
        <x:f>IF($D264="","",IFERROR(XLOOKUP($D264,'02_Features'!$A$5:$A$1000,'02_Features'!$C$5:$C$1000),""))</x:f>
      </x:c>
      <x:c r="F264" s="32" t="str">
        <x:f>IF($D264="","",IFERROR(XLOOKUP($D264,'02_Features'!$A$5:$A$1000,'02_Features'!$D$5:$D$1000),""))</x:f>
      </x:c>
      <x:c r="G264" s="32" t="str">
        <x:f>IF($D264="","",IFERROR(XLOOKUP($D264,'02_Features'!$A$5:$A$1000,'02_Features'!$E$5:$E$1000),""))</x:f>
      </x:c>
      <x:c r="H264" s="32" t="str">
        <x:f>IF('03_Functionalities'!$A264="","",'03_Functionalities'!$A264)</x:f>
      </x:c>
      <x:c r="I264" s="32" t="str">
        <x:f>IF($H264="","",'03_Functionalities'!$D264)</x:f>
      </x:c>
      <x:c r="J264" s="32" t="str">
        <x:f>IF($H264="","",'03_Functionalities'!$E264)</x:f>
      </x:c>
      <x:c r="K264" s="32" t="str">
        <x:f>IF($H264="","",'03_Functionalities'!$F264)</x:f>
      </x:c>
      <x:c r="L264" s="32" t="str">
        <x:f>IF($H264="","",'03_Functionalities'!$G264)</x:f>
      </x:c>
      <x:c r="M264" s="32" t="str">
        <x:f>IF($H264="","",'03_Functionalities'!$H264)</x:f>
      </x:c>
      <x:c r="N264" s="32" t="str">
        <x:f>IF($H264="","",'03_Functionalities'!$I264)</x:f>
      </x:c>
      <x:c r="O264" s="32" t="str">
        <x:f>IF($H264="","",'03_Functionalities'!$J264)</x:f>
      </x:c>
      <x:c r="P264" s="32" t="str">
        <x:f>IF($H264="","",'03_Functionalities'!$K264)</x:f>
      </x:c>
      <x:c r="Q264" s="32" t="str">
        <x:f>IF($H264="","",'03_Functionalities'!$L264)</x:f>
      </x:c>
      <x:c r="R264" s="32" t="str">
        <x:f>IF($H264="","",'03_Functionalities'!$M264)</x:f>
      </x:c>
      <x:c r="S264" s="32" t="str">
        <x:f>IF($H264="","",'03_Functionalities'!$N264)</x:f>
      </x:c>
      <x:c r="T264" s="32" t="str">
        <x:f>IF($H264="","",'03_Functionalities'!$O264)</x:f>
      </x:c>
      <x:c r="U264" s="32" t="str">
        <x:f>IF($A264="","",IFERROR(XLOOKUP($A264,'01_Products'!$A$5:$A$500,'01_Products'!$G$5:$G$500),""))</x:f>
      </x:c>
      <x:c r="V264" s="32" t="str">
        <x:f>IF($D264="","",IFERROR(XLOOKUP($D264,'02_Features'!$A$5:$A$1000,'02_Features'!$J$5:$J$1000),""))</x:f>
      </x:c>
      <x:c r="W264" s="32" t="str">
        <x:f>IF($H264="","",'03_Functionalities'!$P264)</x:f>
      </x:c>
      <x:c r="X264" s="32" t="str">
        <x:f>IF($H264="","",'03_Functionalities'!$Q264)</x:f>
      </x:c>
      <x:c r="Y264" s="38"/>
      <x:c r="Z264" s="38"/>
    </x:row>
    <x:row r="265" ht="18" customHeight="1">
      <x:c r="A265" s="32" t="str">
        <x:f>IF('03_Functionalities'!$A265="","",'03_Functionalities'!$C265)</x:f>
      </x:c>
      <x:c r="B265" s="32" t="str">
        <x:f>IF($A265="","",IFERROR(XLOOKUP($A265,'01_Products'!$A$5:$A$500,'01_Products'!$B$5:$B$500),""))</x:f>
      </x:c>
      <x:c r="C265" s="32" t="str">
        <x:f>IF($A265="","",IFERROR(XLOOKUP($A265,'01_Products'!$A$5:$A$500,'01_Products'!$C$5:$C$500),""))</x:f>
      </x:c>
      <x:c r="D265" s="32" t="str">
        <x:f>IF('03_Functionalities'!$A265="","",'03_Functionalities'!$B265)</x:f>
      </x:c>
      <x:c r="E265" s="32" t="str">
        <x:f>IF($D265="","",IFERROR(XLOOKUP($D265,'02_Features'!$A$5:$A$1000,'02_Features'!$C$5:$C$1000),""))</x:f>
      </x:c>
      <x:c r="F265" s="32" t="str">
        <x:f>IF($D265="","",IFERROR(XLOOKUP($D265,'02_Features'!$A$5:$A$1000,'02_Features'!$D$5:$D$1000),""))</x:f>
      </x:c>
      <x:c r="G265" s="32" t="str">
        <x:f>IF($D265="","",IFERROR(XLOOKUP($D265,'02_Features'!$A$5:$A$1000,'02_Features'!$E$5:$E$1000),""))</x:f>
      </x:c>
      <x:c r="H265" s="32" t="str">
        <x:f>IF('03_Functionalities'!$A265="","",'03_Functionalities'!$A265)</x:f>
      </x:c>
      <x:c r="I265" s="32" t="str">
        <x:f>IF($H265="","",'03_Functionalities'!$D265)</x:f>
      </x:c>
      <x:c r="J265" s="32" t="str">
        <x:f>IF($H265="","",'03_Functionalities'!$E265)</x:f>
      </x:c>
      <x:c r="K265" s="32" t="str">
        <x:f>IF($H265="","",'03_Functionalities'!$F265)</x:f>
      </x:c>
      <x:c r="L265" s="32" t="str">
        <x:f>IF($H265="","",'03_Functionalities'!$G265)</x:f>
      </x:c>
      <x:c r="M265" s="32" t="str">
        <x:f>IF($H265="","",'03_Functionalities'!$H265)</x:f>
      </x:c>
      <x:c r="N265" s="32" t="str">
        <x:f>IF($H265="","",'03_Functionalities'!$I265)</x:f>
      </x:c>
      <x:c r="O265" s="32" t="str">
        <x:f>IF($H265="","",'03_Functionalities'!$J265)</x:f>
      </x:c>
      <x:c r="P265" s="32" t="str">
        <x:f>IF($H265="","",'03_Functionalities'!$K265)</x:f>
      </x:c>
      <x:c r="Q265" s="32" t="str">
        <x:f>IF($H265="","",'03_Functionalities'!$L265)</x:f>
      </x:c>
      <x:c r="R265" s="32" t="str">
        <x:f>IF($H265="","",'03_Functionalities'!$M265)</x:f>
      </x:c>
      <x:c r="S265" s="32" t="str">
        <x:f>IF($H265="","",'03_Functionalities'!$N265)</x:f>
      </x:c>
      <x:c r="T265" s="32" t="str">
        <x:f>IF($H265="","",'03_Functionalities'!$O265)</x:f>
      </x:c>
      <x:c r="U265" s="32" t="str">
        <x:f>IF($A265="","",IFERROR(XLOOKUP($A265,'01_Products'!$A$5:$A$500,'01_Products'!$G$5:$G$500),""))</x:f>
      </x:c>
      <x:c r="V265" s="32" t="str">
        <x:f>IF($D265="","",IFERROR(XLOOKUP($D265,'02_Features'!$A$5:$A$1000,'02_Features'!$J$5:$J$1000),""))</x:f>
      </x:c>
      <x:c r="W265" s="32" t="str">
        <x:f>IF($H265="","",'03_Functionalities'!$P265)</x:f>
      </x:c>
      <x:c r="X265" s="32" t="str">
        <x:f>IF($H265="","",'03_Functionalities'!$Q265)</x:f>
      </x:c>
      <x:c r="Y265" s="38"/>
      <x:c r="Z265" s="38"/>
    </x:row>
    <x:row r="266" ht="18" customHeight="1">
      <x:c r="A266" s="32" t="str">
        <x:f>IF('03_Functionalities'!$A266="","",'03_Functionalities'!$C266)</x:f>
      </x:c>
      <x:c r="B266" s="32" t="str">
        <x:f>IF($A266="","",IFERROR(XLOOKUP($A266,'01_Products'!$A$5:$A$500,'01_Products'!$B$5:$B$500),""))</x:f>
      </x:c>
      <x:c r="C266" s="32" t="str">
        <x:f>IF($A266="","",IFERROR(XLOOKUP($A266,'01_Products'!$A$5:$A$500,'01_Products'!$C$5:$C$500),""))</x:f>
      </x:c>
      <x:c r="D266" s="32" t="str">
        <x:f>IF('03_Functionalities'!$A266="","",'03_Functionalities'!$B266)</x:f>
      </x:c>
      <x:c r="E266" s="32" t="str">
        <x:f>IF($D266="","",IFERROR(XLOOKUP($D266,'02_Features'!$A$5:$A$1000,'02_Features'!$C$5:$C$1000),""))</x:f>
      </x:c>
      <x:c r="F266" s="32" t="str">
        <x:f>IF($D266="","",IFERROR(XLOOKUP($D266,'02_Features'!$A$5:$A$1000,'02_Features'!$D$5:$D$1000),""))</x:f>
      </x:c>
      <x:c r="G266" s="32" t="str">
        <x:f>IF($D266="","",IFERROR(XLOOKUP($D266,'02_Features'!$A$5:$A$1000,'02_Features'!$E$5:$E$1000),""))</x:f>
      </x:c>
      <x:c r="H266" s="32" t="str">
        <x:f>IF('03_Functionalities'!$A266="","",'03_Functionalities'!$A266)</x:f>
      </x:c>
      <x:c r="I266" s="32" t="str">
        <x:f>IF($H266="","",'03_Functionalities'!$D266)</x:f>
      </x:c>
      <x:c r="J266" s="32" t="str">
        <x:f>IF($H266="","",'03_Functionalities'!$E266)</x:f>
      </x:c>
      <x:c r="K266" s="32" t="str">
        <x:f>IF($H266="","",'03_Functionalities'!$F266)</x:f>
      </x:c>
      <x:c r="L266" s="32" t="str">
        <x:f>IF($H266="","",'03_Functionalities'!$G266)</x:f>
      </x:c>
      <x:c r="M266" s="32" t="str">
        <x:f>IF($H266="","",'03_Functionalities'!$H266)</x:f>
      </x:c>
      <x:c r="N266" s="32" t="str">
        <x:f>IF($H266="","",'03_Functionalities'!$I266)</x:f>
      </x:c>
      <x:c r="O266" s="32" t="str">
        <x:f>IF($H266="","",'03_Functionalities'!$J266)</x:f>
      </x:c>
      <x:c r="P266" s="32" t="str">
        <x:f>IF($H266="","",'03_Functionalities'!$K266)</x:f>
      </x:c>
      <x:c r="Q266" s="32" t="str">
        <x:f>IF($H266="","",'03_Functionalities'!$L266)</x:f>
      </x:c>
      <x:c r="R266" s="32" t="str">
        <x:f>IF($H266="","",'03_Functionalities'!$M266)</x:f>
      </x:c>
      <x:c r="S266" s="32" t="str">
        <x:f>IF($H266="","",'03_Functionalities'!$N266)</x:f>
      </x:c>
      <x:c r="T266" s="32" t="str">
        <x:f>IF($H266="","",'03_Functionalities'!$O266)</x:f>
      </x:c>
      <x:c r="U266" s="32" t="str">
        <x:f>IF($A266="","",IFERROR(XLOOKUP($A266,'01_Products'!$A$5:$A$500,'01_Products'!$G$5:$G$500),""))</x:f>
      </x:c>
      <x:c r="V266" s="32" t="str">
        <x:f>IF($D266="","",IFERROR(XLOOKUP($D266,'02_Features'!$A$5:$A$1000,'02_Features'!$J$5:$J$1000),""))</x:f>
      </x:c>
      <x:c r="W266" s="32" t="str">
        <x:f>IF($H266="","",'03_Functionalities'!$P266)</x:f>
      </x:c>
      <x:c r="X266" s="32" t="str">
        <x:f>IF($H266="","",'03_Functionalities'!$Q266)</x:f>
      </x:c>
      <x:c r="Y266" s="38"/>
      <x:c r="Z266" s="38"/>
    </x:row>
    <x:row r="267" ht="18" customHeight="1">
      <x:c r="A267" s="32" t="str">
        <x:f>IF('03_Functionalities'!$A267="","",'03_Functionalities'!$C267)</x:f>
      </x:c>
      <x:c r="B267" s="32" t="str">
        <x:f>IF($A267="","",IFERROR(XLOOKUP($A267,'01_Products'!$A$5:$A$500,'01_Products'!$B$5:$B$500),""))</x:f>
      </x:c>
      <x:c r="C267" s="32" t="str">
        <x:f>IF($A267="","",IFERROR(XLOOKUP($A267,'01_Products'!$A$5:$A$500,'01_Products'!$C$5:$C$500),""))</x:f>
      </x:c>
      <x:c r="D267" s="32" t="str">
        <x:f>IF('03_Functionalities'!$A267="","",'03_Functionalities'!$B267)</x:f>
      </x:c>
      <x:c r="E267" s="32" t="str">
        <x:f>IF($D267="","",IFERROR(XLOOKUP($D267,'02_Features'!$A$5:$A$1000,'02_Features'!$C$5:$C$1000),""))</x:f>
      </x:c>
      <x:c r="F267" s="32" t="str">
        <x:f>IF($D267="","",IFERROR(XLOOKUP($D267,'02_Features'!$A$5:$A$1000,'02_Features'!$D$5:$D$1000),""))</x:f>
      </x:c>
      <x:c r="G267" s="32" t="str">
        <x:f>IF($D267="","",IFERROR(XLOOKUP($D267,'02_Features'!$A$5:$A$1000,'02_Features'!$E$5:$E$1000),""))</x:f>
      </x:c>
      <x:c r="H267" s="32" t="str">
        <x:f>IF('03_Functionalities'!$A267="","",'03_Functionalities'!$A267)</x:f>
      </x:c>
      <x:c r="I267" s="32" t="str">
        <x:f>IF($H267="","",'03_Functionalities'!$D267)</x:f>
      </x:c>
      <x:c r="J267" s="32" t="str">
        <x:f>IF($H267="","",'03_Functionalities'!$E267)</x:f>
      </x:c>
      <x:c r="K267" s="32" t="str">
        <x:f>IF($H267="","",'03_Functionalities'!$F267)</x:f>
      </x:c>
      <x:c r="L267" s="32" t="str">
        <x:f>IF($H267="","",'03_Functionalities'!$G267)</x:f>
      </x:c>
      <x:c r="M267" s="32" t="str">
        <x:f>IF($H267="","",'03_Functionalities'!$H267)</x:f>
      </x:c>
      <x:c r="N267" s="32" t="str">
        <x:f>IF($H267="","",'03_Functionalities'!$I267)</x:f>
      </x:c>
      <x:c r="O267" s="32" t="str">
        <x:f>IF($H267="","",'03_Functionalities'!$J267)</x:f>
      </x:c>
      <x:c r="P267" s="32" t="str">
        <x:f>IF($H267="","",'03_Functionalities'!$K267)</x:f>
      </x:c>
      <x:c r="Q267" s="32" t="str">
        <x:f>IF($H267="","",'03_Functionalities'!$L267)</x:f>
      </x:c>
      <x:c r="R267" s="32" t="str">
        <x:f>IF($H267="","",'03_Functionalities'!$M267)</x:f>
      </x:c>
      <x:c r="S267" s="32" t="str">
        <x:f>IF($H267="","",'03_Functionalities'!$N267)</x:f>
      </x:c>
      <x:c r="T267" s="32" t="str">
        <x:f>IF($H267="","",'03_Functionalities'!$O267)</x:f>
      </x:c>
      <x:c r="U267" s="32" t="str">
        <x:f>IF($A267="","",IFERROR(XLOOKUP($A267,'01_Products'!$A$5:$A$500,'01_Products'!$G$5:$G$500),""))</x:f>
      </x:c>
      <x:c r="V267" s="32" t="str">
        <x:f>IF($D267="","",IFERROR(XLOOKUP($D267,'02_Features'!$A$5:$A$1000,'02_Features'!$J$5:$J$1000),""))</x:f>
      </x:c>
      <x:c r="W267" s="32" t="str">
        <x:f>IF($H267="","",'03_Functionalities'!$P267)</x:f>
      </x:c>
      <x:c r="X267" s="32" t="str">
        <x:f>IF($H267="","",'03_Functionalities'!$Q267)</x:f>
      </x:c>
      <x:c r="Y267" s="38"/>
      <x:c r="Z267" s="38"/>
    </x:row>
    <x:row r="268" ht="18" customHeight="1">
      <x:c r="A268" s="32" t="str">
        <x:f>IF('03_Functionalities'!$A268="","",'03_Functionalities'!$C268)</x:f>
      </x:c>
      <x:c r="B268" s="32" t="str">
        <x:f>IF($A268="","",IFERROR(XLOOKUP($A268,'01_Products'!$A$5:$A$500,'01_Products'!$B$5:$B$500),""))</x:f>
      </x:c>
      <x:c r="C268" s="32" t="str">
        <x:f>IF($A268="","",IFERROR(XLOOKUP($A268,'01_Products'!$A$5:$A$500,'01_Products'!$C$5:$C$500),""))</x:f>
      </x:c>
      <x:c r="D268" s="32" t="str">
        <x:f>IF('03_Functionalities'!$A268="","",'03_Functionalities'!$B268)</x:f>
      </x:c>
      <x:c r="E268" s="32" t="str">
        <x:f>IF($D268="","",IFERROR(XLOOKUP($D268,'02_Features'!$A$5:$A$1000,'02_Features'!$C$5:$C$1000),""))</x:f>
      </x:c>
      <x:c r="F268" s="32" t="str">
        <x:f>IF($D268="","",IFERROR(XLOOKUP($D268,'02_Features'!$A$5:$A$1000,'02_Features'!$D$5:$D$1000),""))</x:f>
      </x:c>
      <x:c r="G268" s="32" t="str">
        <x:f>IF($D268="","",IFERROR(XLOOKUP($D268,'02_Features'!$A$5:$A$1000,'02_Features'!$E$5:$E$1000),""))</x:f>
      </x:c>
      <x:c r="H268" s="32" t="str">
        <x:f>IF('03_Functionalities'!$A268="","",'03_Functionalities'!$A268)</x:f>
      </x:c>
      <x:c r="I268" s="32" t="str">
        <x:f>IF($H268="","",'03_Functionalities'!$D268)</x:f>
      </x:c>
      <x:c r="J268" s="32" t="str">
        <x:f>IF($H268="","",'03_Functionalities'!$E268)</x:f>
      </x:c>
      <x:c r="K268" s="32" t="str">
        <x:f>IF($H268="","",'03_Functionalities'!$F268)</x:f>
      </x:c>
      <x:c r="L268" s="32" t="str">
        <x:f>IF($H268="","",'03_Functionalities'!$G268)</x:f>
      </x:c>
      <x:c r="M268" s="32" t="str">
        <x:f>IF($H268="","",'03_Functionalities'!$H268)</x:f>
      </x:c>
      <x:c r="N268" s="32" t="str">
        <x:f>IF($H268="","",'03_Functionalities'!$I268)</x:f>
      </x:c>
      <x:c r="O268" s="32" t="str">
        <x:f>IF($H268="","",'03_Functionalities'!$J268)</x:f>
      </x:c>
      <x:c r="P268" s="32" t="str">
        <x:f>IF($H268="","",'03_Functionalities'!$K268)</x:f>
      </x:c>
      <x:c r="Q268" s="32" t="str">
        <x:f>IF($H268="","",'03_Functionalities'!$L268)</x:f>
      </x:c>
      <x:c r="R268" s="32" t="str">
        <x:f>IF($H268="","",'03_Functionalities'!$M268)</x:f>
      </x:c>
      <x:c r="S268" s="32" t="str">
        <x:f>IF($H268="","",'03_Functionalities'!$N268)</x:f>
      </x:c>
      <x:c r="T268" s="32" t="str">
        <x:f>IF($H268="","",'03_Functionalities'!$O268)</x:f>
      </x:c>
      <x:c r="U268" s="32" t="str">
        <x:f>IF($A268="","",IFERROR(XLOOKUP($A268,'01_Products'!$A$5:$A$500,'01_Products'!$G$5:$G$500),""))</x:f>
      </x:c>
      <x:c r="V268" s="32" t="str">
        <x:f>IF($D268="","",IFERROR(XLOOKUP($D268,'02_Features'!$A$5:$A$1000,'02_Features'!$J$5:$J$1000),""))</x:f>
      </x:c>
      <x:c r="W268" s="32" t="str">
        <x:f>IF($H268="","",'03_Functionalities'!$P268)</x:f>
      </x:c>
      <x:c r="X268" s="32" t="str">
        <x:f>IF($H268="","",'03_Functionalities'!$Q268)</x:f>
      </x:c>
      <x:c r="Y268" s="38"/>
      <x:c r="Z268" s="38"/>
    </x:row>
    <x:row r="269" ht="18" customHeight="1">
      <x:c r="A269" s="32" t="str">
        <x:f>IF('03_Functionalities'!$A269="","",'03_Functionalities'!$C269)</x:f>
      </x:c>
      <x:c r="B269" s="32" t="str">
        <x:f>IF($A269="","",IFERROR(XLOOKUP($A269,'01_Products'!$A$5:$A$500,'01_Products'!$B$5:$B$500),""))</x:f>
      </x:c>
      <x:c r="C269" s="32" t="str">
        <x:f>IF($A269="","",IFERROR(XLOOKUP($A269,'01_Products'!$A$5:$A$500,'01_Products'!$C$5:$C$500),""))</x:f>
      </x:c>
      <x:c r="D269" s="32" t="str">
        <x:f>IF('03_Functionalities'!$A269="","",'03_Functionalities'!$B269)</x:f>
      </x:c>
      <x:c r="E269" s="32" t="str">
        <x:f>IF($D269="","",IFERROR(XLOOKUP($D269,'02_Features'!$A$5:$A$1000,'02_Features'!$C$5:$C$1000),""))</x:f>
      </x:c>
      <x:c r="F269" s="32" t="str">
        <x:f>IF($D269="","",IFERROR(XLOOKUP($D269,'02_Features'!$A$5:$A$1000,'02_Features'!$D$5:$D$1000),""))</x:f>
      </x:c>
      <x:c r="G269" s="32" t="str">
        <x:f>IF($D269="","",IFERROR(XLOOKUP($D269,'02_Features'!$A$5:$A$1000,'02_Features'!$E$5:$E$1000),""))</x:f>
      </x:c>
      <x:c r="H269" s="32" t="str">
        <x:f>IF('03_Functionalities'!$A269="","",'03_Functionalities'!$A269)</x:f>
      </x:c>
      <x:c r="I269" s="32" t="str">
        <x:f>IF($H269="","",'03_Functionalities'!$D269)</x:f>
      </x:c>
      <x:c r="J269" s="32" t="str">
        <x:f>IF($H269="","",'03_Functionalities'!$E269)</x:f>
      </x:c>
      <x:c r="K269" s="32" t="str">
        <x:f>IF($H269="","",'03_Functionalities'!$F269)</x:f>
      </x:c>
      <x:c r="L269" s="32" t="str">
        <x:f>IF($H269="","",'03_Functionalities'!$G269)</x:f>
      </x:c>
      <x:c r="M269" s="32" t="str">
        <x:f>IF($H269="","",'03_Functionalities'!$H269)</x:f>
      </x:c>
      <x:c r="N269" s="32" t="str">
        <x:f>IF($H269="","",'03_Functionalities'!$I269)</x:f>
      </x:c>
      <x:c r="O269" s="32" t="str">
        <x:f>IF($H269="","",'03_Functionalities'!$J269)</x:f>
      </x:c>
      <x:c r="P269" s="32" t="str">
        <x:f>IF($H269="","",'03_Functionalities'!$K269)</x:f>
      </x:c>
      <x:c r="Q269" s="32" t="str">
        <x:f>IF($H269="","",'03_Functionalities'!$L269)</x:f>
      </x:c>
      <x:c r="R269" s="32" t="str">
        <x:f>IF($H269="","",'03_Functionalities'!$M269)</x:f>
      </x:c>
      <x:c r="S269" s="32" t="str">
        <x:f>IF($H269="","",'03_Functionalities'!$N269)</x:f>
      </x:c>
      <x:c r="T269" s="32" t="str">
        <x:f>IF($H269="","",'03_Functionalities'!$O269)</x:f>
      </x:c>
      <x:c r="U269" s="32" t="str">
        <x:f>IF($A269="","",IFERROR(XLOOKUP($A269,'01_Products'!$A$5:$A$500,'01_Products'!$G$5:$G$500),""))</x:f>
      </x:c>
      <x:c r="V269" s="32" t="str">
        <x:f>IF($D269="","",IFERROR(XLOOKUP($D269,'02_Features'!$A$5:$A$1000,'02_Features'!$J$5:$J$1000),""))</x:f>
      </x:c>
      <x:c r="W269" s="32" t="str">
        <x:f>IF($H269="","",'03_Functionalities'!$P269)</x:f>
      </x:c>
      <x:c r="X269" s="32" t="str">
        <x:f>IF($H269="","",'03_Functionalities'!$Q269)</x:f>
      </x:c>
      <x:c r="Y269" s="38"/>
      <x:c r="Z269" s="38"/>
    </x:row>
    <x:row r="270" ht="18" customHeight="1">
      <x:c r="A270" s="32" t="str">
        <x:f>IF('03_Functionalities'!$A270="","",'03_Functionalities'!$C270)</x:f>
      </x:c>
      <x:c r="B270" s="32" t="str">
        <x:f>IF($A270="","",IFERROR(XLOOKUP($A270,'01_Products'!$A$5:$A$500,'01_Products'!$B$5:$B$500),""))</x:f>
      </x:c>
      <x:c r="C270" s="32" t="str">
        <x:f>IF($A270="","",IFERROR(XLOOKUP($A270,'01_Products'!$A$5:$A$500,'01_Products'!$C$5:$C$500),""))</x:f>
      </x:c>
      <x:c r="D270" s="32" t="str">
        <x:f>IF('03_Functionalities'!$A270="","",'03_Functionalities'!$B270)</x:f>
      </x:c>
      <x:c r="E270" s="32" t="str">
        <x:f>IF($D270="","",IFERROR(XLOOKUP($D270,'02_Features'!$A$5:$A$1000,'02_Features'!$C$5:$C$1000),""))</x:f>
      </x:c>
      <x:c r="F270" s="32" t="str">
        <x:f>IF($D270="","",IFERROR(XLOOKUP($D270,'02_Features'!$A$5:$A$1000,'02_Features'!$D$5:$D$1000),""))</x:f>
      </x:c>
      <x:c r="G270" s="32" t="str">
        <x:f>IF($D270="","",IFERROR(XLOOKUP($D270,'02_Features'!$A$5:$A$1000,'02_Features'!$E$5:$E$1000),""))</x:f>
      </x:c>
      <x:c r="H270" s="32" t="str">
        <x:f>IF('03_Functionalities'!$A270="","",'03_Functionalities'!$A270)</x:f>
      </x:c>
      <x:c r="I270" s="32" t="str">
        <x:f>IF($H270="","",'03_Functionalities'!$D270)</x:f>
      </x:c>
      <x:c r="J270" s="32" t="str">
        <x:f>IF($H270="","",'03_Functionalities'!$E270)</x:f>
      </x:c>
      <x:c r="K270" s="32" t="str">
        <x:f>IF($H270="","",'03_Functionalities'!$F270)</x:f>
      </x:c>
      <x:c r="L270" s="32" t="str">
        <x:f>IF($H270="","",'03_Functionalities'!$G270)</x:f>
      </x:c>
      <x:c r="M270" s="32" t="str">
        <x:f>IF($H270="","",'03_Functionalities'!$H270)</x:f>
      </x:c>
      <x:c r="N270" s="32" t="str">
        <x:f>IF($H270="","",'03_Functionalities'!$I270)</x:f>
      </x:c>
      <x:c r="O270" s="32" t="str">
        <x:f>IF($H270="","",'03_Functionalities'!$J270)</x:f>
      </x:c>
      <x:c r="P270" s="32" t="str">
        <x:f>IF($H270="","",'03_Functionalities'!$K270)</x:f>
      </x:c>
      <x:c r="Q270" s="32" t="str">
        <x:f>IF($H270="","",'03_Functionalities'!$L270)</x:f>
      </x:c>
      <x:c r="R270" s="32" t="str">
        <x:f>IF($H270="","",'03_Functionalities'!$M270)</x:f>
      </x:c>
      <x:c r="S270" s="32" t="str">
        <x:f>IF($H270="","",'03_Functionalities'!$N270)</x:f>
      </x:c>
      <x:c r="T270" s="32" t="str">
        <x:f>IF($H270="","",'03_Functionalities'!$O270)</x:f>
      </x:c>
      <x:c r="U270" s="32" t="str">
        <x:f>IF($A270="","",IFERROR(XLOOKUP($A270,'01_Products'!$A$5:$A$500,'01_Products'!$G$5:$G$500),""))</x:f>
      </x:c>
      <x:c r="V270" s="32" t="str">
        <x:f>IF($D270="","",IFERROR(XLOOKUP($D270,'02_Features'!$A$5:$A$1000,'02_Features'!$J$5:$J$1000),""))</x:f>
      </x:c>
      <x:c r="W270" s="32" t="str">
        <x:f>IF($H270="","",'03_Functionalities'!$P270)</x:f>
      </x:c>
      <x:c r="X270" s="32" t="str">
        <x:f>IF($H270="","",'03_Functionalities'!$Q270)</x:f>
      </x:c>
      <x:c r="Y270" s="38"/>
      <x:c r="Z270" s="38"/>
    </x:row>
    <x:row r="271" ht="18" customHeight="1">
      <x:c r="A271" s="32" t="str">
        <x:f>IF('03_Functionalities'!$A271="","",'03_Functionalities'!$C271)</x:f>
      </x:c>
      <x:c r="B271" s="32" t="str">
        <x:f>IF($A271="","",IFERROR(XLOOKUP($A271,'01_Products'!$A$5:$A$500,'01_Products'!$B$5:$B$500),""))</x:f>
      </x:c>
      <x:c r="C271" s="32" t="str">
        <x:f>IF($A271="","",IFERROR(XLOOKUP($A271,'01_Products'!$A$5:$A$500,'01_Products'!$C$5:$C$500),""))</x:f>
      </x:c>
      <x:c r="D271" s="32" t="str">
        <x:f>IF('03_Functionalities'!$A271="","",'03_Functionalities'!$B271)</x:f>
      </x:c>
      <x:c r="E271" s="32" t="str">
        <x:f>IF($D271="","",IFERROR(XLOOKUP($D271,'02_Features'!$A$5:$A$1000,'02_Features'!$C$5:$C$1000),""))</x:f>
      </x:c>
      <x:c r="F271" s="32" t="str">
        <x:f>IF($D271="","",IFERROR(XLOOKUP($D271,'02_Features'!$A$5:$A$1000,'02_Features'!$D$5:$D$1000),""))</x:f>
      </x:c>
      <x:c r="G271" s="32" t="str">
        <x:f>IF($D271="","",IFERROR(XLOOKUP($D271,'02_Features'!$A$5:$A$1000,'02_Features'!$E$5:$E$1000),""))</x:f>
      </x:c>
      <x:c r="H271" s="32" t="str">
        <x:f>IF('03_Functionalities'!$A271="","",'03_Functionalities'!$A271)</x:f>
      </x:c>
      <x:c r="I271" s="32" t="str">
        <x:f>IF($H271="","",'03_Functionalities'!$D271)</x:f>
      </x:c>
      <x:c r="J271" s="32" t="str">
        <x:f>IF($H271="","",'03_Functionalities'!$E271)</x:f>
      </x:c>
      <x:c r="K271" s="32" t="str">
        <x:f>IF($H271="","",'03_Functionalities'!$F271)</x:f>
      </x:c>
      <x:c r="L271" s="32" t="str">
        <x:f>IF($H271="","",'03_Functionalities'!$G271)</x:f>
      </x:c>
      <x:c r="M271" s="32" t="str">
        <x:f>IF($H271="","",'03_Functionalities'!$H271)</x:f>
      </x:c>
      <x:c r="N271" s="32" t="str">
        <x:f>IF($H271="","",'03_Functionalities'!$I271)</x:f>
      </x:c>
      <x:c r="O271" s="32" t="str">
        <x:f>IF($H271="","",'03_Functionalities'!$J271)</x:f>
      </x:c>
      <x:c r="P271" s="32" t="str">
        <x:f>IF($H271="","",'03_Functionalities'!$K271)</x:f>
      </x:c>
      <x:c r="Q271" s="32" t="str">
        <x:f>IF($H271="","",'03_Functionalities'!$L271)</x:f>
      </x:c>
      <x:c r="R271" s="32" t="str">
        <x:f>IF($H271="","",'03_Functionalities'!$M271)</x:f>
      </x:c>
      <x:c r="S271" s="32" t="str">
        <x:f>IF($H271="","",'03_Functionalities'!$N271)</x:f>
      </x:c>
      <x:c r="T271" s="32" t="str">
        <x:f>IF($H271="","",'03_Functionalities'!$O271)</x:f>
      </x:c>
      <x:c r="U271" s="32" t="str">
        <x:f>IF($A271="","",IFERROR(XLOOKUP($A271,'01_Products'!$A$5:$A$500,'01_Products'!$G$5:$G$500),""))</x:f>
      </x:c>
      <x:c r="V271" s="32" t="str">
        <x:f>IF($D271="","",IFERROR(XLOOKUP($D271,'02_Features'!$A$5:$A$1000,'02_Features'!$J$5:$J$1000),""))</x:f>
      </x:c>
      <x:c r="W271" s="32" t="str">
        <x:f>IF($H271="","",'03_Functionalities'!$P271)</x:f>
      </x:c>
      <x:c r="X271" s="32" t="str">
        <x:f>IF($H271="","",'03_Functionalities'!$Q271)</x:f>
      </x:c>
      <x:c r="Y271" s="38"/>
      <x:c r="Z271" s="38"/>
    </x:row>
    <x:row r="272" ht="18" customHeight="1">
      <x:c r="A272" s="32" t="str">
        <x:f>IF('03_Functionalities'!$A272="","",'03_Functionalities'!$C272)</x:f>
      </x:c>
      <x:c r="B272" s="32" t="str">
        <x:f>IF($A272="","",IFERROR(XLOOKUP($A272,'01_Products'!$A$5:$A$500,'01_Products'!$B$5:$B$500),""))</x:f>
      </x:c>
      <x:c r="C272" s="32" t="str">
        <x:f>IF($A272="","",IFERROR(XLOOKUP($A272,'01_Products'!$A$5:$A$500,'01_Products'!$C$5:$C$500),""))</x:f>
      </x:c>
      <x:c r="D272" s="32" t="str">
        <x:f>IF('03_Functionalities'!$A272="","",'03_Functionalities'!$B272)</x:f>
      </x:c>
      <x:c r="E272" s="32" t="str">
        <x:f>IF($D272="","",IFERROR(XLOOKUP($D272,'02_Features'!$A$5:$A$1000,'02_Features'!$C$5:$C$1000),""))</x:f>
      </x:c>
      <x:c r="F272" s="32" t="str">
        <x:f>IF($D272="","",IFERROR(XLOOKUP($D272,'02_Features'!$A$5:$A$1000,'02_Features'!$D$5:$D$1000),""))</x:f>
      </x:c>
      <x:c r="G272" s="32" t="str">
        <x:f>IF($D272="","",IFERROR(XLOOKUP($D272,'02_Features'!$A$5:$A$1000,'02_Features'!$E$5:$E$1000),""))</x:f>
      </x:c>
      <x:c r="H272" s="32" t="str">
        <x:f>IF('03_Functionalities'!$A272="","",'03_Functionalities'!$A272)</x:f>
      </x:c>
      <x:c r="I272" s="32" t="str">
        <x:f>IF($H272="","",'03_Functionalities'!$D272)</x:f>
      </x:c>
      <x:c r="J272" s="32" t="str">
        <x:f>IF($H272="","",'03_Functionalities'!$E272)</x:f>
      </x:c>
      <x:c r="K272" s="32" t="str">
        <x:f>IF($H272="","",'03_Functionalities'!$F272)</x:f>
      </x:c>
      <x:c r="L272" s="32" t="str">
        <x:f>IF($H272="","",'03_Functionalities'!$G272)</x:f>
      </x:c>
      <x:c r="M272" s="32" t="str">
        <x:f>IF($H272="","",'03_Functionalities'!$H272)</x:f>
      </x:c>
      <x:c r="N272" s="32" t="str">
        <x:f>IF($H272="","",'03_Functionalities'!$I272)</x:f>
      </x:c>
      <x:c r="O272" s="32" t="str">
        <x:f>IF($H272="","",'03_Functionalities'!$J272)</x:f>
      </x:c>
      <x:c r="P272" s="32" t="str">
        <x:f>IF($H272="","",'03_Functionalities'!$K272)</x:f>
      </x:c>
      <x:c r="Q272" s="32" t="str">
        <x:f>IF($H272="","",'03_Functionalities'!$L272)</x:f>
      </x:c>
      <x:c r="R272" s="32" t="str">
        <x:f>IF($H272="","",'03_Functionalities'!$M272)</x:f>
      </x:c>
      <x:c r="S272" s="32" t="str">
        <x:f>IF($H272="","",'03_Functionalities'!$N272)</x:f>
      </x:c>
      <x:c r="T272" s="32" t="str">
        <x:f>IF($H272="","",'03_Functionalities'!$O272)</x:f>
      </x:c>
      <x:c r="U272" s="32" t="str">
        <x:f>IF($A272="","",IFERROR(XLOOKUP($A272,'01_Products'!$A$5:$A$500,'01_Products'!$G$5:$G$500),""))</x:f>
      </x:c>
      <x:c r="V272" s="32" t="str">
        <x:f>IF($D272="","",IFERROR(XLOOKUP($D272,'02_Features'!$A$5:$A$1000,'02_Features'!$J$5:$J$1000),""))</x:f>
      </x:c>
      <x:c r="W272" s="32" t="str">
        <x:f>IF($H272="","",'03_Functionalities'!$P272)</x:f>
      </x:c>
      <x:c r="X272" s="32" t="str">
        <x:f>IF($H272="","",'03_Functionalities'!$Q272)</x:f>
      </x:c>
      <x:c r="Y272" s="38"/>
      <x:c r="Z272" s="38"/>
    </x:row>
    <x:row r="273" ht="18" customHeight="1">
      <x:c r="A273" s="32" t="str">
        <x:f>IF('03_Functionalities'!$A273="","",'03_Functionalities'!$C273)</x:f>
      </x:c>
      <x:c r="B273" s="32" t="str">
        <x:f>IF($A273="","",IFERROR(XLOOKUP($A273,'01_Products'!$A$5:$A$500,'01_Products'!$B$5:$B$500),""))</x:f>
      </x:c>
      <x:c r="C273" s="32" t="str">
        <x:f>IF($A273="","",IFERROR(XLOOKUP($A273,'01_Products'!$A$5:$A$500,'01_Products'!$C$5:$C$500),""))</x:f>
      </x:c>
      <x:c r="D273" s="32" t="str">
        <x:f>IF('03_Functionalities'!$A273="","",'03_Functionalities'!$B273)</x:f>
      </x:c>
      <x:c r="E273" s="32" t="str">
        <x:f>IF($D273="","",IFERROR(XLOOKUP($D273,'02_Features'!$A$5:$A$1000,'02_Features'!$C$5:$C$1000),""))</x:f>
      </x:c>
      <x:c r="F273" s="32" t="str">
        <x:f>IF($D273="","",IFERROR(XLOOKUP($D273,'02_Features'!$A$5:$A$1000,'02_Features'!$D$5:$D$1000),""))</x:f>
      </x:c>
      <x:c r="G273" s="32" t="str">
        <x:f>IF($D273="","",IFERROR(XLOOKUP($D273,'02_Features'!$A$5:$A$1000,'02_Features'!$E$5:$E$1000),""))</x:f>
      </x:c>
      <x:c r="H273" s="32" t="str">
        <x:f>IF('03_Functionalities'!$A273="","",'03_Functionalities'!$A273)</x:f>
      </x:c>
      <x:c r="I273" s="32" t="str">
        <x:f>IF($H273="","",'03_Functionalities'!$D273)</x:f>
      </x:c>
      <x:c r="J273" s="32" t="str">
        <x:f>IF($H273="","",'03_Functionalities'!$E273)</x:f>
      </x:c>
      <x:c r="K273" s="32" t="str">
        <x:f>IF($H273="","",'03_Functionalities'!$F273)</x:f>
      </x:c>
      <x:c r="L273" s="32" t="str">
        <x:f>IF($H273="","",'03_Functionalities'!$G273)</x:f>
      </x:c>
      <x:c r="M273" s="32" t="str">
        <x:f>IF($H273="","",'03_Functionalities'!$H273)</x:f>
      </x:c>
      <x:c r="N273" s="32" t="str">
        <x:f>IF($H273="","",'03_Functionalities'!$I273)</x:f>
      </x:c>
      <x:c r="O273" s="32" t="str">
        <x:f>IF($H273="","",'03_Functionalities'!$J273)</x:f>
      </x:c>
      <x:c r="P273" s="32" t="str">
        <x:f>IF($H273="","",'03_Functionalities'!$K273)</x:f>
      </x:c>
      <x:c r="Q273" s="32" t="str">
        <x:f>IF($H273="","",'03_Functionalities'!$L273)</x:f>
      </x:c>
      <x:c r="R273" s="32" t="str">
        <x:f>IF($H273="","",'03_Functionalities'!$M273)</x:f>
      </x:c>
      <x:c r="S273" s="32" t="str">
        <x:f>IF($H273="","",'03_Functionalities'!$N273)</x:f>
      </x:c>
      <x:c r="T273" s="32" t="str">
        <x:f>IF($H273="","",'03_Functionalities'!$O273)</x:f>
      </x:c>
      <x:c r="U273" s="32" t="str">
        <x:f>IF($A273="","",IFERROR(XLOOKUP($A273,'01_Products'!$A$5:$A$500,'01_Products'!$G$5:$G$500),""))</x:f>
      </x:c>
      <x:c r="V273" s="32" t="str">
        <x:f>IF($D273="","",IFERROR(XLOOKUP($D273,'02_Features'!$A$5:$A$1000,'02_Features'!$J$5:$J$1000),""))</x:f>
      </x:c>
      <x:c r="W273" s="32" t="str">
        <x:f>IF($H273="","",'03_Functionalities'!$P273)</x:f>
      </x:c>
      <x:c r="X273" s="32" t="str">
        <x:f>IF($H273="","",'03_Functionalities'!$Q273)</x:f>
      </x:c>
      <x:c r="Y273" s="38"/>
      <x:c r="Z273" s="38"/>
    </x:row>
    <x:row r="274" ht="18" customHeight="1">
      <x:c r="A274" s="32" t="str">
        <x:f>IF('03_Functionalities'!$A274="","",'03_Functionalities'!$C274)</x:f>
      </x:c>
      <x:c r="B274" s="32" t="str">
        <x:f>IF($A274="","",IFERROR(XLOOKUP($A274,'01_Products'!$A$5:$A$500,'01_Products'!$B$5:$B$500),""))</x:f>
      </x:c>
      <x:c r="C274" s="32" t="str">
        <x:f>IF($A274="","",IFERROR(XLOOKUP($A274,'01_Products'!$A$5:$A$500,'01_Products'!$C$5:$C$500),""))</x:f>
      </x:c>
      <x:c r="D274" s="32" t="str">
        <x:f>IF('03_Functionalities'!$A274="","",'03_Functionalities'!$B274)</x:f>
      </x:c>
      <x:c r="E274" s="32" t="str">
        <x:f>IF($D274="","",IFERROR(XLOOKUP($D274,'02_Features'!$A$5:$A$1000,'02_Features'!$C$5:$C$1000),""))</x:f>
      </x:c>
      <x:c r="F274" s="32" t="str">
        <x:f>IF($D274="","",IFERROR(XLOOKUP($D274,'02_Features'!$A$5:$A$1000,'02_Features'!$D$5:$D$1000),""))</x:f>
      </x:c>
      <x:c r="G274" s="32" t="str">
        <x:f>IF($D274="","",IFERROR(XLOOKUP($D274,'02_Features'!$A$5:$A$1000,'02_Features'!$E$5:$E$1000),""))</x:f>
      </x:c>
      <x:c r="H274" s="32" t="str">
        <x:f>IF('03_Functionalities'!$A274="","",'03_Functionalities'!$A274)</x:f>
      </x:c>
      <x:c r="I274" s="32" t="str">
        <x:f>IF($H274="","",'03_Functionalities'!$D274)</x:f>
      </x:c>
      <x:c r="J274" s="32" t="str">
        <x:f>IF($H274="","",'03_Functionalities'!$E274)</x:f>
      </x:c>
      <x:c r="K274" s="32" t="str">
        <x:f>IF($H274="","",'03_Functionalities'!$F274)</x:f>
      </x:c>
      <x:c r="L274" s="32" t="str">
        <x:f>IF($H274="","",'03_Functionalities'!$G274)</x:f>
      </x:c>
      <x:c r="M274" s="32" t="str">
        <x:f>IF($H274="","",'03_Functionalities'!$H274)</x:f>
      </x:c>
      <x:c r="N274" s="32" t="str">
        <x:f>IF($H274="","",'03_Functionalities'!$I274)</x:f>
      </x:c>
      <x:c r="O274" s="32" t="str">
        <x:f>IF($H274="","",'03_Functionalities'!$J274)</x:f>
      </x:c>
      <x:c r="P274" s="32" t="str">
        <x:f>IF($H274="","",'03_Functionalities'!$K274)</x:f>
      </x:c>
      <x:c r="Q274" s="32" t="str">
        <x:f>IF($H274="","",'03_Functionalities'!$L274)</x:f>
      </x:c>
      <x:c r="R274" s="32" t="str">
        <x:f>IF($H274="","",'03_Functionalities'!$M274)</x:f>
      </x:c>
      <x:c r="S274" s="32" t="str">
        <x:f>IF($H274="","",'03_Functionalities'!$N274)</x:f>
      </x:c>
      <x:c r="T274" s="32" t="str">
        <x:f>IF($H274="","",'03_Functionalities'!$O274)</x:f>
      </x:c>
      <x:c r="U274" s="32" t="str">
        <x:f>IF($A274="","",IFERROR(XLOOKUP($A274,'01_Products'!$A$5:$A$500,'01_Products'!$G$5:$G$500),""))</x:f>
      </x:c>
      <x:c r="V274" s="32" t="str">
        <x:f>IF($D274="","",IFERROR(XLOOKUP($D274,'02_Features'!$A$5:$A$1000,'02_Features'!$J$5:$J$1000),""))</x:f>
      </x:c>
      <x:c r="W274" s="32" t="str">
        <x:f>IF($H274="","",'03_Functionalities'!$P274)</x:f>
      </x:c>
      <x:c r="X274" s="32" t="str">
        <x:f>IF($H274="","",'03_Functionalities'!$Q274)</x:f>
      </x:c>
      <x:c r="Y274" s="38"/>
      <x:c r="Z274" s="38"/>
    </x:row>
    <x:row r="275" ht="18" customHeight="1">
      <x:c r="A275" s="32" t="str">
        <x:f>IF('03_Functionalities'!$A275="","",'03_Functionalities'!$C275)</x:f>
      </x:c>
      <x:c r="B275" s="32" t="str">
        <x:f>IF($A275="","",IFERROR(XLOOKUP($A275,'01_Products'!$A$5:$A$500,'01_Products'!$B$5:$B$500),""))</x:f>
      </x:c>
      <x:c r="C275" s="32" t="str">
        <x:f>IF($A275="","",IFERROR(XLOOKUP($A275,'01_Products'!$A$5:$A$500,'01_Products'!$C$5:$C$500),""))</x:f>
      </x:c>
      <x:c r="D275" s="32" t="str">
        <x:f>IF('03_Functionalities'!$A275="","",'03_Functionalities'!$B275)</x:f>
      </x:c>
      <x:c r="E275" s="32" t="str">
        <x:f>IF($D275="","",IFERROR(XLOOKUP($D275,'02_Features'!$A$5:$A$1000,'02_Features'!$C$5:$C$1000),""))</x:f>
      </x:c>
      <x:c r="F275" s="32" t="str">
        <x:f>IF($D275="","",IFERROR(XLOOKUP($D275,'02_Features'!$A$5:$A$1000,'02_Features'!$D$5:$D$1000),""))</x:f>
      </x:c>
      <x:c r="G275" s="32" t="str">
        <x:f>IF($D275="","",IFERROR(XLOOKUP($D275,'02_Features'!$A$5:$A$1000,'02_Features'!$E$5:$E$1000),""))</x:f>
      </x:c>
      <x:c r="H275" s="32" t="str">
        <x:f>IF('03_Functionalities'!$A275="","",'03_Functionalities'!$A275)</x:f>
      </x:c>
      <x:c r="I275" s="32" t="str">
        <x:f>IF($H275="","",'03_Functionalities'!$D275)</x:f>
      </x:c>
      <x:c r="J275" s="32" t="str">
        <x:f>IF($H275="","",'03_Functionalities'!$E275)</x:f>
      </x:c>
      <x:c r="K275" s="32" t="str">
        <x:f>IF($H275="","",'03_Functionalities'!$F275)</x:f>
      </x:c>
      <x:c r="L275" s="32" t="str">
        <x:f>IF($H275="","",'03_Functionalities'!$G275)</x:f>
      </x:c>
      <x:c r="M275" s="32" t="str">
        <x:f>IF($H275="","",'03_Functionalities'!$H275)</x:f>
      </x:c>
      <x:c r="N275" s="32" t="str">
        <x:f>IF($H275="","",'03_Functionalities'!$I275)</x:f>
      </x:c>
      <x:c r="O275" s="32" t="str">
        <x:f>IF($H275="","",'03_Functionalities'!$J275)</x:f>
      </x:c>
      <x:c r="P275" s="32" t="str">
        <x:f>IF($H275="","",'03_Functionalities'!$K275)</x:f>
      </x:c>
      <x:c r="Q275" s="32" t="str">
        <x:f>IF($H275="","",'03_Functionalities'!$L275)</x:f>
      </x:c>
      <x:c r="R275" s="32" t="str">
        <x:f>IF($H275="","",'03_Functionalities'!$M275)</x:f>
      </x:c>
      <x:c r="S275" s="32" t="str">
        <x:f>IF($H275="","",'03_Functionalities'!$N275)</x:f>
      </x:c>
      <x:c r="T275" s="32" t="str">
        <x:f>IF($H275="","",'03_Functionalities'!$O275)</x:f>
      </x:c>
      <x:c r="U275" s="32" t="str">
        <x:f>IF($A275="","",IFERROR(XLOOKUP($A275,'01_Products'!$A$5:$A$500,'01_Products'!$G$5:$G$500),""))</x:f>
      </x:c>
      <x:c r="V275" s="32" t="str">
        <x:f>IF($D275="","",IFERROR(XLOOKUP($D275,'02_Features'!$A$5:$A$1000,'02_Features'!$J$5:$J$1000),""))</x:f>
      </x:c>
      <x:c r="W275" s="32" t="str">
        <x:f>IF($H275="","",'03_Functionalities'!$P275)</x:f>
      </x:c>
      <x:c r="X275" s="32" t="str">
        <x:f>IF($H275="","",'03_Functionalities'!$Q275)</x:f>
      </x:c>
      <x:c r="Y275" s="38"/>
      <x:c r="Z275" s="38"/>
    </x:row>
    <x:row r="276" ht="18" customHeight="1">
      <x:c r="A276" s="32" t="str">
        <x:f>IF('03_Functionalities'!$A276="","",'03_Functionalities'!$C276)</x:f>
      </x:c>
      <x:c r="B276" s="32" t="str">
        <x:f>IF($A276="","",IFERROR(XLOOKUP($A276,'01_Products'!$A$5:$A$500,'01_Products'!$B$5:$B$500),""))</x:f>
      </x:c>
      <x:c r="C276" s="32" t="str">
        <x:f>IF($A276="","",IFERROR(XLOOKUP($A276,'01_Products'!$A$5:$A$500,'01_Products'!$C$5:$C$500),""))</x:f>
      </x:c>
      <x:c r="D276" s="32" t="str">
        <x:f>IF('03_Functionalities'!$A276="","",'03_Functionalities'!$B276)</x:f>
      </x:c>
      <x:c r="E276" s="32" t="str">
        <x:f>IF($D276="","",IFERROR(XLOOKUP($D276,'02_Features'!$A$5:$A$1000,'02_Features'!$C$5:$C$1000),""))</x:f>
      </x:c>
      <x:c r="F276" s="32" t="str">
        <x:f>IF($D276="","",IFERROR(XLOOKUP($D276,'02_Features'!$A$5:$A$1000,'02_Features'!$D$5:$D$1000),""))</x:f>
      </x:c>
      <x:c r="G276" s="32" t="str">
        <x:f>IF($D276="","",IFERROR(XLOOKUP($D276,'02_Features'!$A$5:$A$1000,'02_Features'!$E$5:$E$1000),""))</x:f>
      </x:c>
      <x:c r="H276" s="32" t="str">
        <x:f>IF('03_Functionalities'!$A276="","",'03_Functionalities'!$A276)</x:f>
      </x:c>
      <x:c r="I276" s="32" t="str">
        <x:f>IF($H276="","",'03_Functionalities'!$D276)</x:f>
      </x:c>
      <x:c r="J276" s="32" t="str">
        <x:f>IF($H276="","",'03_Functionalities'!$E276)</x:f>
      </x:c>
      <x:c r="K276" s="32" t="str">
        <x:f>IF($H276="","",'03_Functionalities'!$F276)</x:f>
      </x:c>
      <x:c r="L276" s="32" t="str">
        <x:f>IF($H276="","",'03_Functionalities'!$G276)</x:f>
      </x:c>
      <x:c r="M276" s="32" t="str">
        <x:f>IF($H276="","",'03_Functionalities'!$H276)</x:f>
      </x:c>
      <x:c r="N276" s="32" t="str">
        <x:f>IF($H276="","",'03_Functionalities'!$I276)</x:f>
      </x:c>
      <x:c r="O276" s="32" t="str">
        <x:f>IF($H276="","",'03_Functionalities'!$J276)</x:f>
      </x:c>
      <x:c r="P276" s="32" t="str">
        <x:f>IF($H276="","",'03_Functionalities'!$K276)</x:f>
      </x:c>
      <x:c r="Q276" s="32" t="str">
        <x:f>IF($H276="","",'03_Functionalities'!$L276)</x:f>
      </x:c>
      <x:c r="R276" s="32" t="str">
        <x:f>IF($H276="","",'03_Functionalities'!$M276)</x:f>
      </x:c>
      <x:c r="S276" s="32" t="str">
        <x:f>IF($H276="","",'03_Functionalities'!$N276)</x:f>
      </x:c>
      <x:c r="T276" s="32" t="str">
        <x:f>IF($H276="","",'03_Functionalities'!$O276)</x:f>
      </x:c>
      <x:c r="U276" s="32" t="str">
        <x:f>IF($A276="","",IFERROR(XLOOKUP($A276,'01_Products'!$A$5:$A$500,'01_Products'!$G$5:$G$500),""))</x:f>
      </x:c>
      <x:c r="V276" s="32" t="str">
        <x:f>IF($D276="","",IFERROR(XLOOKUP($D276,'02_Features'!$A$5:$A$1000,'02_Features'!$J$5:$J$1000),""))</x:f>
      </x:c>
      <x:c r="W276" s="32" t="str">
        <x:f>IF($H276="","",'03_Functionalities'!$P276)</x:f>
      </x:c>
      <x:c r="X276" s="32" t="str">
        <x:f>IF($H276="","",'03_Functionalities'!$Q276)</x:f>
      </x:c>
      <x:c r="Y276" s="38"/>
      <x:c r="Z276" s="38"/>
    </x:row>
    <x:row r="277" ht="18" customHeight="1">
      <x:c r="A277" s="32" t="str">
        <x:f>IF('03_Functionalities'!$A277="","",'03_Functionalities'!$C277)</x:f>
      </x:c>
      <x:c r="B277" s="32" t="str">
        <x:f>IF($A277="","",IFERROR(XLOOKUP($A277,'01_Products'!$A$5:$A$500,'01_Products'!$B$5:$B$500),""))</x:f>
      </x:c>
      <x:c r="C277" s="32" t="str">
        <x:f>IF($A277="","",IFERROR(XLOOKUP($A277,'01_Products'!$A$5:$A$500,'01_Products'!$C$5:$C$500),""))</x:f>
      </x:c>
      <x:c r="D277" s="32" t="str">
        <x:f>IF('03_Functionalities'!$A277="","",'03_Functionalities'!$B277)</x:f>
      </x:c>
      <x:c r="E277" s="32" t="str">
        <x:f>IF($D277="","",IFERROR(XLOOKUP($D277,'02_Features'!$A$5:$A$1000,'02_Features'!$C$5:$C$1000),""))</x:f>
      </x:c>
      <x:c r="F277" s="32" t="str">
        <x:f>IF($D277="","",IFERROR(XLOOKUP($D277,'02_Features'!$A$5:$A$1000,'02_Features'!$D$5:$D$1000),""))</x:f>
      </x:c>
      <x:c r="G277" s="32" t="str">
        <x:f>IF($D277="","",IFERROR(XLOOKUP($D277,'02_Features'!$A$5:$A$1000,'02_Features'!$E$5:$E$1000),""))</x:f>
      </x:c>
      <x:c r="H277" s="32" t="str">
        <x:f>IF('03_Functionalities'!$A277="","",'03_Functionalities'!$A277)</x:f>
      </x:c>
      <x:c r="I277" s="32" t="str">
        <x:f>IF($H277="","",'03_Functionalities'!$D277)</x:f>
      </x:c>
      <x:c r="J277" s="32" t="str">
        <x:f>IF($H277="","",'03_Functionalities'!$E277)</x:f>
      </x:c>
      <x:c r="K277" s="32" t="str">
        <x:f>IF($H277="","",'03_Functionalities'!$F277)</x:f>
      </x:c>
      <x:c r="L277" s="32" t="str">
        <x:f>IF($H277="","",'03_Functionalities'!$G277)</x:f>
      </x:c>
      <x:c r="M277" s="32" t="str">
        <x:f>IF($H277="","",'03_Functionalities'!$H277)</x:f>
      </x:c>
      <x:c r="N277" s="32" t="str">
        <x:f>IF($H277="","",'03_Functionalities'!$I277)</x:f>
      </x:c>
      <x:c r="O277" s="32" t="str">
        <x:f>IF($H277="","",'03_Functionalities'!$J277)</x:f>
      </x:c>
      <x:c r="P277" s="32" t="str">
        <x:f>IF($H277="","",'03_Functionalities'!$K277)</x:f>
      </x:c>
      <x:c r="Q277" s="32" t="str">
        <x:f>IF($H277="","",'03_Functionalities'!$L277)</x:f>
      </x:c>
      <x:c r="R277" s="32" t="str">
        <x:f>IF($H277="","",'03_Functionalities'!$M277)</x:f>
      </x:c>
      <x:c r="S277" s="32" t="str">
        <x:f>IF($H277="","",'03_Functionalities'!$N277)</x:f>
      </x:c>
      <x:c r="T277" s="32" t="str">
        <x:f>IF($H277="","",'03_Functionalities'!$O277)</x:f>
      </x:c>
      <x:c r="U277" s="32" t="str">
        <x:f>IF($A277="","",IFERROR(XLOOKUP($A277,'01_Products'!$A$5:$A$500,'01_Products'!$G$5:$G$500),""))</x:f>
      </x:c>
      <x:c r="V277" s="32" t="str">
        <x:f>IF($D277="","",IFERROR(XLOOKUP($D277,'02_Features'!$A$5:$A$1000,'02_Features'!$J$5:$J$1000),""))</x:f>
      </x:c>
      <x:c r="W277" s="32" t="str">
        <x:f>IF($H277="","",'03_Functionalities'!$P277)</x:f>
      </x:c>
      <x:c r="X277" s="32" t="str">
        <x:f>IF($H277="","",'03_Functionalities'!$Q277)</x:f>
      </x:c>
      <x:c r="Y277" s="38"/>
      <x:c r="Z277" s="38"/>
    </x:row>
    <x:row r="278" ht="18" customHeight="1">
      <x:c r="A278" s="32" t="str">
        <x:f>IF('03_Functionalities'!$A278="","",'03_Functionalities'!$C278)</x:f>
      </x:c>
      <x:c r="B278" s="32" t="str">
        <x:f>IF($A278="","",IFERROR(XLOOKUP($A278,'01_Products'!$A$5:$A$500,'01_Products'!$B$5:$B$500),""))</x:f>
      </x:c>
      <x:c r="C278" s="32" t="str">
        <x:f>IF($A278="","",IFERROR(XLOOKUP($A278,'01_Products'!$A$5:$A$500,'01_Products'!$C$5:$C$500),""))</x:f>
      </x:c>
      <x:c r="D278" s="32" t="str">
        <x:f>IF('03_Functionalities'!$A278="","",'03_Functionalities'!$B278)</x:f>
      </x:c>
      <x:c r="E278" s="32" t="str">
        <x:f>IF($D278="","",IFERROR(XLOOKUP($D278,'02_Features'!$A$5:$A$1000,'02_Features'!$C$5:$C$1000),""))</x:f>
      </x:c>
      <x:c r="F278" s="32" t="str">
        <x:f>IF($D278="","",IFERROR(XLOOKUP($D278,'02_Features'!$A$5:$A$1000,'02_Features'!$D$5:$D$1000),""))</x:f>
      </x:c>
      <x:c r="G278" s="32" t="str">
        <x:f>IF($D278="","",IFERROR(XLOOKUP($D278,'02_Features'!$A$5:$A$1000,'02_Features'!$E$5:$E$1000),""))</x:f>
      </x:c>
      <x:c r="H278" s="32" t="str">
        <x:f>IF('03_Functionalities'!$A278="","",'03_Functionalities'!$A278)</x:f>
      </x:c>
      <x:c r="I278" s="32" t="str">
        <x:f>IF($H278="","",'03_Functionalities'!$D278)</x:f>
      </x:c>
      <x:c r="J278" s="32" t="str">
        <x:f>IF($H278="","",'03_Functionalities'!$E278)</x:f>
      </x:c>
      <x:c r="K278" s="32" t="str">
        <x:f>IF($H278="","",'03_Functionalities'!$F278)</x:f>
      </x:c>
      <x:c r="L278" s="32" t="str">
        <x:f>IF($H278="","",'03_Functionalities'!$G278)</x:f>
      </x:c>
      <x:c r="M278" s="32" t="str">
        <x:f>IF($H278="","",'03_Functionalities'!$H278)</x:f>
      </x:c>
      <x:c r="N278" s="32" t="str">
        <x:f>IF($H278="","",'03_Functionalities'!$I278)</x:f>
      </x:c>
      <x:c r="O278" s="32" t="str">
        <x:f>IF($H278="","",'03_Functionalities'!$J278)</x:f>
      </x:c>
      <x:c r="P278" s="32" t="str">
        <x:f>IF($H278="","",'03_Functionalities'!$K278)</x:f>
      </x:c>
      <x:c r="Q278" s="32" t="str">
        <x:f>IF($H278="","",'03_Functionalities'!$L278)</x:f>
      </x:c>
      <x:c r="R278" s="32" t="str">
        <x:f>IF($H278="","",'03_Functionalities'!$M278)</x:f>
      </x:c>
      <x:c r="S278" s="32" t="str">
        <x:f>IF($H278="","",'03_Functionalities'!$N278)</x:f>
      </x:c>
      <x:c r="T278" s="32" t="str">
        <x:f>IF($H278="","",'03_Functionalities'!$O278)</x:f>
      </x:c>
      <x:c r="U278" s="32" t="str">
        <x:f>IF($A278="","",IFERROR(XLOOKUP($A278,'01_Products'!$A$5:$A$500,'01_Products'!$G$5:$G$500),""))</x:f>
      </x:c>
      <x:c r="V278" s="32" t="str">
        <x:f>IF($D278="","",IFERROR(XLOOKUP($D278,'02_Features'!$A$5:$A$1000,'02_Features'!$J$5:$J$1000),""))</x:f>
      </x:c>
      <x:c r="W278" s="32" t="str">
        <x:f>IF($H278="","",'03_Functionalities'!$P278)</x:f>
      </x:c>
      <x:c r="X278" s="32" t="str">
        <x:f>IF($H278="","",'03_Functionalities'!$Q278)</x:f>
      </x:c>
      <x:c r="Y278" s="38"/>
      <x:c r="Z278" s="38"/>
    </x:row>
    <x:row r="279" ht="18" customHeight="1">
      <x:c r="A279" s="32" t="str">
        <x:f>IF('03_Functionalities'!$A279="","",'03_Functionalities'!$C279)</x:f>
      </x:c>
      <x:c r="B279" s="32" t="str">
        <x:f>IF($A279="","",IFERROR(XLOOKUP($A279,'01_Products'!$A$5:$A$500,'01_Products'!$B$5:$B$500),""))</x:f>
      </x:c>
      <x:c r="C279" s="32" t="str">
        <x:f>IF($A279="","",IFERROR(XLOOKUP($A279,'01_Products'!$A$5:$A$500,'01_Products'!$C$5:$C$500),""))</x:f>
      </x:c>
      <x:c r="D279" s="32" t="str">
        <x:f>IF('03_Functionalities'!$A279="","",'03_Functionalities'!$B279)</x:f>
      </x:c>
      <x:c r="E279" s="32" t="str">
        <x:f>IF($D279="","",IFERROR(XLOOKUP($D279,'02_Features'!$A$5:$A$1000,'02_Features'!$C$5:$C$1000),""))</x:f>
      </x:c>
      <x:c r="F279" s="32" t="str">
        <x:f>IF($D279="","",IFERROR(XLOOKUP($D279,'02_Features'!$A$5:$A$1000,'02_Features'!$D$5:$D$1000),""))</x:f>
      </x:c>
      <x:c r="G279" s="32" t="str">
        <x:f>IF($D279="","",IFERROR(XLOOKUP($D279,'02_Features'!$A$5:$A$1000,'02_Features'!$E$5:$E$1000),""))</x:f>
      </x:c>
      <x:c r="H279" s="32" t="str">
        <x:f>IF('03_Functionalities'!$A279="","",'03_Functionalities'!$A279)</x:f>
      </x:c>
      <x:c r="I279" s="32" t="str">
        <x:f>IF($H279="","",'03_Functionalities'!$D279)</x:f>
      </x:c>
      <x:c r="J279" s="32" t="str">
        <x:f>IF($H279="","",'03_Functionalities'!$E279)</x:f>
      </x:c>
      <x:c r="K279" s="32" t="str">
        <x:f>IF($H279="","",'03_Functionalities'!$F279)</x:f>
      </x:c>
      <x:c r="L279" s="32" t="str">
        <x:f>IF($H279="","",'03_Functionalities'!$G279)</x:f>
      </x:c>
      <x:c r="M279" s="32" t="str">
        <x:f>IF($H279="","",'03_Functionalities'!$H279)</x:f>
      </x:c>
      <x:c r="N279" s="32" t="str">
        <x:f>IF($H279="","",'03_Functionalities'!$I279)</x:f>
      </x:c>
      <x:c r="O279" s="32" t="str">
        <x:f>IF($H279="","",'03_Functionalities'!$J279)</x:f>
      </x:c>
      <x:c r="P279" s="32" t="str">
        <x:f>IF($H279="","",'03_Functionalities'!$K279)</x:f>
      </x:c>
      <x:c r="Q279" s="32" t="str">
        <x:f>IF($H279="","",'03_Functionalities'!$L279)</x:f>
      </x:c>
      <x:c r="R279" s="32" t="str">
        <x:f>IF($H279="","",'03_Functionalities'!$M279)</x:f>
      </x:c>
      <x:c r="S279" s="32" t="str">
        <x:f>IF($H279="","",'03_Functionalities'!$N279)</x:f>
      </x:c>
      <x:c r="T279" s="32" t="str">
        <x:f>IF($H279="","",'03_Functionalities'!$O279)</x:f>
      </x:c>
      <x:c r="U279" s="32" t="str">
        <x:f>IF($A279="","",IFERROR(XLOOKUP($A279,'01_Products'!$A$5:$A$500,'01_Products'!$G$5:$G$500),""))</x:f>
      </x:c>
      <x:c r="V279" s="32" t="str">
        <x:f>IF($D279="","",IFERROR(XLOOKUP($D279,'02_Features'!$A$5:$A$1000,'02_Features'!$J$5:$J$1000),""))</x:f>
      </x:c>
      <x:c r="W279" s="32" t="str">
        <x:f>IF($H279="","",'03_Functionalities'!$P279)</x:f>
      </x:c>
      <x:c r="X279" s="32" t="str">
        <x:f>IF($H279="","",'03_Functionalities'!$Q279)</x:f>
      </x:c>
      <x:c r="Y279" s="38"/>
      <x:c r="Z279" s="38"/>
    </x:row>
    <x:row r="280" ht="18" customHeight="1">
      <x:c r="A280" s="32" t="str">
        <x:f>IF('03_Functionalities'!$A280="","",'03_Functionalities'!$C280)</x:f>
      </x:c>
      <x:c r="B280" s="32" t="str">
        <x:f>IF($A280="","",IFERROR(XLOOKUP($A280,'01_Products'!$A$5:$A$500,'01_Products'!$B$5:$B$500),""))</x:f>
      </x:c>
      <x:c r="C280" s="32" t="str">
        <x:f>IF($A280="","",IFERROR(XLOOKUP($A280,'01_Products'!$A$5:$A$500,'01_Products'!$C$5:$C$500),""))</x:f>
      </x:c>
      <x:c r="D280" s="32" t="str">
        <x:f>IF('03_Functionalities'!$A280="","",'03_Functionalities'!$B280)</x:f>
      </x:c>
      <x:c r="E280" s="32" t="str">
        <x:f>IF($D280="","",IFERROR(XLOOKUP($D280,'02_Features'!$A$5:$A$1000,'02_Features'!$C$5:$C$1000),""))</x:f>
      </x:c>
      <x:c r="F280" s="32" t="str">
        <x:f>IF($D280="","",IFERROR(XLOOKUP($D280,'02_Features'!$A$5:$A$1000,'02_Features'!$D$5:$D$1000),""))</x:f>
      </x:c>
      <x:c r="G280" s="32" t="str">
        <x:f>IF($D280="","",IFERROR(XLOOKUP($D280,'02_Features'!$A$5:$A$1000,'02_Features'!$E$5:$E$1000),""))</x:f>
      </x:c>
      <x:c r="H280" s="32" t="str">
        <x:f>IF('03_Functionalities'!$A280="","",'03_Functionalities'!$A280)</x:f>
      </x:c>
      <x:c r="I280" s="32" t="str">
        <x:f>IF($H280="","",'03_Functionalities'!$D280)</x:f>
      </x:c>
      <x:c r="J280" s="32" t="str">
        <x:f>IF($H280="","",'03_Functionalities'!$E280)</x:f>
      </x:c>
      <x:c r="K280" s="32" t="str">
        <x:f>IF($H280="","",'03_Functionalities'!$F280)</x:f>
      </x:c>
      <x:c r="L280" s="32" t="str">
        <x:f>IF($H280="","",'03_Functionalities'!$G280)</x:f>
      </x:c>
      <x:c r="M280" s="32" t="str">
        <x:f>IF($H280="","",'03_Functionalities'!$H280)</x:f>
      </x:c>
      <x:c r="N280" s="32" t="str">
        <x:f>IF($H280="","",'03_Functionalities'!$I280)</x:f>
      </x:c>
      <x:c r="O280" s="32" t="str">
        <x:f>IF($H280="","",'03_Functionalities'!$J280)</x:f>
      </x:c>
      <x:c r="P280" s="32" t="str">
        <x:f>IF($H280="","",'03_Functionalities'!$K280)</x:f>
      </x:c>
      <x:c r="Q280" s="32" t="str">
        <x:f>IF($H280="","",'03_Functionalities'!$L280)</x:f>
      </x:c>
      <x:c r="R280" s="32" t="str">
        <x:f>IF($H280="","",'03_Functionalities'!$M280)</x:f>
      </x:c>
      <x:c r="S280" s="32" t="str">
        <x:f>IF($H280="","",'03_Functionalities'!$N280)</x:f>
      </x:c>
      <x:c r="T280" s="32" t="str">
        <x:f>IF($H280="","",'03_Functionalities'!$O280)</x:f>
      </x:c>
      <x:c r="U280" s="32" t="str">
        <x:f>IF($A280="","",IFERROR(XLOOKUP($A280,'01_Products'!$A$5:$A$500,'01_Products'!$G$5:$G$500),""))</x:f>
      </x:c>
      <x:c r="V280" s="32" t="str">
        <x:f>IF($D280="","",IFERROR(XLOOKUP($D280,'02_Features'!$A$5:$A$1000,'02_Features'!$J$5:$J$1000),""))</x:f>
      </x:c>
      <x:c r="W280" s="32" t="str">
        <x:f>IF($H280="","",'03_Functionalities'!$P280)</x:f>
      </x:c>
      <x:c r="X280" s="32" t="str">
        <x:f>IF($H280="","",'03_Functionalities'!$Q280)</x:f>
      </x:c>
      <x:c r="Y280" s="38"/>
      <x:c r="Z280" s="38"/>
    </x:row>
    <x:row r="281" ht="18" customHeight="1">
      <x:c r="A281" s="32" t="str">
        <x:f>IF('03_Functionalities'!$A281="","",'03_Functionalities'!$C281)</x:f>
      </x:c>
      <x:c r="B281" s="32" t="str">
        <x:f>IF($A281="","",IFERROR(XLOOKUP($A281,'01_Products'!$A$5:$A$500,'01_Products'!$B$5:$B$500),""))</x:f>
      </x:c>
      <x:c r="C281" s="32" t="str">
        <x:f>IF($A281="","",IFERROR(XLOOKUP($A281,'01_Products'!$A$5:$A$500,'01_Products'!$C$5:$C$500),""))</x:f>
      </x:c>
      <x:c r="D281" s="32" t="str">
        <x:f>IF('03_Functionalities'!$A281="","",'03_Functionalities'!$B281)</x:f>
      </x:c>
      <x:c r="E281" s="32" t="str">
        <x:f>IF($D281="","",IFERROR(XLOOKUP($D281,'02_Features'!$A$5:$A$1000,'02_Features'!$C$5:$C$1000),""))</x:f>
      </x:c>
      <x:c r="F281" s="32" t="str">
        <x:f>IF($D281="","",IFERROR(XLOOKUP($D281,'02_Features'!$A$5:$A$1000,'02_Features'!$D$5:$D$1000),""))</x:f>
      </x:c>
      <x:c r="G281" s="32" t="str">
        <x:f>IF($D281="","",IFERROR(XLOOKUP($D281,'02_Features'!$A$5:$A$1000,'02_Features'!$E$5:$E$1000),""))</x:f>
      </x:c>
      <x:c r="H281" s="32" t="str">
        <x:f>IF('03_Functionalities'!$A281="","",'03_Functionalities'!$A281)</x:f>
      </x:c>
      <x:c r="I281" s="32" t="str">
        <x:f>IF($H281="","",'03_Functionalities'!$D281)</x:f>
      </x:c>
      <x:c r="J281" s="32" t="str">
        <x:f>IF($H281="","",'03_Functionalities'!$E281)</x:f>
      </x:c>
      <x:c r="K281" s="32" t="str">
        <x:f>IF($H281="","",'03_Functionalities'!$F281)</x:f>
      </x:c>
      <x:c r="L281" s="32" t="str">
        <x:f>IF($H281="","",'03_Functionalities'!$G281)</x:f>
      </x:c>
      <x:c r="M281" s="32" t="str">
        <x:f>IF($H281="","",'03_Functionalities'!$H281)</x:f>
      </x:c>
      <x:c r="N281" s="32" t="str">
        <x:f>IF($H281="","",'03_Functionalities'!$I281)</x:f>
      </x:c>
      <x:c r="O281" s="32" t="str">
        <x:f>IF($H281="","",'03_Functionalities'!$J281)</x:f>
      </x:c>
      <x:c r="P281" s="32" t="str">
        <x:f>IF($H281="","",'03_Functionalities'!$K281)</x:f>
      </x:c>
      <x:c r="Q281" s="32" t="str">
        <x:f>IF($H281="","",'03_Functionalities'!$L281)</x:f>
      </x:c>
      <x:c r="R281" s="32" t="str">
        <x:f>IF($H281="","",'03_Functionalities'!$M281)</x:f>
      </x:c>
      <x:c r="S281" s="32" t="str">
        <x:f>IF($H281="","",'03_Functionalities'!$N281)</x:f>
      </x:c>
      <x:c r="T281" s="32" t="str">
        <x:f>IF($H281="","",'03_Functionalities'!$O281)</x:f>
      </x:c>
      <x:c r="U281" s="32" t="str">
        <x:f>IF($A281="","",IFERROR(XLOOKUP($A281,'01_Products'!$A$5:$A$500,'01_Products'!$G$5:$G$500),""))</x:f>
      </x:c>
      <x:c r="V281" s="32" t="str">
        <x:f>IF($D281="","",IFERROR(XLOOKUP($D281,'02_Features'!$A$5:$A$1000,'02_Features'!$J$5:$J$1000),""))</x:f>
      </x:c>
      <x:c r="W281" s="32" t="str">
        <x:f>IF($H281="","",'03_Functionalities'!$P281)</x:f>
      </x:c>
      <x:c r="X281" s="32" t="str">
        <x:f>IF($H281="","",'03_Functionalities'!$Q281)</x:f>
      </x:c>
      <x:c r="Y281" s="38"/>
      <x:c r="Z281" s="38"/>
    </x:row>
    <x:row r="282" ht="18" customHeight="1">
      <x:c r="A282" s="32" t="str">
        <x:f>IF('03_Functionalities'!$A282="","",'03_Functionalities'!$C282)</x:f>
      </x:c>
      <x:c r="B282" s="32" t="str">
        <x:f>IF($A282="","",IFERROR(XLOOKUP($A282,'01_Products'!$A$5:$A$500,'01_Products'!$B$5:$B$500),""))</x:f>
      </x:c>
      <x:c r="C282" s="32" t="str">
        <x:f>IF($A282="","",IFERROR(XLOOKUP($A282,'01_Products'!$A$5:$A$500,'01_Products'!$C$5:$C$500),""))</x:f>
      </x:c>
      <x:c r="D282" s="32" t="str">
        <x:f>IF('03_Functionalities'!$A282="","",'03_Functionalities'!$B282)</x:f>
      </x:c>
      <x:c r="E282" s="32" t="str">
        <x:f>IF($D282="","",IFERROR(XLOOKUP($D282,'02_Features'!$A$5:$A$1000,'02_Features'!$C$5:$C$1000),""))</x:f>
      </x:c>
      <x:c r="F282" s="32" t="str">
        <x:f>IF($D282="","",IFERROR(XLOOKUP($D282,'02_Features'!$A$5:$A$1000,'02_Features'!$D$5:$D$1000),""))</x:f>
      </x:c>
      <x:c r="G282" s="32" t="str">
        <x:f>IF($D282="","",IFERROR(XLOOKUP($D282,'02_Features'!$A$5:$A$1000,'02_Features'!$E$5:$E$1000),""))</x:f>
      </x:c>
      <x:c r="H282" s="32" t="str">
        <x:f>IF('03_Functionalities'!$A282="","",'03_Functionalities'!$A282)</x:f>
      </x:c>
      <x:c r="I282" s="32" t="str">
        <x:f>IF($H282="","",'03_Functionalities'!$D282)</x:f>
      </x:c>
      <x:c r="J282" s="32" t="str">
        <x:f>IF($H282="","",'03_Functionalities'!$E282)</x:f>
      </x:c>
      <x:c r="K282" s="32" t="str">
        <x:f>IF($H282="","",'03_Functionalities'!$F282)</x:f>
      </x:c>
      <x:c r="L282" s="32" t="str">
        <x:f>IF($H282="","",'03_Functionalities'!$G282)</x:f>
      </x:c>
      <x:c r="M282" s="32" t="str">
        <x:f>IF($H282="","",'03_Functionalities'!$H282)</x:f>
      </x:c>
      <x:c r="N282" s="32" t="str">
        <x:f>IF($H282="","",'03_Functionalities'!$I282)</x:f>
      </x:c>
      <x:c r="O282" s="32" t="str">
        <x:f>IF($H282="","",'03_Functionalities'!$J282)</x:f>
      </x:c>
      <x:c r="P282" s="32" t="str">
        <x:f>IF($H282="","",'03_Functionalities'!$K282)</x:f>
      </x:c>
      <x:c r="Q282" s="32" t="str">
        <x:f>IF($H282="","",'03_Functionalities'!$L282)</x:f>
      </x:c>
      <x:c r="R282" s="32" t="str">
        <x:f>IF($H282="","",'03_Functionalities'!$M282)</x:f>
      </x:c>
      <x:c r="S282" s="32" t="str">
        <x:f>IF($H282="","",'03_Functionalities'!$N282)</x:f>
      </x:c>
      <x:c r="T282" s="32" t="str">
        <x:f>IF($H282="","",'03_Functionalities'!$O282)</x:f>
      </x:c>
      <x:c r="U282" s="32" t="str">
        <x:f>IF($A282="","",IFERROR(XLOOKUP($A282,'01_Products'!$A$5:$A$500,'01_Products'!$G$5:$G$500),""))</x:f>
      </x:c>
      <x:c r="V282" s="32" t="str">
        <x:f>IF($D282="","",IFERROR(XLOOKUP($D282,'02_Features'!$A$5:$A$1000,'02_Features'!$J$5:$J$1000),""))</x:f>
      </x:c>
      <x:c r="W282" s="32" t="str">
        <x:f>IF($H282="","",'03_Functionalities'!$P282)</x:f>
      </x:c>
      <x:c r="X282" s="32" t="str">
        <x:f>IF($H282="","",'03_Functionalities'!$Q282)</x:f>
      </x:c>
      <x:c r="Y282" s="38"/>
      <x:c r="Z282" s="38"/>
    </x:row>
    <x:row r="283" ht="18" customHeight="1">
      <x:c r="A283" s="32" t="str">
        <x:f>IF('03_Functionalities'!$A283="","",'03_Functionalities'!$C283)</x:f>
      </x:c>
      <x:c r="B283" s="32" t="str">
        <x:f>IF($A283="","",IFERROR(XLOOKUP($A283,'01_Products'!$A$5:$A$500,'01_Products'!$B$5:$B$500),""))</x:f>
      </x:c>
      <x:c r="C283" s="32" t="str">
        <x:f>IF($A283="","",IFERROR(XLOOKUP($A283,'01_Products'!$A$5:$A$500,'01_Products'!$C$5:$C$500),""))</x:f>
      </x:c>
      <x:c r="D283" s="32" t="str">
        <x:f>IF('03_Functionalities'!$A283="","",'03_Functionalities'!$B283)</x:f>
      </x:c>
      <x:c r="E283" s="32" t="str">
        <x:f>IF($D283="","",IFERROR(XLOOKUP($D283,'02_Features'!$A$5:$A$1000,'02_Features'!$C$5:$C$1000),""))</x:f>
      </x:c>
      <x:c r="F283" s="32" t="str">
        <x:f>IF($D283="","",IFERROR(XLOOKUP($D283,'02_Features'!$A$5:$A$1000,'02_Features'!$D$5:$D$1000),""))</x:f>
      </x:c>
      <x:c r="G283" s="32" t="str">
        <x:f>IF($D283="","",IFERROR(XLOOKUP($D283,'02_Features'!$A$5:$A$1000,'02_Features'!$E$5:$E$1000),""))</x:f>
      </x:c>
      <x:c r="H283" s="32" t="str">
        <x:f>IF('03_Functionalities'!$A283="","",'03_Functionalities'!$A283)</x:f>
      </x:c>
      <x:c r="I283" s="32" t="str">
        <x:f>IF($H283="","",'03_Functionalities'!$D283)</x:f>
      </x:c>
      <x:c r="J283" s="32" t="str">
        <x:f>IF($H283="","",'03_Functionalities'!$E283)</x:f>
      </x:c>
      <x:c r="K283" s="32" t="str">
        <x:f>IF($H283="","",'03_Functionalities'!$F283)</x:f>
      </x:c>
      <x:c r="L283" s="32" t="str">
        <x:f>IF($H283="","",'03_Functionalities'!$G283)</x:f>
      </x:c>
      <x:c r="M283" s="32" t="str">
        <x:f>IF($H283="","",'03_Functionalities'!$H283)</x:f>
      </x:c>
      <x:c r="N283" s="32" t="str">
        <x:f>IF($H283="","",'03_Functionalities'!$I283)</x:f>
      </x:c>
      <x:c r="O283" s="32" t="str">
        <x:f>IF($H283="","",'03_Functionalities'!$J283)</x:f>
      </x:c>
      <x:c r="P283" s="32" t="str">
        <x:f>IF($H283="","",'03_Functionalities'!$K283)</x:f>
      </x:c>
      <x:c r="Q283" s="32" t="str">
        <x:f>IF($H283="","",'03_Functionalities'!$L283)</x:f>
      </x:c>
      <x:c r="R283" s="32" t="str">
        <x:f>IF($H283="","",'03_Functionalities'!$M283)</x:f>
      </x:c>
      <x:c r="S283" s="32" t="str">
        <x:f>IF($H283="","",'03_Functionalities'!$N283)</x:f>
      </x:c>
      <x:c r="T283" s="32" t="str">
        <x:f>IF($H283="","",'03_Functionalities'!$O283)</x:f>
      </x:c>
      <x:c r="U283" s="32" t="str">
        <x:f>IF($A283="","",IFERROR(XLOOKUP($A283,'01_Products'!$A$5:$A$500,'01_Products'!$G$5:$G$500),""))</x:f>
      </x:c>
      <x:c r="V283" s="32" t="str">
        <x:f>IF($D283="","",IFERROR(XLOOKUP($D283,'02_Features'!$A$5:$A$1000,'02_Features'!$J$5:$J$1000),""))</x:f>
      </x:c>
      <x:c r="W283" s="32" t="str">
        <x:f>IF($H283="","",'03_Functionalities'!$P283)</x:f>
      </x:c>
      <x:c r="X283" s="32" t="str">
        <x:f>IF($H283="","",'03_Functionalities'!$Q283)</x:f>
      </x:c>
      <x:c r="Y283" s="38"/>
      <x:c r="Z283" s="38"/>
    </x:row>
    <x:row r="284" ht="18" customHeight="1">
      <x:c r="A284" s="32" t="str">
        <x:f>IF('03_Functionalities'!$A284="","",'03_Functionalities'!$C284)</x:f>
      </x:c>
      <x:c r="B284" s="32" t="str">
        <x:f>IF($A284="","",IFERROR(XLOOKUP($A284,'01_Products'!$A$5:$A$500,'01_Products'!$B$5:$B$500),""))</x:f>
      </x:c>
      <x:c r="C284" s="32" t="str">
        <x:f>IF($A284="","",IFERROR(XLOOKUP($A284,'01_Products'!$A$5:$A$500,'01_Products'!$C$5:$C$500),""))</x:f>
      </x:c>
      <x:c r="D284" s="32" t="str">
        <x:f>IF('03_Functionalities'!$A284="","",'03_Functionalities'!$B284)</x:f>
      </x:c>
      <x:c r="E284" s="32" t="str">
        <x:f>IF($D284="","",IFERROR(XLOOKUP($D284,'02_Features'!$A$5:$A$1000,'02_Features'!$C$5:$C$1000),""))</x:f>
      </x:c>
      <x:c r="F284" s="32" t="str">
        <x:f>IF($D284="","",IFERROR(XLOOKUP($D284,'02_Features'!$A$5:$A$1000,'02_Features'!$D$5:$D$1000),""))</x:f>
      </x:c>
      <x:c r="G284" s="32" t="str">
        <x:f>IF($D284="","",IFERROR(XLOOKUP($D284,'02_Features'!$A$5:$A$1000,'02_Features'!$E$5:$E$1000),""))</x:f>
      </x:c>
      <x:c r="H284" s="32" t="str">
        <x:f>IF('03_Functionalities'!$A284="","",'03_Functionalities'!$A284)</x:f>
      </x:c>
      <x:c r="I284" s="32" t="str">
        <x:f>IF($H284="","",'03_Functionalities'!$D284)</x:f>
      </x:c>
      <x:c r="J284" s="32" t="str">
        <x:f>IF($H284="","",'03_Functionalities'!$E284)</x:f>
      </x:c>
      <x:c r="K284" s="32" t="str">
        <x:f>IF($H284="","",'03_Functionalities'!$F284)</x:f>
      </x:c>
      <x:c r="L284" s="32" t="str">
        <x:f>IF($H284="","",'03_Functionalities'!$G284)</x:f>
      </x:c>
      <x:c r="M284" s="32" t="str">
        <x:f>IF($H284="","",'03_Functionalities'!$H284)</x:f>
      </x:c>
      <x:c r="N284" s="32" t="str">
        <x:f>IF($H284="","",'03_Functionalities'!$I284)</x:f>
      </x:c>
      <x:c r="O284" s="32" t="str">
        <x:f>IF($H284="","",'03_Functionalities'!$J284)</x:f>
      </x:c>
      <x:c r="P284" s="32" t="str">
        <x:f>IF($H284="","",'03_Functionalities'!$K284)</x:f>
      </x:c>
      <x:c r="Q284" s="32" t="str">
        <x:f>IF($H284="","",'03_Functionalities'!$L284)</x:f>
      </x:c>
      <x:c r="R284" s="32" t="str">
        <x:f>IF($H284="","",'03_Functionalities'!$M284)</x:f>
      </x:c>
      <x:c r="S284" s="32" t="str">
        <x:f>IF($H284="","",'03_Functionalities'!$N284)</x:f>
      </x:c>
      <x:c r="T284" s="32" t="str">
        <x:f>IF($H284="","",'03_Functionalities'!$O284)</x:f>
      </x:c>
      <x:c r="U284" s="32" t="str">
        <x:f>IF($A284="","",IFERROR(XLOOKUP($A284,'01_Products'!$A$5:$A$500,'01_Products'!$G$5:$G$500),""))</x:f>
      </x:c>
      <x:c r="V284" s="32" t="str">
        <x:f>IF($D284="","",IFERROR(XLOOKUP($D284,'02_Features'!$A$5:$A$1000,'02_Features'!$J$5:$J$1000),""))</x:f>
      </x:c>
      <x:c r="W284" s="32" t="str">
        <x:f>IF($H284="","",'03_Functionalities'!$P284)</x:f>
      </x:c>
      <x:c r="X284" s="32" t="str">
        <x:f>IF($H284="","",'03_Functionalities'!$Q284)</x:f>
      </x:c>
      <x:c r="Y284" s="38"/>
      <x:c r="Z284" s="38"/>
    </x:row>
    <x:row r="285" ht="18" customHeight="1">
      <x:c r="A285" s="32" t="str">
        <x:f>IF('03_Functionalities'!$A285="","",'03_Functionalities'!$C285)</x:f>
      </x:c>
      <x:c r="B285" s="32" t="str">
        <x:f>IF($A285="","",IFERROR(XLOOKUP($A285,'01_Products'!$A$5:$A$500,'01_Products'!$B$5:$B$500),""))</x:f>
      </x:c>
      <x:c r="C285" s="32" t="str">
        <x:f>IF($A285="","",IFERROR(XLOOKUP($A285,'01_Products'!$A$5:$A$500,'01_Products'!$C$5:$C$500),""))</x:f>
      </x:c>
      <x:c r="D285" s="32" t="str">
        <x:f>IF('03_Functionalities'!$A285="","",'03_Functionalities'!$B285)</x:f>
      </x:c>
      <x:c r="E285" s="32" t="str">
        <x:f>IF($D285="","",IFERROR(XLOOKUP($D285,'02_Features'!$A$5:$A$1000,'02_Features'!$C$5:$C$1000),""))</x:f>
      </x:c>
      <x:c r="F285" s="32" t="str">
        <x:f>IF($D285="","",IFERROR(XLOOKUP($D285,'02_Features'!$A$5:$A$1000,'02_Features'!$D$5:$D$1000),""))</x:f>
      </x:c>
      <x:c r="G285" s="32" t="str">
        <x:f>IF($D285="","",IFERROR(XLOOKUP($D285,'02_Features'!$A$5:$A$1000,'02_Features'!$E$5:$E$1000),""))</x:f>
      </x:c>
      <x:c r="H285" s="32" t="str">
        <x:f>IF('03_Functionalities'!$A285="","",'03_Functionalities'!$A285)</x:f>
      </x:c>
      <x:c r="I285" s="32" t="str">
        <x:f>IF($H285="","",'03_Functionalities'!$D285)</x:f>
      </x:c>
      <x:c r="J285" s="32" t="str">
        <x:f>IF($H285="","",'03_Functionalities'!$E285)</x:f>
      </x:c>
      <x:c r="K285" s="32" t="str">
        <x:f>IF($H285="","",'03_Functionalities'!$F285)</x:f>
      </x:c>
      <x:c r="L285" s="32" t="str">
        <x:f>IF($H285="","",'03_Functionalities'!$G285)</x:f>
      </x:c>
      <x:c r="M285" s="32" t="str">
        <x:f>IF($H285="","",'03_Functionalities'!$H285)</x:f>
      </x:c>
      <x:c r="N285" s="32" t="str">
        <x:f>IF($H285="","",'03_Functionalities'!$I285)</x:f>
      </x:c>
      <x:c r="O285" s="32" t="str">
        <x:f>IF($H285="","",'03_Functionalities'!$J285)</x:f>
      </x:c>
      <x:c r="P285" s="32" t="str">
        <x:f>IF($H285="","",'03_Functionalities'!$K285)</x:f>
      </x:c>
      <x:c r="Q285" s="32" t="str">
        <x:f>IF($H285="","",'03_Functionalities'!$L285)</x:f>
      </x:c>
      <x:c r="R285" s="32" t="str">
        <x:f>IF($H285="","",'03_Functionalities'!$M285)</x:f>
      </x:c>
      <x:c r="S285" s="32" t="str">
        <x:f>IF($H285="","",'03_Functionalities'!$N285)</x:f>
      </x:c>
      <x:c r="T285" s="32" t="str">
        <x:f>IF($H285="","",'03_Functionalities'!$O285)</x:f>
      </x:c>
      <x:c r="U285" s="32" t="str">
        <x:f>IF($A285="","",IFERROR(XLOOKUP($A285,'01_Products'!$A$5:$A$500,'01_Products'!$G$5:$G$500),""))</x:f>
      </x:c>
      <x:c r="V285" s="32" t="str">
        <x:f>IF($D285="","",IFERROR(XLOOKUP($D285,'02_Features'!$A$5:$A$1000,'02_Features'!$J$5:$J$1000),""))</x:f>
      </x:c>
      <x:c r="W285" s="32" t="str">
        <x:f>IF($H285="","",'03_Functionalities'!$P285)</x:f>
      </x:c>
      <x:c r="X285" s="32" t="str">
        <x:f>IF($H285="","",'03_Functionalities'!$Q285)</x:f>
      </x:c>
      <x:c r="Y285" s="38"/>
      <x:c r="Z285" s="38"/>
    </x:row>
    <x:row r="286" ht="18" customHeight="1">
      <x:c r="A286" s="32" t="str">
        <x:f>IF('03_Functionalities'!$A286="","",'03_Functionalities'!$C286)</x:f>
      </x:c>
      <x:c r="B286" s="32" t="str">
        <x:f>IF($A286="","",IFERROR(XLOOKUP($A286,'01_Products'!$A$5:$A$500,'01_Products'!$B$5:$B$500),""))</x:f>
      </x:c>
      <x:c r="C286" s="32" t="str">
        <x:f>IF($A286="","",IFERROR(XLOOKUP($A286,'01_Products'!$A$5:$A$500,'01_Products'!$C$5:$C$500),""))</x:f>
      </x:c>
      <x:c r="D286" s="32" t="str">
        <x:f>IF('03_Functionalities'!$A286="","",'03_Functionalities'!$B286)</x:f>
      </x:c>
      <x:c r="E286" s="32" t="str">
        <x:f>IF($D286="","",IFERROR(XLOOKUP($D286,'02_Features'!$A$5:$A$1000,'02_Features'!$C$5:$C$1000),""))</x:f>
      </x:c>
      <x:c r="F286" s="32" t="str">
        <x:f>IF($D286="","",IFERROR(XLOOKUP($D286,'02_Features'!$A$5:$A$1000,'02_Features'!$D$5:$D$1000),""))</x:f>
      </x:c>
      <x:c r="G286" s="32" t="str">
        <x:f>IF($D286="","",IFERROR(XLOOKUP($D286,'02_Features'!$A$5:$A$1000,'02_Features'!$E$5:$E$1000),""))</x:f>
      </x:c>
      <x:c r="H286" s="32" t="str">
        <x:f>IF('03_Functionalities'!$A286="","",'03_Functionalities'!$A286)</x:f>
      </x:c>
      <x:c r="I286" s="32" t="str">
        <x:f>IF($H286="","",'03_Functionalities'!$D286)</x:f>
      </x:c>
      <x:c r="J286" s="32" t="str">
        <x:f>IF($H286="","",'03_Functionalities'!$E286)</x:f>
      </x:c>
      <x:c r="K286" s="32" t="str">
        <x:f>IF($H286="","",'03_Functionalities'!$F286)</x:f>
      </x:c>
      <x:c r="L286" s="32" t="str">
        <x:f>IF($H286="","",'03_Functionalities'!$G286)</x:f>
      </x:c>
      <x:c r="M286" s="32" t="str">
        <x:f>IF($H286="","",'03_Functionalities'!$H286)</x:f>
      </x:c>
      <x:c r="N286" s="32" t="str">
        <x:f>IF($H286="","",'03_Functionalities'!$I286)</x:f>
      </x:c>
      <x:c r="O286" s="32" t="str">
        <x:f>IF($H286="","",'03_Functionalities'!$J286)</x:f>
      </x:c>
      <x:c r="P286" s="32" t="str">
        <x:f>IF($H286="","",'03_Functionalities'!$K286)</x:f>
      </x:c>
      <x:c r="Q286" s="32" t="str">
        <x:f>IF($H286="","",'03_Functionalities'!$L286)</x:f>
      </x:c>
      <x:c r="R286" s="32" t="str">
        <x:f>IF($H286="","",'03_Functionalities'!$M286)</x:f>
      </x:c>
      <x:c r="S286" s="32" t="str">
        <x:f>IF($H286="","",'03_Functionalities'!$N286)</x:f>
      </x:c>
      <x:c r="T286" s="32" t="str">
        <x:f>IF($H286="","",'03_Functionalities'!$O286)</x:f>
      </x:c>
      <x:c r="U286" s="32" t="str">
        <x:f>IF($A286="","",IFERROR(XLOOKUP($A286,'01_Products'!$A$5:$A$500,'01_Products'!$G$5:$G$500),""))</x:f>
      </x:c>
      <x:c r="V286" s="32" t="str">
        <x:f>IF($D286="","",IFERROR(XLOOKUP($D286,'02_Features'!$A$5:$A$1000,'02_Features'!$J$5:$J$1000),""))</x:f>
      </x:c>
      <x:c r="W286" s="32" t="str">
        <x:f>IF($H286="","",'03_Functionalities'!$P286)</x:f>
      </x:c>
      <x:c r="X286" s="32" t="str">
        <x:f>IF($H286="","",'03_Functionalities'!$Q286)</x:f>
      </x:c>
      <x:c r="Y286" s="38"/>
      <x:c r="Z286" s="38"/>
    </x:row>
    <x:row r="287" ht="18" customHeight="1">
      <x:c r="A287" s="32" t="str">
        <x:f>IF('03_Functionalities'!$A287="","",'03_Functionalities'!$C287)</x:f>
      </x:c>
      <x:c r="B287" s="32" t="str">
        <x:f>IF($A287="","",IFERROR(XLOOKUP($A287,'01_Products'!$A$5:$A$500,'01_Products'!$B$5:$B$500),""))</x:f>
      </x:c>
      <x:c r="C287" s="32" t="str">
        <x:f>IF($A287="","",IFERROR(XLOOKUP($A287,'01_Products'!$A$5:$A$500,'01_Products'!$C$5:$C$500),""))</x:f>
      </x:c>
      <x:c r="D287" s="32" t="str">
        <x:f>IF('03_Functionalities'!$A287="","",'03_Functionalities'!$B287)</x:f>
      </x:c>
      <x:c r="E287" s="32" t="str">
        <x:f>IF($D287="","",IFERROR(XLOOKUP($D287,'02_Features'!$A$5:$A$1000,'02_Features'!$C$5:$C$1000),""))</x:f>
      </x:c>
      <x:c r="F287" s="32" t="str">
        <x:f>IF($D287="","",IFERROR(XLOOKUP($D287,'02_Features'!$A$5:$A$1000,'02_Features'!$D$5:$D$1000),""))</x:f>
      </x:c>
      <x:c r="G287" s="32" t="str">
        <x:f>IF($D287="","",IFERROR(XLOOKUP($D287,'02_Features'!$A$5:$A$1000,'02_Features'!$E$5:$E$1000),""))</x:f>
      </x:c>
      <x:c r="H287" s="32" t="str">
        <x:f>IF('03_Functionalities'!$A287="","",'03_Functionalities'!$A287)</x:f>
      </x:c>
      <x:c r="I287" s="32" t="str">
        <x:f>IF($H287="","",'03_Functionalities'!$D287)</x:f>
      </x:c>
      <x:c r="J287" s="32" t="str">
        <x:f>IF($H287="","",'03_Functionalities'!$E287)</x:f>
      </x:c>
      <x:c r="K287" s="32" t="str">
        <x:f>IF($H287="","",'03_Functionalities'!$F287)</x:f>
      </x:c>
      <x:c r="L287" s="32" t="str">
        <x:f>IF($H287="","",'03_Functionalities'!$G287)</x:f>
      </x:c>
      <x:c r="M287" s="32" t="str">
        <x:f>IF($H287="","",'03_Functionalities'!$H287)</x:f>
      </x:c>
      <x:c r="N287" s="32" t="str">
        <x:f>IF($H287="","",'03_Functionalities'!$I287)</x:f>
      </x:c>
      <x:c r="O287" s="32" t="str">
        <x:f>IF($H287="","",'03_Functionalities'!$J287)</x:f>
      </x:c>
      <x:c r="P287" s="32" t="str">
        <x:f>IF($H287="","",'03_Functionalities'!$K287)</x:f>
      </x:c>
      <x:c r="Q287" s="32" t="str">
        <x:f>IF($H287="","",'03_Functionalities'!$L287)</x:f>
      </x:c>
      <x:c r="R287" s="32" t="str">
        <x:f>IF($H287="","",'03_Functionalities'!$M287)</x:f>
      </x:c>
      <x:c r="S287" s="32" t="str">
        <x:f>IF($H287="","",'03_Functionalities'!$N287)</x:f>
      </x:c>
      <x:c r="T287" s="32" t="str">
        <x:f>IF($H287="","",'03_Functionalities'!$O287)</x:f>
      </x:c>
      <x:c r="U287" s="32" t="str">
        <x:f>IF($A287="","",IFERROR(XLOOKUP($A287,'01_Products'!$A$5:$A$500,'01_Products'!$G$5:$G$500),""))</x:f>
      </x:c>
      <x:c r="V287" s="32" t="str">
        <x:f>IF($D287="","",IFERROR(XLOOKUP($D287,'02_Features'!$A$5:$A$1000,'02_Features'!$J$5:$J$1000),""))</x:f>
      </x:c>
      <x:c r="W287" s="32" t="str">
        <x:f>IF($H287="","",'03_Functionalities'!$P287)</x:f>
      </x:c>
      <x:c r="X287" s="32" t="str">
        <x:f>IF($H287="","",'03_Functionalities'!$Q287)</x:f>
      </x:c>
      <x:c r="Y287" s="38"/>
      <x:c r="Z287" s="38"/>
    </x:row>
    <x:row r="288" ht="18" customHeight="1">
      <x:c r="A288" s="32" t="str">
        <x:f>IF('03_Functionalities'!$A288="","",'03_Functionalities'!$C288)</x:f>
      </x:c>
      <x:c r="B288" s="32" t="str">
        <x:f>IF($A288="","",IFERROR(XLOOKUP($A288,'01_Products'!$A$5:$A$500,'01_Products'!$B$5:$B$500),""))</x:f>
      </x:c>
      <x:c r="C288" s="32" t="str">
        <x:f>IF($A288="","",IFERROR(XLOOKUP($A288,'01_Products'!$A$5:$A$500,'01_Products'!$C$5:$C$500),""))</x:f>
      </x:c>
      <x:c r="D288" s="32" t="str">
        <x:f>IF('03_Functionalities'!$A288="","",'03_Functionalities'!$B288)</x:f>
      </x:c>
      <x:c r="E288" s="32" t="str">
        <x:f>IF($D288="","",IFERROR(XLOOKUP($D288,'02_Features'!$A$5:$A$1000,'02_Features'!$C$5:$C$1000),""))</x:f>
      </x:c>
      <x:c r="F288" s="32" t="str">
        <x:f>IF($D288="","",IFERROR(XLOOKUP($D288,'02_Features'!$A$5:$A$1000,'02_Features'!$D$5:$D$1000),""))</x:f>
      </x:c>
      <x:c r="G288" s="32" t="str">
        <x:f>IF($D288="","",IFERROR(XLOOKUP($D288,'02_Features'!$A$5:$A$1000,'02_Features'!$E$5:$E$1000),""))</x:f>
      </x:c>
      <x:c r="H288" s="32" t="str">
        <x:f>IF('03_Functionalities'!$A288="","",'03_Functionalities'!$A288)</x:f>
      </x:c>
      <x:c r="I288" s="32" t="str">
        <x:f>IF($H288="","",'03_Functionalities'!$D288)</x:f>
      </x:c>
      <x:c r="J288" s="32" t="str">
        <x:f>IF($H288="","",'03_Functionalities'!$E288)</x:f>
      </x:c>
      <x:c r="K288" s="32" t="str">
        <x:f>IF($H288="","",'03_Functionalities'!$F288)</x:f>
      </x:c>
      <x:c r="L288" s="32" t="str">
        <x:f>IF($H288="","",'03_Functionalities'!$G288)</x:f>
      </x:c>
      <x:c r="M288" s="32" t="str">
        <x:f>IF($H288="","",'03_Functionalities'!$H288)</x:f>
      </x:c>
      <x:c r="N288" s="32" t="str">
        <x:f>IF($H288="","",'03_Functionalities'!$I288)</x:f>
      </x:c>
      <x:c r="O288" s="32" t="str">
        <x:f>IF($H288="","",'03_Functionalities'!$J288)</x:f>
      </x:c>
      <x:c r="P288" s="32" t="str">
        <x:f>IF($H288="","",'03_Functionalities'!$K288)</x:f>
      </x:c>
      <x:c r="Q288" s="32" t="str">
        <x:f>IF($H288="","",'03_Functionalities'!$L288)</x:f>
      </x:c>
      <x:c r="R288" s="32" t="str">
        <x:f>IF($H288="","",'03_Functionalities'!$M288)</x:f>
      </x:c>
      <x:c r="S288" s="32" t="str">
        <x:f>IF($H288="","",'03_Functionalities'!$N288)</x:f>
      </x:c>
      <x:c r="T288" s="32" t="str">
        <x:f>IF($H288="","",'03_Functionalities'!$O288)</x:f>
      </x:c>
      <x:c r="U288" s="32" t="str">
        <x:f>IF($A288="","",IFERROR(XLOOKUP($A288,'01_Products'!$A$5:$A$500,'01_Products'!$G$5:$G$500),""))</x:f>
      </x:c>
      <x:c r="V288" s="32" t="str">
        <x:f>IF($D288="","",IFERROR(XLOOKUP($D288,'02_Features'!$A$5:$A$1000,'02_Features'!$J$5:$J$1000),""))</x:f>
      </x:c>
      <x:c r="W288" s="32" t="str">
        <x:f>IF($H288="","",'03_Functionalities'!$P288)</x:f>
      </x:c>
      <x:c r="X288" s="32" t="str">
        <x:f>IF($H288="","",'03_Functionalities'!$Q288)</x:f>
      </x:c>
      <x:c r="Y288" s="38"/>
      <x:c r="Z288" s="38"/>
    </x:row>
    <x:row r="289" ht="18" customHeight="1">
      <x:c r="A289" s="32" t="str">
        <x:f>IF('03_Functionalities'!$A289="","",'03_Functionalities'!$C289)</x:f>
      </x:c>
      <x:c r="B289" s="32" t="str">
        <x:f>IF($A289="","",IFERROR(XLOOKUP($A289,'01_Products'!$A$5:$A$500,'01_Products'!$B$5:$B$500),""))</x:f>
      </x:c>
      <x:c r="C289" s="32" t="str">
        <x:f>IF($A289="","",IFERROR(XLOOKUP($A289,'01_Products'!$A$5:$A$500,'01_Products'!$C$5:$C$500),""))</x:f>
      </x:c>
      <x:c r="D289" s="32" t="str">
        <x:f>IF('03_Functionalities'!$A289="","",'03_Functionalities'!$B289)</x:f>
      </x:c>
      <x:c r="E289" s="32" t="str">
        <x:f>IF($D289="","",IFERROR(XLOOKUP($D289,'02_Features'!$A$5:$A$1000,'02_Features'!$C$5:$C$1000),""))</x:f>
      </x:c>
      <x:c r="F289" s="32" t="str">
        <x:f>IF($D289="","",IFERROR(XLOOKUP($D289,'02_Features'!$A$5:$A$1000,'02_Features'!$D$5:$D$1000),""))</x:f>
      </x:c>
      <x:c r="G289" s="32" t="str">
        <x:f>IF($D289="","",IFERROR(XLOOKUP($D289,'02_Features'!$A$5:$A$1000,'02_Features'!$E$5:$E$1000),""))</x:f>
      </x:c>
      <x:c r="H289" s="32" t="str">
        <x:f>IF('03_Functionalities'!$A289="","",'03_Functionalities'!$A289)</x:f>
      </x:c>
      <x:c r="I289" s="32" t="str">
        <x:f>IF($H289="","",'03_Functionalities'!$D289)</x:f>
      </x:c>
      <x:c r="J289" s="32" t="str">
        <x:f>IF($H289="","",'03_Functionalities'!$E289)</x:f>
      </x:c>
      <x:c r="K289" s="32" t="str">
        <x:f>IF($H289="","",'03_Functionalities'!$F289)</x:f>
      </x:c>
      <x:c r="L289" s="32" t="str">
        <x:f>IF($H289="","",'03_Functionalities'!$G289)</x:f>
      </x:c>
      <x:c r="M289" s="32" t="str">
        <x:f>IF($H289="","",'03_Functionalities'!$H289)</x:f>
      </x:c>
      <x:c r="N289" s="32" t="str">
        <x:f>IF($H289="","",'03_Functionalities'!$I289)</x:f>
      </x:c>
      <x:c r="O289" s="32" t="str">
        <x:f>IF($H289="","",'03_Functionalities'!$J289)</x:f>
      </x:c>
      <x:c r="P289" s="32" t="str">
        <x:f>IF($H289="","",'03_Functionalities'!$K289)</x:f>
      </x:c>
      <x:c r="Q289" s="32" t="str">
        <x:f>IF($H289="","",'03_Functionalities'!$L289)</x:f>
      </x:c>
      <x:c r="R289" s="32" t="str">
        <x:f>IF($H289="","",'03_Functionalities'!$M289)</x:f>
      </x:c>
      <x:c r="S289" s="32" t="str">
        <x:f>IF($H289="","",'03_Functionalities'!$N289)</x:f>
      </x:c>
      <x:c r="T289" s="32" t="str">
        <x:f>IF($H289="","",'03_Functionalities'!$O289)</x:f>
      </x:c>
      <x:c r="U289" s="32" t="str">
        <x:f>IF($A289="","",IFERROR(XLOOKUP($A289,'01_Products'!$A$5:$A$500,'01_Products'!$G$5:$G$500),""))</x:f>
      </x:c>
      <x:c r="V289" s="32" t="str">
        <x:f>IF($D289="","",IFERROR(XLOOKUP($D289,'02_Features'!$A$5:$A$1000,'02_Features'!$J$5:$J$1000),""))</x:f>
      </x:c>
      <x:c r="W289" s="32" t="str">
        <x:f>IF($H289="","",'03_Functionalities'!$P289)</x:f>
      </x:c>
      <x:c r="X289" s="32" t="str">
        <x:f>IF($H289="","",'03_Functionalities'!$Q289)</x:f>
      </x:c>
      <x:c r="Y289" s="38"/>
      <x:c r="Z289" s="38"/>
    </x:row>
    <x:row r="290" ht="18" customHeight="1">
      <x:c r="A290" s="32" t="str">
        <x:f>IF('03_Functionalities'!$A290="","",'03_Functionalities'!$C290)</x:f>
      </x:c>
      <x:c r="B290" s="32" t="str">
        <x:f>IF($A290="","",IFERROR(XLOOKUP($A290,'01_Products'!$A$5:$A$500,'01_Products'!$B$5:$B$500),""))</x:f>
      </x:c>
      <x:c r="C290" s="32" t="str">
        <x:f>IF($A290="","",IFERROR(XLOOKUP($A290,'01_Products'!$A$5:$A$500,'01_Products'!$C$5:$C$500),""))</x:f>
      </x:c>
      <x:c r="D290" s="32" t="str">
        <x:f>IF('03_Functionalities'!$A290="","",'03_Functionalities'!$B290)</x:f>
      </x:c>
      <x:c r="E290" s="32" t="str">
        <x:f>IF($D290="","",IFERROR(XLOOKUP($D290,'02_Features'!$A$5:$A$1000,'02_Features'!$C$5:$C$1000),""))</x:f>
      </x:c>
      <x:c r="F290" s="32" t="str">
        <x:f>IF($D290="","",IFERROR(XLOOKUP($D290,'02_Features'!$A$5:$A$1000,'02_Features'!$D$5:$D$1000),""))</x:f>
      </x:c>
      <x:c r="G290" s="32" t="str">
        <x:f>IF($D290="","",IFERROR(XLOOKUP($D290,'02_Features'!$A$5:$A$1000,'02_Features'!$E$5:$E$1000),""))</x:f>
      </x:c>
      <x:c r="H290" s="32" t="str">
        <x:f>IF('03_Functionalities'!$A290="","",'03_Functionalities'!$A290)</x:f>
      </x:c>
      <x:c r="I290" s="32" t="str">
        <x:f>IF($H290="","",'03_Functionalities'!$D290)</x:f>
      </x:c>
      <x:c r="J290" s="32" t="str">
        <x:f>IF($H290="","",'03_Functionalities'!$E290)</x:f>
      </x:c>
      <x:c r="K290" s="32" t="str">
        <x:f>IF($H290="","",'03_Functionalities'!$F290)</x:f>
      </x:c>
      <x:c r="L290" s="32" t="str">
        <x:f>IF($H290="","",'03_Functionalities'!$G290)</x:f>
      </x:c>
      <x:c r="M290" s="32" t="str">
        <x:f>IF($H290="","",'03_Functionalities'!$H290)</x:f>
      </x:c>
      <x:c r="N290" s="32" t="str">
        <x:f>IF($H290="","",'03_Functionalities'!$I290)</x:f>
      </x:c>
      <x:c r="O290" s="32" t="str">
        <x:f>IF($H290="","",'03_Functionalities'!$J290)</x:f>
      </x:c>
      <x:c r="P290" s="32" t="str">
        <x:f>IF($H290="","",'03_Functionalities'!$K290)</x:f>
      </x:c>
      <x:c r="Q290" s="32" t="str">
        <x:f>IF($H290="","",'03_Functionalities'!$L290)</x:f>
      </x:c>
      <x:c r="R290" s="32" t="str">
        <x:f>IF($H290="","",'03_Functionalities'!$M290)</x:f>
      </x:c>
      <x:c r="S290" s="32" t="str">
        <x:f>IF($H290="","",'03_Functionalities'!$N290)</x:f>
      </x:c>
      <x:c r="T290" s="32" t="str">
        <x:f>IF($H290="","",'03_Functionalities'!$O290)</x:f>
      </x:c>
      <x:c r="U290" s="32" t="str">
        <x:f>IF($A290="","",IFERROR(XLOOKUP($A290,'01_Products'!$A$5:$A$500,'01_Products'!$G$5:$G$500),""))</x:f>
      </x:c>
      <x:c r="V290" s="32" t="str">
        <x:f>IF($D290="","",IFERROR(XLOOKUP($D290,'02_Features'!$A$5:$A$1000,'02_Features'!$J$5:$J$1000),""))</x:f>
      </x:c>
      <x:c r="W290" s="32" t="str">
        <x:f>IF($H290="","",'03_Functionalities'!$P290)</x:f>
      </x:c>
      <x:c r="X290" s="32" t="str">
        <x:f>IF($H290="","",'03_Functionalities'!$Q290)</x:f>
      </x:c>
      <x:c r="Y290" s="38"/>
      <x:c r="Z290" s="38"/>
    </x:row>
    <x:row r="291" ht="18" customHeight="1">
      <x:c r="A291" s="32" t="str">
        <x:f>IF('03_Functionalities'!$A291="","",'03_Functionalities'!$C291)</x:f>
      </x:c>
      <x:c r="B291" s="32" t="str">
        <x:f>IF($A291="","",IFERROR(XLOOKUP($A291,'01_Products'!$A$5:$A$500,'01_Products'!$B$5:$B$500),""))</x:f>
      </x:c>
      <x:c r="C291" s="32" t="str">
        <x:f>IF($A291="","",IFERROR(XLOOKUP($A291,'01_Products'!$A$5:$A$500,'01_Products'!$C$5:$C$500),""))</x:f>
      </x:c>
      <x:c r="D291" s="32" t="str">
        <x:f>IF('03_Functionalities'!$A291="","",'03_Functionalities'!$B291)</x:f>
      </x:c>
      <x:c r="E291" s="32" t="str">
        <x:f>IF($D291="","",IFERROR(XLOOKUP($D291,'02_Features'!$A$5:$A$1000,'02_Features'!$C$5:$C$1000),""))</x:f>
      </x:c>
      <x:c r="F291" s="32" t="str">
        <x:f>IF($D291="","",IFERROR(XLOOKUP($D291,'02_Features'!$A$5:$A$1000,'02_Features'!$D$5:$D$1000),""))</x:f>
      </x:c>
      <x:c r="G291" s="32" t="str">
        <x:f>IF($D291="","",IFERROR(XLOOKUP($D291,'02_Features'!$A$5:$A$1000,'02_Features'!$E$5:$E$1000),""))</x:f>
      </x:c>
      <x:c r="H291" s="32" t="str">
        <x:f>IF('03_Functionalities'!$A291="","",'03_Functionalities'!$A291)</x:f>
      </x:c>
      <x:c r="I291" s="32" t="str">
        <x:f>IF($H291="","",'03_Functionalities'!$D291)</x:f>
      </x:c>
      <x:c r="J291" s="32" t="str">
        <x:f>IF($H291="","",'03_Functionalities'!$E291)</x:f>
      </x:c>
      <x:c r="K291" s="32" t="str">
        <x:f>IF($H291="","",'03_Functionalities'!$F291)</x:f>
      </x:c>
      <x:c r="L291" s="32" t="str">
        <x:f>IF($H291="","",'03_Functionalities'!$G291)</x:f>
      </x:c>
      <x:c r="M291" s="32" t="str">
        <x:f>IF($H291="","",'03_Functionalities'!$H291)</x:f>
      </x:c>
      <x:c r="N291" s="32" t="str">
        <x:f>IF($H291="","",'03_Functionalities'!$I291)</x:f>
      </x:c>
      <x:c r="O291" s="32" t="str">
        <x:f>IF($H291="","",'03_Functionalities'!$J291)</x:f>
      </x:c>
      <x:c r="P291" s="32" t="str">
        <x:f>IF($H291="","",'03_Functionalities'!$K291)</x:f>
      </x:c>
      <x:c r="Q291" s="32" t="str">
        <x:f>IF($H291="","",'03_Functionalities'!$L291)</x:f>
      </x:c>
      <x:c r="R291" s="32" t="str">
        <x:f>IF($H291="","",'03_Functionalities'!$M291)</x:f>
      </x:c>
      <x:c r="S291" s="32" t="str">
        <x:f>IF($H291="","",'03_Functionalities'!$N291)</x:f>
      </x:c>
      <x:c r="T291" s="32" t="str">
        <x:f>IF($H291="","",'03_Functionalities'!$O291)</x:f>
      </x:c>
      <x:c r="U291" s="32" t="str">
        <x:f>IF($A291="","",IFERROR(XLOOKUP($A291,'01_Products'!$A$5:$A$500,'01_Products'!$G$5:$G$500),""))</x:f>
      </x:c>
      <x:c r="V291" s="32" t="str">
        <x:f>IF($D291="","",IFERROR(XLOOKUP($D291,'02_Features'!$A$5:$A$1000,'02_Features'!$J$5:$J$1000),""))</x:f>
      </x:c>
      <x:c r="W291" s="32" t="str">
        <x:f>IF($H291="","",'03_Functionalities'!$P291)</x:f>
      </x:c>
      <x:c r="X291" s="32" t="str">
        <x:f>IF($H291="","",'03_Functionalities'!$Q291)</x:f>
      </x:c>
      <x:c r="Y291" s="38"/>
      <x:c r="Z291" s="38"/>
    </x:row>
    <x:row r="292" ht="18" customHeight="1">
      <x:c r="A292" s="32" t="str">
        <x:f>IF('03_Functionalities'!$A292="","",'03_Functionalities'!$C292)</x:f>
      </x:c>
      <x:c r="B292" s="32" t="str">
        <x:f>IF($A292="","",IFERROR(XLOOKUP($A292,'01_Products'!$A$5:$A$500,'01_Products'!$B$5:$B$500),""))</x:f>
      </x:c>
      <x:c r="C292" s="32" t="str">
        <x:f>IF($A292="","",IFERROR(XLOOKUP($A292,'01_Products'!$A$5:$A$500,'01_Products'!$C$5:$C$500),""))</x:f>
      </x:c>
      <x:c r="D292" s="32" t="str">
        <x:f>IF('03_Functionalities'!$A292="","",'03_Functionalities'!$B292)</x:f>
      </x:c>
      <x:c r="E292" s="32" t="str">
        <x:f>IF($D292="","",IFERROR(XLOOKUP($D292,'02_Features'!$A$5:$A$1000,'02_Features'!$C$5:$C$1000),""))</x:f>
      </x:c>
      <x:c r="F292" s="32" t="str">
        <x:f>IF($D292="","",IFERROR(XLOOKUP($D292,'02_Features'!$A$5:$A$1000,'02_Features'!$D$5:$D$1000),""))</x:f>
      </x:c>
      <x:c r="G292" s="32" t="str">
        <x:f>IF($D292="","",IFERROR(XLOOKUP($D292,'02_Features'!$A$5:$A$1000,'02_Features'!$E$5:$E$1000),""))</x:f>
      </x:c>
      <x:c r="H292" s="32" t="str">
        <x:f>IF('03_Functionalities'!$A292="","",'03_Functionalities'!$A292)</x:f>
      </x:c>
      <x:c r="I292" s="32" t="str">
        <x:f>IF($H292="","",'03_Functionalities'!$D292)</x:f>
      </x:c>
      <x:c r="J292" s="32" t="str">
        <x:f>IF($H292="","",'03_Functionalities'!$E292)</x:f>
      </x:c>
      <x:c r="K292" s="32" t="str">
        <x:f>IF($H292="","",'03_Functionalities'!$F292)</x:f>
      </x:c>
      <x:c r="L292" s="32" t="str">
        <x:f>IF($H292="","",'03_Functionalities'!$G292)</x:f>
      </x:c>
      <x:c r="M292" s="32" t="str">
        <x:f>IF($H292="","",'03_Functionalities'!$H292)</x:f>
      </x:c>
      <x:c r="N292" s="32" t="str">
        <x:f>IF($H292="","",'03_Functionalities'!$I292)</x:f>
      </x:c>
      <x:c r="O292" s="32" t="str">
        <x:f>IF($H292="","",'03_Functionalities'!$J292)</x:f>
      </x:c>
      <x:c r="P292" s="32" t="str">
        <x:f>IF($H292="","",'03_Functionalities'!$K292)</x:f>
      </x:c>
      <x:c r="Q292" s="32" t="str">
        <x:f>IF($H292="","",'03_Functionalities'!$L292)</x:f>
      </x:c>
      <x:c r="R292" s="32" t="str">
        <x:f>IF($H292="","",'03_Functionalities'!$M292)</x:f>
      </x:c>
      <x:c r="S292" s="32" t="str">
        <x:f>IF($H292="","",'03_Functionalities'!$N292)</x:f>
      </x:c>
      <x:c r="T292" s="32" t="str">
        <x:f>IF($H292="","",'03_Functionalities'!$O292)</x:f>
      </x:c>
      <x:c r="U292" s="32" t="str">
        <x:f>IF($A292="","",IFERROR(XLOOKUP($A292,'01_Products'!$A$5:$A$500,'01_Products'!$G$5:$G$500),""))</x:f>
      </x:c>
      <x:c r="V292" s="32" t="str">
        <x:f>IF($D292="","",IFERROR(XLOOKUP($D292,'02_Features'!$A$5:$A$1000,'02_Features'!$J$5:$J$1000),""))</x:f>
      </x:c>
      <x:c r="W292" s="32" t="str">
        <x:f>IF($H292="","",'03_Functionalities'!$P292)</x:f>
      </x:c>
      <x:c r="X292" s="32" t="str">
        <x:f>IF($H292="","",'03_Functionalities'!$Q292)</x:f>
      </x:c>
      <x:c r="Y292" s="38"/>
      <x:c r="Z292" s="38"/>
    </x:row>
    <x:row r="293" ht="18" customHeight="1">
      <x:c r="A293" s="32" t="str">
        <x:f>IF('03_Functionalities'!$A293="","",'03_Functionalities'!$C293)</x:f>
      </x:c>
      <x:c r="B293" s="32" t="str">
        <x:f>IF($A293="","",IFERROR(XLOOKUP($A293,'01_Products'!$A$5:$A$500,'01_Products'!$B$5:$B$500),""))</x:f>
      </x:c>
      <x:c r="C293" s="32" t="str">
        <x:f>IF($A293="","",IFERROR(XLOOKUP($A293,'01_Products'!$A$5:$A$500,'01_Products'!$C$5:$C$500),""))</x:f>
      </x:c>
      <x:c r="D293" s="32" t="str">
        <x:f>IF('03_Functionalities'!$A293="","",'03_Functionalities'!$B293)</x:f>
      </x:c>
      <x:c r="E293" s="32" t="str">
        <x:f>IF($D293="","",IFERROR(XLOOKUP($D293,'02_Features'!$A$5:$A$1000,'02_Features'!$C$5:$C$1000),""))</x:f>
      </x:c>
      <x:c r="F293" s="32" t="str">
        <x:f>IF($D293="","",IFERROR(XLOOKUP($D293,'02_Features'!$A$5:$A$1000,'02_Features'!$D$5:$D$1000),""))</x:f>
      </x:c>
      <x:c r="G293" s="32" t="str">
        <x:f>IF($D293="","",IFERROR(XLOOKUP($D293,'02_Features'!$A$5:$A$1000,'02_Features'!$E$5:$E$1000),""))</x:f>
      </x:c>
      <x:c r="H293" s="32" t="str">
        <x:f>IF('03_Functionalities'!$A293="","",'03_Functionalities'!$A293)</x:f>
      </x:c>
      <x:c r="I293" s="32" t="str">
        <x:f>IF($H293="","",'03_Functionalities'!$D293)</x:f>
      </x:c>
      <x:c r="J293" s="32" t="str">
        <x:f>IF($H293="","",'03_Functionalities'!$E293)</x:f>
      </x:c>
      <x:c r="K293" s="32" t="str">
        <x:f>IF($H293="","",'03_Functionalities'!$F293)</x:f>
      </x:c>
      <x:c r="L293" s="32" t="str">
        <x:f>IF($H293="","",'03_Functionalities'!$G293)</x:f>
      </x:c>
      <x:c r="M293" s="32" t="str">
        <x:f>IF($H293="","",'03_Functionalities'!$H293)</x:f>
      </x:c>
      <x:c r="N293" s="32" t="str">
        <x:f>IF($H293="","",'03_Functionalities'!$I293)</x:f>
      </x:c>
      <x:c r="O293" s="32" t="str">
        <x:f>IF($H293="","",'03_Functionalities'!$J293)</x:f>
      </x:c>
      <x:c r="P293" s="32" t="str">
        <x:f>IF($H293="","",'03_Functionalities'!$K293)</x:f>
      </x:c>
      <x:c r="Q293" s="32" t="str">
        <x:f>IF($H293="","",'03_Functionalities'!$L293)</x:f>
      </x:c>
      <x:c r="R293" s="32" t="str">
        <x:f>IF($H293="","",'03_Functionalities'!$M293)</x:f>
      </x:c>
      <x:c r="S293" s="32" t="str">
        <x:f>IF($H293="","",'03_Functionalities'!$N293)</x:f>
      </x:c>
      <x:c r="T293" s="32" t="str">
        <x:f>IF($H293="","",'03_Functionalities'!$O293)</x:f>
      </x:c>
      <x:c r="U293" s="32" t="str">
        <x:f>IF($A293="","",IFERROR(XLOOKUP($A293,'01_Products'!$A$5:$A$500,'01_Products'!$G$5:$G$500),""))</x:f>
      </x:c>
      <x:c r="V293" s="32" t="str">
        <x:f>IF($D293="","",IFERROR(XLOOKUP($D293,'02_Features'!$A$5:$A$1000,'02_Features'!$J$5:$J$1000),""))</x:f>
      </x:c>
      <x:c r="W293" s="32" t="str">
        <x:f>IF($H293="","",'03_Functionalities'!$P293)</x:f>
      </x:c>
      <x:c r="X293" s="32" t="str">
        <x:f>IF($H293="","",'03_Functionalities'!$Q293)</x:f>
      </x:c>
      <x:c r="Y293" s="38"/>
      <x:c r="Z293" s="38"/>
    </x:row>
    <x:row r="294" ht="18" customHeight="1">
      <x:c r="A294" s="32" t="str">
        <x:f>IF('03_Functionalities'!$A294="","",'03_Functionalities'!$C294)</x:f>
      </x:c>
      <x:c r="B294" s="32" t="str">
        <x:f>IF($A294="","",IFERROR(XLOOKUP($A294,'01_Products'!$A$5:$A$500,'01_Products'!$B$5:$B$500),""))</x:f>
      </x:c>
      <x:c r="C294" s="32" t="str">
        <x:f>IF($A294="","",IFERROR(XLOOKUP($A294,'01_Products'!$A$5:$A$500,'01_Products'!$C$5:$C$500),""))</x:f>
      </x:c>
      <x:c r="D294" s="32" t="str">
        <x:f>IF('03_Functionalities'!$A294="","",'03_Functionalities'!$B294)</x:f>
      </x:c>
      <x:c r="E294" s="32" t="str">
        <x:f>IF($D294="","",IFERROR(XLOOKUP($D294,'02_Features'!$A$5:$A$1000,'02_Features'!$C$5:$C$1000),""))</x:f>
      </x:c>
      <x:c r="F294" s="32" t="str">
        <x:f>IF($D294="","",IFERROR(XLOOKUP($D294,'02_Features'!$A$5:$A$1000,'02_Features'!$D$5:$D$1000),""))</x:f>
      </x:c>
      <x:c r="G294" s="32" t="str">
        <x:f>IF($D294="","",IFERROR(XLOOKUP($D294,'02_Features'!$A$5:$A$1000,'02_Features'!$E$5:$E$1000),""))</x:f>
      </x:c>
      <x:c r="H294" s="32" t="str">
        <x:f>IF('03_Functionalities'!$A294="","",'03_Functionalities'!$A294)</x:f>
      </x:c>
      <x:c r="I294" s="32" t="str">
        <x:f>IF($H294="","",'03_Functionalities'!$D294)</x:f>
      </x:c>
      <x:c r="J294" s="32" t="str">
        <x:f>IF($H294="","",'03_Functionalities'!$E294)</x:f>
      </x:c>
      <x:c r="K294" s="32" t="str">
        <x:f>IF($H294="","",'03_Functionalities'!$F294)</x:f>
      </x:c>
      <x:c r="L294" s="32" t="str">
        <x:f>IF($H294="","",'03_Functionalities'!$G294)</x:f>
      </x:c>
      <x:c r="M294" s="32" t="str">
        <x:f>IF($H294="","",'03_Functionalities'!$H294)</x:f>
      </x:c>
      <x:c r="N294" s="32" t="str">
        <x:f>IF($H294="","",'03_Functionalities'!$I294)</x:f>
      </x:c>
      <x:c r="O294" s="32" t="str">
        <x:f>IF($H294="","",'03_Functionalities'!$J294)</x:f>
      </x:c>
      <x:c r="P294" s="32" t="str">
        <x:f>IF($H294="","",'03_Functionalities'!$K294)</x:f>
      </x:c>
      <x:c r="Q294" s="32" t="str">
        <x:f>IF($H294="","",'03_Functionalities'!$L294)</x:f>
      </x:c>
      <x:c r="R294" s="32" t="str">
        <x:f>IF($H294="","",'03_Functionalities'!$M294)</x:f>
      </x:c>
      <x:c r="S294" s="32" t="str">
        <x:f>IF($H294="","",'03_Functionalities'!$N294)</x:f>
      </x:c>
      <x:c r="T294" s="32" t="str">
        <x:f>IF($H294="","",'03_Functionalities'!$O294)</x:f>
      </x:c>
      <x:c r="U294" s="32" t="str">
        <x:f>IF($A294="","",IFERROR(XLOOKUP($A294,'01_Products'!$A$5:$A$500,'01_Products'!$G$5:$G$500),""))</x:f>
      </x:c>
      <x:c r="V294" s="32" t="str">
        <x:f>IF($D294="","",IFERROR(XLOOKUP($D294,'02_Features'!$A$5:$A$1000,'02_Features'!$J$5:$J$1000),""))</x:f>
      </x:c>
      <x:c r="W294" s="32" t="str">
        <x:f>IF($H294="","",'03_Functionalities'!$P294)</x:f>
      </x:c>
      <x:c r="X294" s="32" t="str">
        <x:f>IF($H294="","",'03_Functionalities'!$Q294)</x:f>
      </x:c>
      <x:c r="Y294" s="38"/>
      <x:c r="Z294" s="38"/>
    </x:row>
    <x:row r="295" ht="18" customHeight="1">
      <x:c r="A295" s="32" t="str">
        <x:f>IF('03_Functionalities'!$A295="","",'03_Functionalities'!$C295)</x:f>
      </x:c>
      <x:c r="B295" s="32" t="str">
        <x:f>IF($A295="","",IFERROR(XLOOKUP($A295,'01_Products'!$A$5:$A$500,'01_Products'!$B$5:$B$500),""))</x:f>
      </x:c>
      <x:c r="C295" s="32" t="str">
        <x:f>IF($A295="","",IFERROR(XLOOKUP($A295,'01_Products'!$A$5:$A$500,'01_Products'!$C$5:$C$500),""))</x:f>
      </x:c>
      <x:c r="D295" s="32" t="str">
        <x:f>IF('03_Functionalities'!$A295="","",'03_Functionalities'!$B295)</x:f>
      </x:c>
      <x:c r="E295" s="32" t="str">
        <x:f>IF($D295="","",IFERROR(XLOOKUP($D295,'02_Features'!$A$5:$A$1000,'02_Features'!$C$5:$C$1000),""))</x:f>
      </x:c>
      <x:c r="F295" s="32" t="str">
        <x:f>IF($D295="","",IFERROR(XLOOKUP($D295,'02_Features'!$A$5:$A$1000,'02_Features'!$D$5:$D$1000),""))</x:f>
      </x:c>
      <x:c r="G295" s="32" t="str">
        <x:f>IF($D295="","",IFERROR(XLOOKUP($D295,'02_Features'!$A$5:$A$1000,'02_Features'!$E$5:$E$1000),""))</x:f>
      </x:c>
      <x:c r="H295" s="32" t="str">
        <x:f>IF('03_Functionalities'!$A295="","",'03_Functionalities'!$A295)</x:f>
      </x:c>
      <x:c r="I295" s="32" t="str">
        <x:f>IF($H295="","",'03_Functionalities'!$D295)</x:f>
      </x:c>
      <x:c r="J295" s="32" t="str">
        <x:f>IF($H295="","",'03_Functionalities'!$E295)</x:f>
      </x:c>
      <x:c r="K295" s="32" t="str">
        <x:f>IF($H295="","",'03_Functionalities'!$F295)</x:f>
      </x:c>
      <x:c r="L295" s="32" t="str">
        <x:f>IF($H295="","",'03_Functionalities'!$G295)</x:f>
      </x:c>
      <x:c r="M295" s="32" t="str">
        <x:f>IF($H295="","",'03_Functionalities'!$H295)</x:f>
      </x:c>
      <x:c r="N295" s="32" t="str">
        <x:f>IF($H295="","",'03_Functionalities'!$I295)</x:f>
      </x:c>
      <x:c r="O295" s="32" t="str">
        <x:f>IF($H295="","",'03_Functionalities'!$J295)</x:f>
      </x:c>
      <x:c r="P295" s="32" t="str">
        <x:f>IF($H295="","",'03_Functionalities'!$K295)</x:f>
      </x:c>
      <x:c r="Q295" s="32" t="str">
        <x:f>IF($H295="","",'03_Functionalities'!$L295)</x:f>
      </x:c>
      <x:c r="R295" s="32" t="str">
        <x:f>IF($H295="","",'03_Functionalities'!$M295)</x:f>
      </x:c>
      <x:c r="S295" s="32" t="str">
        <x:f>IF($H295="","",'03_Functionalities'!$N295)</x:f>
      </x:c>
      <x:c r="T295" s="32" t="str">
        <x:f>IF($H295="","",'03_Functionalities'!$O295)</x:f>
      </x:c>
      <x:c r="U295" s="32" t="str">
        <x:f>IF($A295="","",IFERROR(XLOOKUP($A295,'01_Products'!$A$5:$A$500,'01_Products'!$G$5:$G$500),""))</x:f>
      </x:c>
      <x:c r="V295" s="32" t="str">
        <x:f>IF($D295="","",IFERROR(XLOOKUP($D295,'02_Features'!$A$5:$A$1000,'02_Features'!$J$5:$J$1000),""))</x:f>
      </x:c>
      <x:c r="W295" s="32" t="str">
        <x:f>IF($H295="","",'03_Functionalities'!$P295)</x:f>
      </x:c>
      <x:c r="X295" s="32" t="str">
        <x:f>IF($H295="","",'03_Functionalities'!$Q295)</x:f>
      </x:c>
      <x:c r="Y295" s="38"/>
      <x:c r="Z295" s="38"/>
    </x:row>
    <x:row r="296" ht="18" customHeight="1">
      <x:c r="A296" s="32" t="str">
        <x:f>IF('03_Functionalities'!$A296="","",'03_Functionalities'!$C296)</x:f>
      </x:c>
      <x:c r="B296" s="32" t="str">
        <x:f>IF($A296="","",IFERROR(XLOOKUP($A296,'01_Products'!$A$5:$A$500,'01_Products'!$B$5:$B$500),""))</x:f>
      </x:c>
      <x:c r="C296" s="32" t="str">
        <x:f>IF($A296="","",IFERROR(XLOOKUP($A296,'01_Products'!$A$5:$A$500,'01_Products'!$C$5:$C$500),""))</x:f>
      </x:c>
      <x:c r="D296" s="32" t="str">
        <x:f>IF('03_Functionalities'!$A296="","",'03_Functionalities'!$B296)</x:f>
      </x:c>
      <x:c r="E296" s="32" t="str">
        <x:f>IF($D296="","",IFERROR(XLOOKUP($D296,'02_Features'!$A$5:$A$1000,'02_Features'!$C$5:$C$1000),""))</x:f>
      </x:c>
      <x:c r="F296" s="32" t="str">
        <x:f>IF($D296="","",IFERROR(XLOOKUP($D296,'02_Features'!$A$5:$A$1000,'02_Features'!$D$5:$D$1000),""))</x:f>
      </x:c>
      <x:c r="G296" s="32" t="str">
        <x:f>IF($D296="","",IFERROR(XLOOKUP($D296,'02_Features'!$A$5:$A$1000,'02_Features'!$E$5:$E$1000),""))</x:f>
      </x:c>
      <x:c r="H296" s="32" t="str">
        <x:f>IF('03_Functionalities'!$A296="","",'03_Functionalities'!$A296)</x:f>
      </x:c>
      <x:c r="I296" s="32" t="str">
        <x:f>IF($H296="","",'03_Functionalities'!$D296)</x:f>
      </x:c>
      <x:c r="J296" s="32" t="str">
        <x:f>IF($H296="","",'03_Functionalities'!$E296)</x:f>
      </x:c>
      <x:c r="K296" s="32" t="str">
        <x:f>IF($H296="","",'03_Functionalities'!$F296)</x:f>
      </x:c>
      <x:c r="L296" s="32" t="str">
        <x:f>IF($H296="","",'03_Functionalities'!$G296)</x:f>
      </x:c>
      <x:c r="M296" s="32" t="str">
        <x:f>IF($H296="","",'03_Functionalities'!$H296)</x:f>
      </x:c>
      <x:c r="N296" s="32" t="str">
        <x:f>IF($H296="","",'03_Functionalities'!$I296)</x:f>
      </x:c>
      <x:c r="O296" s="32" t="str">
        <x:f>IF($H296="","",'03_Functionalities'!$J296)</x:f>
      </x:c>
      <x:c r="P296" s="32" t="str">
        <x:f>IF($H296="","",'03_Functionalities'!$K296)</x:f>
      </x:c>
      <x:c r="Q296" s="32" t="str">
        <x:f>IF($H296="","",'03_Functionalities'!$L296)</x:f>
      </x:c>
      <x:c r="R296" s="32" t="str">
        <x:f>IF($H296="","",'03_Functionalities'!$M296)</x:f>
      </x:c>
      <x:c r="S296" s="32" t="str">
        <x:f>IF($H296="","",'03_Functionalities'!$N296)</x:f>
      </x:c>
      <x:c r="T296" s="32" t="str">
        <x:f>IF($H296="","",'03_Functionalities'!$O296)</x:f>
      </x:c>
      <x:c r="U296" s="32" t="str">
        <x:f>IF($A296="","",IFERROR(XLOOKUP($A296,'01_Products'!$A$5:$A$500,'01_Products'!$G$5:$G$500),""))</x:f>
      </x:c>
      <x:c r="V296" s="32" t="str">
        <x:f>IF($D296="","",IFERROR(XLOOKUP($D296,'02_Features'!$A$5:$A$1000,'02_Features'!$J$5:$J$1000),""))</x:f>
      </x:c>
      <x:c r="W296" s="32" t="str">
        <x:f>IF($H296="","",'03_Functionalities'!$P296)</x:f>
      </x:c>
      <x:c r="X296" s="32" t="str">
        <x:f>IF($H296="","",'03_Functionalities'!$Q296)</x:f>
      </x:c>
      <x:c r="Y296" s="38"/>
      <x:c r="Z296" s="38"/>
    </x:row>
    <x:row r="297" ht="18" customHeight="1">
      <x:c r="A297" s="32" t="str">
        <x:f>IF('03_Functionalities'!$A297="","",'03_Functionalities'!$C297)</x:f>
      </x:c>
      <x:c r="B297" s="32" t="str">
        <x:f>IF($A297="","",IFERROR(XLOOKUP($A297,'01_Products'!$A$5:$A$500,'01_Products'!$B$5:$B$500),""))</x:f>
      </x:c>
      <x:c r="C297" s="32" t="str">
        <x:f>IF($A297="","",IFERROR(XLOOKUP($A297,'01_Products'!$A$5:$A$500,'01_Products'!$C$5:$C$500),""))</x:f>
      </x:c>
      <x:c r="D297" s="32" t="str">
        <x:f>IF('03_Functionalities'!$A297="","",'03_Functionalities'!$B297)</x:f>
      </x:c>
      <x:c r="E297" s="32" t="str">
        <x:f>IF($D297="","",IFERROR(XLOOKUP($D297,'02_Features'!$A$5:$A$1000,'02_Features'!$C$5:$C$1000),""))</x:f>
      </x:c>
      <x:c r="F297" s="32" t="str">
        <x:f>IF($D297="","",IFERROR(XLOOKUP($D297,'02_Features'!$A$5:$A$1000,'02_Features'!$D$5:$D$1000),""))</x:f>
      </x:c>
      <x:c r="G297" s="32" t="str">
        <x:f>IF($D297="","",IFERROR(XLOOKUP($D297,'02_Features'!$A$5:$A$1000,'02_Features'!$E$5:$E$1000),""))</x:f>
      </x:c>
      <x:c r="H297" s="32" t="str">
        <x:f>IF('03_Functionalities'!$A297="","",'03_Functionalities'!$A297)</x:f>
      </x:c>
      <x:c r="I297" s="32" t="str">
        <x:f>IF($H297="","",'03_Functionalities'!$D297)</x:f>
      </x:c>
      <x:c r="J297" s="32" t="str">
        <x:f>IF($H297="","",'03_Functionalities'!$E297)</x:f>
      </x:c>
      <x:c r="K297" s="32" t="str">
        <x:f>IF($H297="","",'03_Functionalities'!$F297)</x:f>
      </x:c>
      <x:c r="L297" s="32" t="str">
        <x:f>IF($H297="","",'03_Functionalities'!$G297)</x:f>
      </x:c>
      <x:c r="M297" s="32" t="str">
        <x:f>IF($H297="","",'03_Functionalities'!$H297)</x:f>
      </x:c>
      <x:c r="N297" s="32" t="str">
        <x:f>IF($H297="","",'03_Functionalities'!$I297)</x:f>
      </x:c>
      <x:c r="O297" s="32" t="str">
        <x:f>IF($H297="","",'03_Functionalities'!$J297)</x:f>
      </x:c>
      <x:c r="P297" s="32" t="str">
        <x:f>IF($H297="","",'03_Functionalities'!$K297)</x:f>
      </x:c>
      <x:c r="Q297" s="32" t="str">
        <x:f>IF($H297="","",'03_Functionalities'!$L297)</x:f>
      </x:c>
      <x:c r="R297" s="32" t="str">
        <x:f>IF($H297="","",'03_Functionalities'!$M297)</x:f>
      </x:c>
      <x:c r="S297" s="32" t="str">
        <x:f>IF($H297="","",'03_Functionalities'!$N297)</x:f>
      </x:c>
      <x:c r="T297" s="32" t="str">
        <x:f>IF($H297="","",'03_Functionalities'!$O297)</x:f>
      </x:c>
      <x:c r="U297" s="32" t="str">
        <x:f>IF($A297="","",IFERROR(XLOOKUP($A297,'01_Products'!$A$5:$A$500,'01_Products'!$G$5:$G$500),""))</x:f>
      </x:c>
      <x:c r="V297" s="32" t="str">
        <x:f>IF($D297="","",IFERROR(XLOOKUP($D297,'02_Features'!$A$5:$A$1000,'02_Features'!$J$5:$J$1000),""))</x:f>
      </x:c>
      <x:c r="W297" s="32" t="str">
        <x:f>IF($H297="","",'03_Functionalities'!$P297)</x:f>
      </x:c>
      <x:c r="X297" s="32" t="str">
        <x:f>IF($H297="","",'03_Functionalities'!$Q297)</x:f>
      </x:c>
      <x:c r="Y297" s="38"/>
      <x:c r="Z297" s="38"/>
    </x:row>
    <x:row r="298" ht="18" customHeight="1">
      <x:c r="A298" s="32" t="str">
        <x:f>IF('03_Functionalities'!$A298="","",'03_Functionalities'!$C298)</x:f>
      </x:c>
      <x:c r="B298" s="32" t="str">
        <x:f>IF($A298="","",IFERROR(XLOOKUP($A298,'01_Products'!$A$5:$A$500,'01_Products'!$B$5:$B$500),""))</x:f>
      </x:c>
      <x:c r="C298" s="32" t="str">
        <x:f>IF($A298="","",IFERROR(XLOOKUP($A298,'01_Products'!$A$5:$A$500,'01_Products'!$C$5:$C$500),""))</x:f>
      </x:c>
      <x:c r="D298" s="32" t="str">
        <x:f>IF('03_Functionalities'!$A298="","",'03_Functionalities'!$B298)</x:f>
      </x:c>
      <x:c r="E298" s="32" t="str">
        <x:f>IF($D298="","",IFERROR(XLOOKUP($D298,'02_Features'!$A$5:$A$1000,'02_Features'!$C$5:$C$1000),""))</x:f>
      </x:c>
      <x:c r="F298" s="32" t="str">
        <x:f>IF($D298="","",IFERROR(XLOOKUP($D298,'02_Features'!$A$5:$A$1000,'02_Features'!$D$5:$D$1000),""))</x:f>
      </x:c>
      <x:c r="G298" s="32" t="str">
        <x:f>IF($D298="","",IFERROR(XLOOKUP($D298,'02_Features'!$A$5:$A$1000,'02_Features'!$E$5:$E$1000),""))</x:f>
      </x:c>
      <x:c r="H298" s="32" t="str">
        <x:f>IF('03_Functionalities'!$A298="","",'03_Functionalities'!$A298)</x:f>
      </x:c>
      <x:c r="I298" s="32" t="str">
        <x:f>IF($H298="","",'03_Functionalities'!$D298)</x:f>
      </x:c>
      <x:c r="J298" s="32" t="str">
        <x:f>IF($H298="","",'03_Functionalities'!$E298)</x:f>
      </x:c>
      <x:c r="K298" s="32" t="str">
        <x:f>IF($H298="","",'03_Functionalities'!$F298)</x:f>
      </x:c>
      <x:c r="L298" s="32" t="str">
        <x:f>IF($H298="","",'03_Functionalities'!$G298)</x:f>
      </x:c>
      <x:c r="M298" s="32" t="str">
        <x:f>IF($H298="","",'03_Functionalities'!$H298)</x:f>
      </x:c>
      <x:c r="N298" s="32" t="str">
        <x:f>IF($H298="","",'03_Functionalities'!$I298)</x:f>
      </x:c>
      <x:c r="O298" s="32" t="str">
        <x:f>IF($H298="","",'03_Functionalities'!$J298)</x:f>
      </x:c>
      <x:c r="P298" s="32" t="str">
        <x:f>IF($H298="","",'03_Functionalities'!$K298)</x:f>
      </x:c>
      <x:c r="Q298" s="32" t="str">
        <x:f>IF($H298="","",'03_Functionalities'!$L298)</x:f>
      </x:c>
      <x:c r="R298" s="32" t="str">
        <x:f>IF($H298="","",'03_Functionalities'!$M298)</x:f>
      </x:c>
      <x:c r="S298" s="32" t="str">
        <x:f>IF($H298="","",'03_Functionalities'!$N298)</x:f>
      </x:c>
      <x:c r="T298" s="32" t="str">
        <x:f>IF($H298="","",'03_Functionalities'!$O298)</x:f>
      </x:c>
      <x:c r="U298" s="32" t="str">
        <x:f>IF($A298="","",IFERROR(XLOOKUP($A298,'01_Products'!$A$5:$A$500,'01_Products'!$G$5:$G$500),""))</x:f>
      </x:c>
      <x:c r="V298" s="32" t="str">
        <x:f>IF($D298="","",IFERROR(XLOOKUP($D298,'02_Features'!$A$5:$A$1000,'02_Features'!$J$5:$J$1000),""))</x:f>
      </x:c>
      <x:c r="W298" s="32" t="str">
        <x:f>IF($H298="","",'03_Functionalities'!$P298)</x:f>
      </x:c>
      <x:c r="X298" s="32" t="str">
        <x:f>IF($H298="","",'03_Functionalities'!$Q298)</x:f>
      </x:c>
      <x:c r="Y298" s="38"/>
      <x:c r="Z298" s="38"/>
    </x:row>
    <x:row r="299" ht="18" customHeight="1">
      <x:c r="A299" s="32" t="str">
        <x:f>IF('03_Functionalities'!$A299="","",'03_Functionalities'!$C299)</x:f>
      </x:c>
      <x:c r="B299" s="32" t="str">
        <x:f>IF($A299="","",IFERROR(XLOOKUP($A299,'01_Products'!$A$5:$A$500,'01_Products'!$B$5:$B$500),""))</x:f>
      </x:c>
      <x:c r="C299" s="32" t="str">
        <x:f>IF($A299="","",IFERROR(XLOOKUP($A299,'01_Products'!$A$5:$A$500,'01_Products'!$C$5:$C$500),""))</x:f>
      </x:c>
      <x:c r="D299" s="32" t="str">
        <x:f>IF('03_Functionalities'!$A299="","",'03_Functionalities'!$B299)</x:f>
      </x:c>
      <x:c r="E299" s="32" t="str">
        <x:f>IF($D299="","",IFERROR(XLOOKUP($D299,'02_Features'!$A$5:$A$1000,'02_Features'!$C$5:$C$1000),""))</x:f>
      </x:c>
      <x:c r="F299" s="32" t="str">
        <x:f>IF($D299="","",IFERROR(XLOOKUP($D299,'02_Features'!$A$5:$A$1000,'02_Features'!$D$5:$D$1000),""))</x:f>
      </x:c>
      <x:c r="G299" s="32" t="str">
        <x:f>IF($D299="","",IFERROR(XLOOKUP($D299,'02_Features'!$A$5:$A$1000,'02_Features'!$E$5:$E$1000),""))</x:f>
      </x:c>
      <x:c r="H299" s="32" t="str">
        <x:f>IF('03_Functionalities'!$A299="","",'03_Functionalities'!$A299)</x:f>
      </x:c>
      <x:c r="I299" s="32" t="str">
        <x:f>IF($H299="","",'03_Functionalities'!$D299)</x:f>
      </x:c>
      <x:c r="J299" s="32" t="str">
        <x:f>IF($H299="","",'03_Functionalities'!$E299)</x:f>
      </x:c>
      <x:c r="K299" s="32" t="str">
        <x:f>IF($H299="","",'03_Functionalities'!$F299)</x:f>
      </x:c>
      <x:c r="L299" s="32" t="str">
        <x:f>IF($H299="","",'03_Functionalities'!$G299)</x:f>
      </x:c>
      <x:c r="M299" s="32" t="str">
        <x:f>IF($H299="","",'03_Functionalities'!$H299)</x:f>
      </x:c>
      <x:c r="N299" s="32" t="str">
        <x:f>IF($H299="","",'03_Functionalities'!$I299)</x:f>
      </x:c>
      <x:c r="O299" s="32" t="str">
        <x:f>IF($H299="","",'03_Functionalities'!$J299)</x:f>
      </x:c>
      <x:c r="P299" s="32" t="str">
        <x:f>IF($H299="","",'03_Functionalities'!$K299)</x:f>
      </x:c>
      <x:c r="Q299" s="32" t="str">
        <x:f>IF($H299="","",'03_Functionalities'!$L299)</x:f>
      </x:c>
      <x:c r="R299" s="32" t="str">
        <x:f>IF($H299="","",'03_Functionalities'!$M299)</x:f>
      </x:c>
      <x:c r="S299" s="32" t="str">
        <x:f>IF($H299="","",'03_Functionalities'!$N299)</x:f>
      </x:c>
      <x:c r="T299" s="32" t="str">
        <x:f>IF($H299="","",'03_Functionalities'!$O299)</x:f>
      </x:c>
      <x:c r="U299" s="32" t="str">
        <x:f>IF($A299="","",IFERROR(XLOOKUP($A299,'01_Products'!$A$5:$A$500,'01_Products'!$G$5:$G$500),""))</x:f>
      </x:c>
      <x:c r="V299" s="32" t="str">
        <x:f>IF($D299="","",IFERROR(XLOOKUP($D299,'02_Features'!$A$5:$A$1000,'02_Features'!$J$5:$J$1000),""))</x:f>
      </x:c>
      <x:c r="W299" s="32" t="str">
        <x:f>IF($H299="","",'03_Functionalities'!$P299)</x:f>
      </x:c>
      <x:c r="X299" s="32" t="str">
        <x:f>IF($H299="","",'03_Functionalities'!$Q299)</x:f>
      </x:c>
      <x:c r="Y299" s="38"/>
      <x:c r="Z299" s="38"/>
    </x:row>
    <x:row r="300" ht="18" customHeight="1">
      <x:c r="A300" s="32" t="str">
        <x:f>IF('03_Functionalities'!$A300="","",'03_Functionalities'!$C300)</x:f>
      </x:c>
      <x:c r="B300" s="32" t="str">
        <x:f>IF($A300="","",IFERROR(XLOOKUP($A300,'01_Products'!$A$5:$A$500,'01_Products'!$B$5:$B$500),""))</x:f>
      </x:c>
      <x:c r="C300" s="32" t="str">
        <x:f>IF($A300="","",IFERROR(XLOOKUP($A300,'01_Products'!$A$5:$A$500,'01_Products'!$C$5:$C$500),""))</x:f>
      </x:c>
      <x:c r="D300" s="32" t="str">
        <x:f>IF('03_Functionalities'!$A300="","",'03_Functionalities'!$B300)</x:f>
      </x:c>
      <x:c r="E300" s="32" t="str">
        <x:f>IF($D300="","",IFERROR(XLOOKUP($D300,'02_Features'!$A$5:$A$1000,'02_Features'!$C$5:$C$1000),""))</x:f>
      </x:c>
      <x:c r="F300" s="32" t="str">
        <x:f>IF($D300="","",IFERROR(XLOOKUP($D300,'02_Features'!$A$5:$A$1000,'02_Features'!$D$5:$D$1000),""))</x:f>
      </x:c>
      <x:c r="G300" s="32" t="str">
        <x:f>IF($D300="","",IFERROR(XLOOKUP($D300,'02_Features'!$A$5:$A$1000,'02_Features'!$E$5:$E$1000),""))</x:f>
      </x:c>
      <x:c r="H300" s="32" t="str">
        <x:f>IF('03_Functionalities'!$A300="","",'03_Functionalities'!$A300)</x:f>
      </x:c>
      <x:c r="I300" s="32" t="str">
        <x:f>IF($H300="","",'03_Functionalities'!$D300)</x:f>
      </x:c>
      <x:c r="J300" s="32" t="str">
        <x:f>IF($H300="","",'03_Functionalities'!$E300)</x:f>
      </x:c>
      <x:c r="K300" s="32" t="str">
        <x:f>IF($H300="","",'03_Functionalities'!$F300)</x:f>
      </x:c>
      <x:c r="L300" s="32" t="str">
        <x:f>IF($H300="","",'03_Functionalities'!$G300)</x:f>
      </x:c>
      <x:c r="M300" s="32" t="str">
        <x:f>IF($H300="","",'03_Functionalities'!$H300)</x:f>
      </x:c>
      <x:c r="N300" s="32" t="str">
        <x:f>IF($H300="","",'03_Functionalities'!$I300)</x:f>
      </x:c>
      <x:c r="O300" s="32" t="str">
        <x:f>IF($H300="","",'03_Functionalities'!$J300)</x:f>
      </x:c>
      <x:c r="P300" s="32" t="str">
        <x:f>IF($H300="","",'03_Functionalities'!$K300)</x:f>
      </x:c>
      <x:c r="Q300" s="32" t="str">
        <x:f>IF($H300="","",'03_Functionalities'!$L300)</x:f>
      </x:c>
      <x:c r="R300" s="32" t="str">
        <x:f>IF($H300="","",'03_Functionalities'!$M300)</x:f>
      </x:c>
      <x:c r="S300" s="32" t="str">
        <x:f>IF($H300="","",'03_Functionalities'!$N300)</x:f>
      </x:c>
      <x:c r="T300" s="32" t="str">
        <x:f>IF($H300="","",'03_Functionalities'!$O300)</x:f>
      </x:c>
      <x:c r="U300" s="32" t="str">
        <x:f>IF($A300="","",IFERROR(XLOOKUP($A300,'01_Products'!$A$5:$A$500,'01_Products'!$G$5:$G$500),""))</x:f>
      </x:c>
      <x:c r="V300" s="32" t="str">
        <x:f>IF($D300="","",IFERROR(XLOOKUP($D300,'02_Features'!$A$5:$A$1000,'02_Features'!$J$5:$J$1000),""))</x:f>
      </x:c>
      <x:c r="W300" s="32" t="str">
        <x:f>IF($H300="","",'03_Functionalities'!$P300)</x:f>
      </x:c>
      <x:c r="X300" s="32" t="str">
        <x:f>IF($H300="","",'03_Functionalities'!$Q300)</x:f>
      </x:c>
      <x:c r="Y300" s="38"/>
      <x:c r="Z300" s="38"/>
    </x:row>
    <x:row r="301" ht="18" customHeight="1">
      <x:c r="A301" s="32" t="str">
        <x:f>IF('03_Functionalities'!$A301="","",'03_Functionalities'!$C301)</x:f>
      </x:c>
      <x:c r="B301" s="32" t="str">
        <x:f>IF($A301="","",IFERROR(XLOOKUP($A301,'01_Products'!$A$5:$A$500,'01_Products'!$B$5:$B$500),""))</x:f>
      </x:c>
      <x:c r="C301" s="32" t="str">
        <x:f>IF($A301="","",IFERROR(XLOOKUP($A301,'01_Products'!$A$5:$A$500,'01_Products'!$C$5:$C$500),""))</x:f>
      </x:c>
      <x:c r="D301" s="32" t="str">
        <x:f>IF('03_Functionalities'!$A301="","",'03_Functionalities'!$B301)</x:f>
      </x:c>
      <x:c r="E301" s="32" t="str">
        <x:f>IF($D301="","",IFERROR(XLOOKUP($D301,'02_Features'!$A$5:$A$1000,'02_Features'!$C$5:$C$1000),""))</x:f>
      </x:c>
      <x:c r="F301" s="32" t="str">
        <x:f>IF($D301="","",IFERROR(XLOOKUP($D301,'02_Features'!$A$5:$A$1000,'02_Features'!$D$5:$D$1000),""))</x:f>
      </x:c>
      <x:c r="G301" s="32" t="str">
        <x:f>IF($D301="","",IFERROR(XLOOKUP($D301,'02_Features'!$A$5:$A$1000,'02_Features'!$E$5:$E$1000),""))</x:f>
      </x:c>
      <x:c r="H301" s="32" t="str">
        <x:f>IF('03_Functionalities'!$A301="","",'03_Functionalities'!$A301)</x:f>
      </x:c>
      <x:c r="I301" s="32" t="str">
        <x:f>IF($H301="","",'03_Functionalities'!$D301)</x:f>
      </x:c>
      <x:c r="J301" s="32" t="str">
        <x:f>IF($H301="","",'03_Functionalities'!$E301)</x:f>
      </x:c>
      <x:c r="K301" s="32" t="str">
        <x:f>IF($H301="","",'03_Functionalities'!$F301)</x:f>
      </x:c>
      <x:c r="L301" s="32" t="str">
        <x:f>IF($H301="","",'03_Functionalities'!$G301)</x:f>
      </x:c>
      <x:c r="M301" s="32" t="str">
        <x:f>IF($H301="","",'03_Functionalities'!$H301)</x:f>
      </x:c>
      <x:c r="N301" s="32" t="str">
        <x:f>IF($H301="","",'03_Functionalities'!$I301)</x:f>
      </x:c>
      <x:c r="O301" s="32" t="str">
        <x:f>IF($H301="","",'03_Functionalities'!$J301)</x:f>
      </x:c>
      <x:c r="P301" s="32" t="str">
        <x:f>IF($H301="","",'03_Functionalities'!$K301)</x:f>
      </x:c>
      <x:c r="Q301" s="32" t="str">
        <x:f>IF($H301="","",'03_Functionalities'!$L301)</x:f>
      </x:c>
      <x:c r="R301" s="32" t="str">
        <x:f>IF($H301="","",'03_Functionalities'!$M301)</x:f>
      </x:c>
      <x:c r="S301" s="32" t="str">
        <x:f>IF($H301="","",'03_Functionalities'!$N301)</x:f>
      </x:c>
      <x:c r="T301" s="32" t="str">
        <x:f>IF($H301="","",'03_Functionalities'!$O301)</x:f>
      </x:c>
      <x:c r="U301" s="32" t="str">
        <x:f>IF($A301="","",IFERROR(XLOOKUP($A301,'01_Products'!$A$5:$A$500,'01_Products'!$G$5:$G$500),""))</x:f>
      </x:c>
      <x:c r="V301" s="32" t="str">
        <x:f>IF($D301="","",IFERROR(XLOOKUP($D301,'02_Features'!$A$5:$A$1000,'02_Features'!$J$5:$J$1000),""))</x:f>
      </x:c>
      <x:c r="W301" s="32" t="str">
        <x:f>IF($H301="","",'03_Functionalities'!$P301)</x:f>
      </x:c>
      <x:c r="X301" s="32" t="str">
        <x:f>IF($H301="","",'03_Functionalities'!$Q301)</x:f>
      </x:c>
      <x:c r="Y301" s="38"/>
      <x:c r="Z301" s="38"/>
    </x:row>
    <x:row r="302" ht="18" customHeight="1">
      <x:c r="A302" s="32" t="str">
        <x:f>IF('03_Functionalities'!$A302="","",'03_Functionalities'!$C302)</x:f>
      </x:c>
      <x:c r="B302" s="32" t="str">
        <x:f>IF($A302="","",IFERROR(XLOOKUP($A302,'01_Products'!$A$5:$A$500,'01_Products'!$B$5:$B$500),""))</x:f>
      </x:c>
      <x:c r="C302" s="32" t="str">
        <x:f>IF($A302="","",IFERROR(XLOOKUP($A302,'01_Products'!$A$5:$A$500,'01_Products'!$C$5:$C$500),""))</x:f>
      </x:c>
      <x:c r="D302" s="32" t="str">
        <x:f>IF('03_Functionalities'!$A302="","",'03_Functionalities'!$B302)</x:f>
      </x:c>
      <x:c r="E302" s="32" t="str">
        <x:f>IF($D302="","",IFERROR(XLOOKUP($D302,'02_Features'!$A$5:$A$1000,'02_Features'!$C$5:$C$1000),""))</x:f>
      </x:c>
      <x:c r="F302" s="32" t="str">
        <x:f>IF($D302="","",IFERROR(XLOOKUP($D302,'02_Features'!$A$5:$A$1000,'02_Features'!$D$5:$D$1000),""))</x:f>
      </x:c>
      <x:c r="G302" s="32" t="str">
        <x:f>IF($D302="","",IFERROR(XLOOKUP($D302,'02_Features'!$A$5:$A$1000,'02_Features'!$E$5:$E$1000),""))</x:f>
      </x:c>
      <x:c r="H302" s="32" t="str">
        <x:f>IF('03_Functionalities'!$A302="","",'03_Functionalities'!$A302)</x:f>
      </x:c>
      <x:c r="I302" s="32" t="str">
        <x:f>IF($H302="","",'03_Functionalities'!$D302)</x:f>
      </x:c>
      <x:c r="J302" s="32" t="str">
        <x:f>IF($H302="","",'03_Functionalities'!$E302)</x:f>
      </x:c>
      <x:c r="K302" s="32" t="str">
        <x:f>IF($H302="","",'03_Functionalities'!$F302)</x:f>
      </x:c>
      <x:c r="L302" s="32" t="str">
        <x:f>IF($H302="","",'03_Functionalities'!$G302)</x:f>
      </x:c>
      <x:c r="M302" s="32" t="str">
        <x:f>IF($H302="","",'03_Functionalities'!$H302)</x:f>
      </x:c>
      <x:c r="N302" s="32" t="str">
        <x:f>IF($H302="","",'03_Functionalities'!$I302)</x:f>
      </x:c>
      <x:c r="O302" s="32" t="str">
        <x:f>IF($H302="","",'03_Functionalities'!$J302)</x:f>
      </x:c>
      <x:c r="P302" s="32" t="str">
        <x:f>IF($H302="","",'03_Functionalities'!$K302)</x:f>
      </x:c>
      <x:c r="Q302" s="32" t="str">
        <x:f>IF($H302="","",'03_Functionalities'!$L302)</x:f>
      </x:c>
      <x:c r="R302" s="32" t="str">
        <x:f>IF($H302="","",'03_Functionalities'!$M302)</x:f>
      </x:c>
      <x:c r="S302" s="32" t="str">
        <x:f>IF($H302="","",'03_Functionalities'!$N302)</x:f>
      </x:c>
      <x:c r="T302" s="32" t="str">
        <x:f>IF($H302="","",'03_Functionalities'!$O302)</x:f>
      </x:c>
      <x:c r="U302" s="32" t="str">
        <x:f>IF($A302="","",IFERROR(XLOOKUP($A302,'01_Products'!$A$5:$A$500,'01_Products'!$G$5:$G$500),""))</x:f>
      </x:c>
      <x:c r="V302" s="32" t="str">
        <x:f>IF($D302="","",IFERROR(XLOOKUP($D302,'02_Features'!$A$5:$A$1000,'02_Features'!$J$5:$J$1000),""))</x:f>
      </x:c>
      <x:c r="W302" s="32" t="str">
        <x:f>IF($H302="","",'03_Functionalities'!$P302)</x:f>
      </x:c>
      <x:c r="X302" s="32" t="str">
        <x:f>IF($H302="","",'03_Functionalities'!$Q302)</x:f>
      </x:c>
      <x:c r="Y302" s="38"/>
      <x:c r="Z302" s="38"/>
    </x:row>
    <x:row r="303" ht="18" customHeight="1">
      <x:c r="A303" s="32" t="str">
        <x:f>IF('03_Functionalities'!$A303="","",'03_Functionalities'!$C303)</x:f>
      </x:c>
      <x:c r="B303" s="32" t="str">
        <x:f>IF($A303="","",IFERROR(XLOOKUP($A303,'01_Products'!$A$5:$A$500,'01_Products'!$B$5:$B$500),""))</x:f>
      </x:c>
      <x:c r="C303" s="32" t="str">
        <x:f>IF($A303="","",IFERROR(XLOOKUP($A303,'01_Products'!$A$5:$A$500,'01_Products'!$C$5:$C$500),""))</x:f>
      </x:c>
      <x:c r="D303" s="32" t="str">
        <x:f>IF('03_Functionalities'!$A303="","",'03_Functionalities'!$B303)</x:f>
      </x:c>
      <x:c r="E303" s="32" t="str">
        <x:f>IF($D303="","",IFERROR(XLOOKUP($D303,'02_Features'!$A$5:$A$1000,'02_Features'!$C$5:$C$1000),""))</x:f>
      </x:c>
      <x:c r="F303" s="32" t="str">
        <x:f>IF($D303="","",IFERROR(XLOOKUP($D303,'02_Features'!$A$5:$A$1000,'02_Features'!$D$5:$D$1000),""))</x:f>
      </x:c>
      <x:c r="G303" s="32" t="str">
        <x:f>IF($D303="","",IFERROR(XLOOKUP($D303,'02_Features'!$A$5:$A$1000,'02_Features'!$E$5:$E$1000),""))</x:f>
      </x:c>
      <x:c r="H303" s="32" t="str">
        <x:f>IF('03_Functionalities'!$A303="","",'03_Functionalities'!$A303)</x:f>
      </x:c>
      <x:c r="I303" s="32" t="str">
        <x:f>IF($H303="","",'03_Functionalities'!$D303)</x:f>
      </x:c>
      <x:c r="J303" s="32" t="str">
        <x:f>IF($H303="","",'03_Functionalities'!$E303)</x:f>
      </x:c>
      <x:c r="K303" s="32" t="str">
        <x:f>IF($H303="","",'03_Functionalities'!$F303)</x:f>
      </x:c>
      <x:c r="L303" s="32" t="str">
        <x:f>IF($H303="","",'03_Functionalities'!$G303)</x:f>
      </x:c>
      <x:c r="M303" s="32" t="str">
        <x:f>IF($H303="","",'03_Functionalities'!$H303)</x:f>
      </x:c>
      <x:c r="N303" s="32" t="str">
        <x:f>IF($H303="","",'03_Functionalities'!$I303)</x:f>
      </x:c>
      <x:c r="O303" s="32" t="str">
        <x:f>IF($H303="","",'03_Functionalities'!$J303)</x:f>
      </x:c>
      <x:c r="P303" s="32" t="str">
        <x:f>IF($H303="","",'03_Functionalities'!$K303)</x:f>
      </x:c>
      <x:c r="Q303" s="32" t="str">
        <x:f>IF($H303="","",'03_Functionalities'!$L303)</x:f>
      </x:c>
      <x:c r="R303" s="32" t="str">
        <x:f>IF($H303="","",'03_Functionalities'!$M303)</x:f>
      </x:c>
      <x:c r="S303" s="32" t="str">
        <x:f>IF($H303="","",'03_Functionalities'!$N303)</x:f>
      </x:c>
      <x:c r="T303" s="32" t="str">
        <x:f>IF($H303="","",'03_Functionalities'!$O303)</x:f>
      </x:c>
      <x:c r="U303" s="32" t="str">
        <x:f>IF($A303="","",IFERROR(XLOOKUP($A303,'01_Products'!$A$5:$A$500,'01_Products'!$G$5:$G$500),""))</x:f>
      </x:c>
      <x:c r="V303" s="32" t="str">
        <x:f>IF($D303="","",IFERROR(XLOOKUP($D303,'02_Features'!$A$5:$A$1000,'02_Features'!$J$5:$J$1000),""))</x:f>
      </x:c>
      <x:c r="W303" s="32" t="str">
        <x:f>IF($H303="","",'03_Functionalities'!$P303)</x:f>
      </x:c>
      <x:c r="X303" s="32" t="str">
        <x:f>IF($H303="","",'03_Functionalities'!$Q303)</x:f>
      </x:c>
      <x:c r="Y303" s="38"/>
      <x:c r="Z303" s="38"/>
    </x:row>
    <x:row r="304" ht="18" customHeight="1">
      <x:c r="A304" s="32" t="str">
        <x:f>IF('03_Functionalities'!$A304="","",'03_Functionalities'!$C304)</x:f>
      </x:c>
      <x:c r="B304" s="32" t="str">
        <x:f>IF($A304="","",IFERROR(XLOOKUP($A304,'01_Products'!$A$5:$A$500,'01_Products'!$B$5:$B$500),""))</x:f>
      </x:c>
      <x:c r="C304" s="32" t="str">
        <x:f>IF($A304="","",IFERROR(XLOOKUP($A304,'01_Products'!$A$5:$A$500,'01_Products'!$C$5:$C$500),""))</x:f>
      </x:c>
      <x:c r="D304" s="32" t="str">
        <x:f>IF('03_Functionalities'!$A304="","",'03_Functionalities'!$B304)</x:f>
      </x:c>
      <x:c r="E304" s="32" t="str">
        <x:f>IF($D304="","",IFERROR(XLOOKUP($D304,'02_Features'!$A$5:$A$1000,'02_Features'!$C$5:$C$1000),""))</x:f>
      </x:c>
      <x:c r="F304" s="32" t="str">
        <x:f>IF($D304="","",IFERROR(XLOOKUP($D304,'02_Features'!$A$5:$A$1000,'02_Features'!$D$5:$D$1000),""))</x:f>
      </x:c>
      <x:c r="G304" s="32" t="str">
        <x:f>IF($D304="","",IFERROR(XLOOKUP($D304,'02_Features'!$A$5:$A$1000,'02_Features'!$E$5:$E$1000),""))</x:f>
      </x:c>
      <x:c r="H304" s="32" t="str">
        <x:f>IF('03_Functionalities'!$A304="","",'03_Functionalities'!$A304)</x:f>
      </x:c>
      <x:c r="I304" s="32" t="str">
        <x:f>IF($H304="","",'03_Functionalities'!$D304)</x:f>
      </x:c>
      <x:c r="J304" s="32" t="str">
        <x:f>IF($H304="","",'03_Functionalities'!$E304)</x:f>
      </x:c>
      <x:c r="K304" s="32" t="str">
        <x:f>IF($H304="","",'03_Functionalities'!$F304)</x:f>
      </x:c>
      <x:c r="L304" s="32" t="str">
        <x:f>IF($H304="","",'03_Functionalities'!$G304)</x:f>
      </x:c>
      <x:c r="M304" s="32" t="str">
        <x:f>IF($H304="","",'03_Functionalities'!$H304)</x:f>
      </x:c>
      <x:c r="N304" s="32" t="str">
        <x:f>IF($H304="","",'03_Functionalities'!$I304)</x:f>
      </x:c>
      <x:c r="O304" s="32" t="str">
        <x:f>IF($H304="","",'03_Functionalities'!$J304)</x:f>
      </x:c>
      <x:c r="P304" s="32" t="str">
        <x:f>IF($H304="","",'03_Functionalities'!$K304)</x:f>
      </x:c>
      <x:c r="Q304" s="32" t="str">
        <x:f>IF($H304="","",'03_Functionalities'!$L304)</x:f>
      </x:c>
      <x:c r="R304" s="32" t="str">
        <x:f>IF($H304="","",'03_Functionalities'!$M304)</x:f>
      </x:c>
      <x:c r="S304" s="32" t="str">
        <x:f>IF($H304="","",'03_Functionalities'!$N304)</x:f>
      </x:c>
      <x:c r="T304" s="32" t="str">
        <x:f>IF($H304="","",'03_Functionalities'!$O304)</x:f>
      </x:c>
      <x:c r="U304" s="32" t="str">
        <x:f>IF($A304="","",IFERROR(XLOOKUP($A304,'01_Products'!$A$5:$A$500,'01_Products'!$G$5:$G$500),""))</x:f>
      </x:c>
      <x:c r="V304" s="32" t="str">
        <x:f>IF($D304="","",IFERROR(XLOOKUP($D304,'02_Features'!$A$5:$A$1000,'02_Features'!$J$5:$J$1000),""))</x:f>
      </x:c>
      <x:c r="W304" s="32" t="str">
        <x:f>IF($H304="","",'03_Functionalities'!$P304)</x:f>
      </x:c>
      <x:c r="X304" s="32" t="str">
        <x:f>IF($H304="","",'03_Functionalities'!$Q304)</x:f>
      </x:c>
      <x:c r="Y304" s="38"/>
      <x:c r="Z304" s="38"/>
    </x:row>
    <x:row r="305" ht="18" customHeight="1">
      <x:c r="A305" s="38"/>
      <x:c r="B305" s="38"/>
      <x:c r="C305" s="38"/>
      <x:c r="D305" s="38"/>
      <x:c r="E305" s="38"/>
      <x:c r="F305" s="38"/>
      <x:c r="G305" s="38"/>
      <x:c r="H305" s="38"/>
      <x:c r="I305" s="38"/>
      <x:c r="J305" s="38"/>
      <x:c r="K305" s="38"/>
      <x:c r="L305" s="38"/>
      <x:c r="M305" s="38"/>
      <x:c r="N305" s="38"/>
      <x:c r="O305" s="38"/>
      <x:c r="P305" s="38"/>
      <x:c r="Q305" s="38"/>
      <x:c r="R305" s="38"/>
      <x:c r="S305" s="38"/>
      <x:c r="T305" s="38"/>
      <x:c r="U305" s="38"/>
      <x:c r="V305" s="38"/>
      <x:c r="W305" s="38"/>
      <x:c r="X305" s="38"/>
      <x:c r="Y305" s="38"/>
      <x:c r="Z305" s="38"/>
    </x:row>
    <x:row r="306" ht="18" customHeight="1">
      <x:c r="A306" s="38"/>
      <x:c r="B306" s="38"/>
      <x:c r="C306" s="38"/>
      <x:c r="D306" s="38"/>
      <x:c r="E306" s="38"/>
      <x:c r="F306" s="38"/>
      <x:c r="G306" s="38"/>
      <x:c r="H306" s="38"/>
      <x:c r="I306" s="38"/>
      <x:c r="J306" s="38"/>
      <x:c r="K306" s="38"/>
      <x:c r="L306" s="38"/>
      <x:c r="M306" s="38"/>
      <x:c r="N306" s="38"/>
      <x:c r="O306" s="38"/>
      <x:c r="P306" s="38"/>
      <x:c r="Q306" s="38"/>
      <x:c r="R306" s="38"/>
      <x:c r="S306" s="38"/>
      <x:c r="T306" s="38"/>
      <x:c r="U306" s="38"/>
      <x:c r="V306" s="38"/>
      <x:c r="W306" s="38"/>
      <x:c r="X306" s="38"/>
      <x:c r="Y306" s="38"/>
      <x:c r="Z306" s="38"/>
    </x:row>
    <x:row r="307" ht="18" customHeight="1">
      <x:c r="A307" s="38"/>
      <x:c r="B307" s="38"/>
      <x:c r="C307" s="38"/>
      <x:c r="D307" s="38"/>
      <x:c r="E307" s="38"/>
      <x:c r="F307" s="38"/>
      <x:c r="G307" s="38"/>
      <x:c r="H307" s="38"/>
      <x:c r="I307" s="38"/>
      <x:c r="J307" s="38"/>
      <x:c r="K307" s="38"/>
      <x:c r="L307" s="38"/>
      <x:c r="M307" s="38"/>
      <x:c r="N307" s="38"/>
      <x:c r="O307" s="38"/>
      <x:c r="P307" s="38"/>
      <x:c r="Q307" s="38"/>
      <x:c r="R307" s="38"/>
      <x:c r="S307" s="38"/>
      <x:c r="T307" s="38"/>
      <x:c r="U307" s="38"/>
      <x:c r="V307" s="38"/>
      <x:c r="W307" s="38"/>
      <x:c r="X307" s="38"/>
      <x:c r="Y307" s="38"/>
      <x:c r="Z307" s="38"/>
    </x:row>
    <x:row r="308" ht="18" customHeight="1">
      <x:c r="A308" s="38"/>
      <x:c r="B308" s="38"/>
      <x:c r="C308" s="38"/>
      <x:c r="D308" s="38"/>
      <x:c r="E308" s="38"/>
      <x:c r="F308" s="38"/>
      <x:c r="G308" s="38"/>
      <x:c r="H308" s="38"/>
      <x:c r="I308" s="38"/>
      <x:c r="J308" s="38"/>
      <x:c r="K308" s="38"/>
      <x:c r="L308" s="38"/>
      <x:c r="M308" s="38"/>
      <x:c r="N308" s="38"/>
      <x:c r="O308" s="38"/>
      <x:c r="P308" s="38"/>
      <x:c r="Q308" s="38"/>
      <x:c r="R308" s="38"/>
      <x:c r="S308" s="38"/>
      <x:c r="T308" s="38"/>
      <x:c r="U308" s="38"/>
      <x:c r="V308" s="38"/>
      <x:c r="W308" s="38"/>
      <x:c r="X308" s="38"/>
      <x:c r="Y308" s="38"/>
      <x:c r="Z308" s="38"/>
    </x:row>
    <x:row r="309" ht="18" customHeight="1">
      <x:c r="A309" s="38"/>
      <x:c r="B309" s="38"/>
      <x:c r="C309" s="38"/>
      <x:c r="D309" s="38"/>
      <x:c r="E309" s="38"/>
      <x:c r="F309" s="38"/>
      <x:c r="G309" s="38"/>
      <x:c r="H309" s="38"/>
      <x:c r="I309" s="38"/>
      <x:c r="J309" s="38"/>
      <x:c r="K309" s="38"/>
      <x:c r="L309" s="38"/>
      <x:c r="M309" s="38"/>
      <x:c r="N309" s="38"/>
      <x:c r="O309" s="38"/>
      <x:c r="P309" s="38"/>
      <x:c r="Q309" s="38"/>
      <x:c r="R309" s="38"/>
      <x:c r="S309" s="38"/>
      <x:c r="T309" s="38"/>
      <x:c r="U309" s="38"/>
      <x:c r="V309" s="38"/>
      <x:c r="W309" s="38"/>
      <x:c r="X309" s="38"/>
      <x:c r="Y309" s="38"/>
      <x:c r="Z309" s="38"/>
    </x:row>
    <x:row r="310" ht="18" customHeight="1">
      <x:c r="A310" s="38"/>
      <x:c r="B310" s="38"/>
      <x:c r="C310" s="38"/>
      <x:c r="D310" s="38"/>
      <x:c r="E310" s="38"/>
      <x:c r="F310" s="38"/>
      <x:c r="G310" s="38"/>
      <x:c r="H310" s="38"/>
      <x:c r="I310" s="38"/>
      <x:c r="J310" s="38"/>
      <x:c r="K310" s="38"/>
      <x:c r="L310" s="38"/>
      <x:c r="M310" s="38"/>
      <x:c r="N310" s="38"/>
      <x:c r="O310" s="38"/>
      <x:c r="P310" s="38"/>
      <x:c r="Q310" s="38"/>
      <x:c r="R310" s="38"/>
      <x:c r="S310" s="38"/>
      <x:c r="T310" s="38"/>
      <x:c r="U310" s="38"/>
      <x:c r="V310" s="38"/>
      <x:c r="W310" s="38"/>
      <x:c r="X310" s="38"/>
      <x:c r="Y310" s="38"/>
      <x:c r="Z310" s="38"/>
    </x:row>
    <x:row r="311" ht="18" customHeight="1">
      <x:c r="A311" s="38"/>
      <x:c r="B311" s="38"/>
      <x:c r="C311" s="38"/>
      <x:c r="D311" s="38"/>
      <x:c r="E311" s="38"/>
      <x:c r="F311" s="38"/>
      <x:c r="G311" s="38"/>
      <x:c r="H311" s="38"/>
      <x:c r="I311" s="38"/>
      <x:c r="J311" s="38"/>
      <x:c r="K311" s="38"/>
      <x:c r="L311" s="38"/>
      <x:c r="M311" s="38"/>
      <x:c r="N311" s="38"/>
      <x:c r="O311" s="38"/>
      <x:c r="P311" s="38"/>
      <x:c r="Q311" s="38"/>
      <x:c r="R311" s="38"/>
      <x:c r="S311" s="38"/>
      <x:c r="T311" s="38"/>
      <x:c r="U311" s="38"/>
      <x:c r="V311" s="38"/>
      <x:c r="W311" s="38"/>
      <x:c r="X311" s="38"/>
      <x:c r="Y311" s="38"/>
      <x:c r="Z311" s="38"/>
    </x:row>
    <x:row r="312" ht="18" customHeight="1">
      <x:c r="A312" s="38"/>
      <x:c r="B312" s="38"/>
      <x:c r="C312" s="38"/>
      <x:c r="D312" s="38"/>
      <x:c r="E312" s="38"/>
      <x:c r="F312" s="38"/>
      <x:c r="G312" s="38"/>
      <x:c r="H312" s="38"/>
      <x:c r="I312" s="38"/>
      <x:c r="J312" s="38"/>
      <x:c r="K312" s="38"/>
      <x:c r="L312" s="38"/>
      <x:c r="M312" s="38"/>
      <x:c r="N312" s="38"/>
      <x:c r="O312" s="38"/>
      <x:c r="P312" s="38"/>
      <x:c r="Q312" s="38"/>
      <x:c r="R312" s="38"/>
      <x:c r="S312" s="38"/>
      <x:c r="T312" s="38"/>
      <x:c r="U312" s="38"/>
      <x:c r="V312" s="38"/>
      <x:c r="W312" s="38"/>
      <x:c r="X312" s="38"/>
      <x:c r="Y312" s="38"/>
      <x:c r="Z312" s="38"/>
    </x:row>
    <x:row r="313" ht="18" customHeight="1">
      <x:c r="A313" s="38"/>
      <x:c r="B313" s="38"/>
      <x:c r="C313" s="38"/>
      <x:c r="D313" s="38"/>
      <x:c r="E313" s="38"/>
      <x:c r="F313" s="38"/>
      <x:c r="G313" s="38"/>
      <x:c r="H313" s="38"/>
      <x:c r="I313" s="38"/>
      <x:c r="J313" s="38"/>
      <x:c r="K313" s="38"/>
      <x:c r="L313" s="38"/>
      <x:c r="M313" s="38"/>
      <x:c r="N313" s="38"/>
      <x:c r="O313" s="38"/>
      <x:c r="P313" s="38"/>
      <x:c r="Q313" s="38"/>
      <x:c r="R313" s="38"/>
      <x:c r="S313" s="38"/>
      <x:c r="T313" s="38"/>
      <x:c r="U313" s="38"/>
      <x:c r="V313" s="38"/>
      <x:c r="W313" s="38"/>
      <x:c r="X313" s="38"/>
      <x:c r="Y313" s="38"/>
      <x:c r="Z313" s="38"/>
    </x:row>
    <x:row r="314" ht="18" customHeight="1">
      <x:c r="A314" s="38"/>
      <x:c r="B314" s="38"/>
      <x:c r="C314" s="38"/>
      <x:c r="D314" s="38"/>
      <x:c r="E314" s="38"/>
      <x:c r="F314" s="38"/>
      <x:c r="G314" s="38"/>
      <x:c r="H314" s="38"/>
      <x:c r="I314" s="38"/>
      <x:c r="J314" s="38"/>
      <x:c r="K314" s="38"/>
      <x:c r="L314" s="38"/>
      <x:c r="M314" s="38"/>
      <x:c r="N314" s="38"/>
      <x:c r="O314" s="38"/>
      <x:c r="P314" s="38"/>
      <x:c r="Q314" s="38"/>
      <x:c r="R314" s="38"/>
      <x:c r="S314" s="38"/>
      <x:c r="T314" s="38"/>
      <x:c r="U314" s="38"/>
      <x:c r="V314" s="38"/>
      <x:c r="W314" s="38"/>
      <x:c r="X314" s="38"/>
      <x:c r="Y314" s="38"/>
      <x:c r="Z314" s="38"/>
    </x:row>
    <x:row r="315" ht="18" customHeight="1">
      <x:c r="A315" s="38"/>
      <x:c r="B315" s="38"/>
      <x:c r="C315" s="38"/>
      <x:c r="D315" s="38"/>
      <x:c r="E315" s="38"/>
      <x:c r="F315" s="38"/>
      <x:c r="G315" s="38"/>
      <x:c r="H315" s="38"/>
      <x:c r="I315" s="38"/>
      <x:c r="J315" s="38"/>
      <x:c r="K315" s="38"/>
      <x:c r="L315" s="38"/>
      <x:c r="M315" s="38"/>
      <x:c r="N315" s="38"/>
      <x:c r="O315" s="38"/>
      <x:c r="P315" s="38"/>
      <x:c r="Q315" s="38"/>
      <x:c r="R315" s="38"/>
      <x:c r="S315" s="38"/>
      <x:c r="T315" s="38"/>
      <x:c r="U315" s="38"/>
      <x:c r="V315" s="38"/>
      <x:c r="W315" s="38"/>
      <x:c r="X315" s="38"/>
      <x:c r="Y315" s="38"/>
      <x:c r="Z315" s="38"/>
    </x:row>
    <x:row r="316" ht="18" customHeight="1">
      <x:c r="A316" s="38"/>
      <x:c r="B316" s="38"/>
      <x:c r="C316" s="38"/>
      <x:c r="D316" s="38"/>
      <x:c r="E316" s="38"/>
      <x:c r="F316" s="38"/>
      <x:c r="G316" s="38"/>
      <x:c r="H316" s="38"/>
      <x:c r="I316" s="38"/>
      <x:c r="J316" s="38"/>
      <x:c r="K316" s="38"/>
      <x:c r="L316" s="38"/>
      <x:c r="M316" s="38"/>
      <x:c r="N316" s="38"/>
      <x:c r="O316" s="38"/>
      <x:c r="P316" s="38"/>
      <x:c r="Q316" s="38"/>
      <x:c r="R316" s="38"/>
      <x:c r="S316" s="38"/>
      <x:c r="T316" s="38"/>
      <x:c r="U316" s="38"/>
      <x:c r="V316" s="38"/>
      <x:c r="W316" s="38"/>
      <x:c r="X316" s="38"/>
      <x:c r="Y316" s="38"/>
      <x:c r="Z316" s="38"/>
    </x:row>
    <x:row r="317" ht="18" customHeight="1">
      <x:c r="A317" s="38"/>
      <x:c r="B317" s="38"/>
      <x:c r="C317" s="38"/>
      <x:c r="D317" s="38"/>
      <x:c r="E317" s="38"/>
      <x:c r="F317" s="38"/>
      <x:c r="G317" s="38"/>
      <x:c r="H317" s="38"/>
      <x:c r="I317" s="38"/>
      <x:c r="J317" s="38"/>
      <x:c r="K317" s="38"/>
      <x:c r="L317" s="38"/>
      <x:c r="M317" s="38"/>
      <x:c r="N317" s="38"/>
      <x:c r="O317" s="38"/>
      <x:c r="P317" s="38"/>
      <x:c r="Q317" s="38"/>
      <x:c r="R317" s="38"/>
      <x:c r="S317" s="38"/>
      <x:c r="T317" s="38"/>
      <x:c r="U317" s="38"/>
      <x:c r="V317" s="38"/>
      <x:c r="W317" s="38"/>
      <x:c r="X317" s="38"/>
      <x:c r="Y317" s="38"/>
      <x:c r="Z317" s="38"/>
    </x:row>
    <x:row r="318" ht="18" customHeight="1">
      <x:c r="A318" s="38"/>
      <x:c r="B318" s="38"/>
      <x:c r="C318" s="38"/>
      <x:c r="D318" s="38"/>
      <x:c r="E318" s="38"/>
      <x:c r="F318" s="38"/>
      <x:c r="G318" s="38"/>
      <x:c r="H318" s="38"/>
      <x:c r="I318" s="38"/>
      <x:c r="J318" s="38"/>
      <x:c r="K318" s="38"/>
      <x:c r="L318" s="38"/>
      <x:c r="M318" s="38"/>
      <x:c r="N318" s="38"/>
      <x:c r="O318" s="38"/>
      <x:c r="P318" s="38"/>
      <x:c r="Q318" s="38"/>
      <x:c r="R318" s="38"/>
      <x:c r="S318" s="38"/>
      <x:c r="T318" s="38"/>
      <x:c r="U318" s="38"/>
      <x:c r="V318" s="38"/>
      <x:c r="W318" s="38"/>
      <x:c r="X318" s="38"/>
      <x:c r="Y318" s="38"/>
      <x:c r="Z318" s="38"/>
    </x:row>
    <x:row r="319" ht="18" customHeight="1">
      <x:c r="A319" s="38"/>
      <x:c r="B319" s="38"/>
      <x:c r="C319" s="38"/>
      <x:c r="D319" s="38"/>
      <x:c r="E319" s="38"/>
      <x:c r="F319" s="38"/>
      <x:c r="G319" s="38"/>
      <x:c r="H319" s="38"/>
      <x:c r="I319" s="38"/>
      <x:c r="J319" s="38"/>
      <x:c r="K319" s="38"/>
      <x:c r="L319" s="38"/>
      <x:c r="M319" s="38"/>
      <x:c r="N319" s="38"/>
      <x:c r="O319" s="38"/>
      <x:c r="P319" s="38"/>
      <x:c r="Q319" s="38"/>
      <x:c r="R319" s="38"/>
      <x:c r="S319" s="38"/>
      <x:c r="T319" s="38"/>
      <x:c r="U319" s="38"/>
      <x:c r="V319" s="38"/>
      <x:c r="W319" s="38"/>
      <x:c r="X319" s="38"/>
      <x:c r="Y319" s="38"/>
      <x:c r="Z319" s="38"/>
    </x:row>
    <x:row r="320" ht="18" customHeight="1">
      <x:c r="A320" s="38"/>
      <x:c r="B320" s="38"/>
      <x:c r="C320" s="38"/>
      <x:c r="D320" s="38"/>
      <x:c r="E320" s="38"/>
      <x:c r="F320" s="38"/>
      <x:c r="G320" s="38"/>
      <x:c r="H320" s="38"/>
      <x:c r="I320" s="38"/>
      <x:c r="J320" s="38"/>
      <x:c r="K320" s="38"/>
      <x:c r="L320" s="38"/>
      <x:c r="M320" s="38"/>
      <x:c r="N320" s="38"/>
      <x:c r="O320" s="38"/>
      <x:c r="P320" s="38"/>
      <x:c r="Q320" s="38"/>
      <x:c r="R320" s="38"/>
      <x:c r="S320" s="38"/>
      <x:c r="T320" s="38"/>
      <x:c r="U320" s="38"/>
      <x:c r="V320" s="38"/>
      <x:c r="W320" s="38"/>
      <x:c r="X320" s="38"/>
      <x:c r="Y320" s="38"/>
      <x:c r="Z320" s="38"/>
    </x:row>
    <x:row r="321" ht="18" customHeight="1">
      <x:c r="A321" s="38"/>
      <x:c r="B321" s="38"/>
      <x:c r="C321" s="38"/>
      <x:c r="D321" s="38"/>
      <x:c r="E321" s="38"/>
      <x:c r="F321" s="38"/>
      <x:c r="G321" s="38"/>
      <x:c r="H321" s="38"/>
      <x:c r="I321" s="38"/>
      <x:c r="J321" s="38"/>
      <x:c r="K321" s="38"/>
      <x:c r="L321" s="38"/>
      <x:c r="M321" s="38"/>
      <x:c r="N321" s="38"/>
      <x:c r="O321" s="38"/>
      <x:c r="P321" s="38"/>
      <x:c r="Q321" s="38"/>
      <x:c r="R321" s="38"/>
      <x:c r="S321" s="38"/>
      <x:c r="T321" s="38"/>
      <x:c r="U321" s="38"/>
      <x:c r="V321" s="38"/>
      <x:c r="W321" s="38"/>
      <x:c r="X321" s="38"/>
      <x:c r="Y321" s="38"/>
      <x:c r="Z321" s="38"/>
    </x:row>
    <x:row r="322" ht="18" customHeight="1">
      <x:c r="A322" s="38"/>
      <x:c r="B322" s="38"/>
      <x:c r="C322" s="38"/>
      <x:c r="D322" s="38"/>
      <x:c r="E322" s="38"/>
      <x:c r="F322" s="38"/>
      <x:c r="G322" s="38"/>
      <x:c r="H322" s="38"/>
      <x:c r="I322" s="38"/>
      <x:c r="J322" s="38"/>
      <x:c r="K322" s="38"/>
      <x:c r="L322" s="38"/>
      <x:c r="M322" s="38"/>
      <x:c r="N322" s="38"/>
      <x:c r="O322" s="38"/>
      <x:c r="P322" s="38"/>
      <x:c r="Q322" s="38"/>
      <x:c r="R322" s="38"/>
      <x:c r="S322" s="38"/>
      <x:c r="T322" s="38"/>
      <x:c r="U322" s="38"/>
      <x:c r="V322" s="38"/>
      <x:c r="W322" s="38"/>
      <x:c r="X322" s="38"/>
      <x:c r="Y322" s="38"/>
      <x:c r="Z322" s="38"/>
    </x:row>
    <x:row r="323" ht="18" customHeight="1">
      <x:c r="A323" s="38"/>
      <x:c r="B323" s="38"/>
      <x:c r="C323" s="38"/>
      <x:c r="D323" s="38"/>
      <x:c r="E323" s="38"/>
      <x:c r="F323" s="38"/>
      <x:c r="G323" s="38"/>
      <x:c r="H323" s="38"/>
      <x:c r="I323" s="38"/>
      <x:c r="J323" s="38"/>
      <x:c r="K323" s="38"/>
      <x:c r="L323" s="38"/>
      <x:c r="M323" s="38"/>
      <x:c r="N323" s="38"/>
      <x:c r="O323" s="38"/>
      <x:c r="P323" s="38"/>
      <x:c r="Q323" s="38"/>
      <x:c r="R323" s="38"/>
      <x:c r="S323" s="38"/>
      <x:c r="T323" s="38"/>
      <x:c r="U323" s="38"/>
      <x:c r="V323" s="38"/>
      <x:c r="W323" s="38"/>
      <x:c r="X323" s="38"/>
      <x:c r="Y323" s="38"/>
      <x:c r="Z323" s="38"/>
    </x:row>
    <x:row r="324" ht="18" customHeight="1">
      <x:c r="A324" s="38"/>
      <x:c r="B324" s="38"/>
      <x:c r="C324" s="38"/>
      <x:c r="D324" s="38"/>
      <x:c r="E324" s="38"/>
      <x:c r="F324" s="38"/>
      <x:c r="G324" s="38"/>
      <x:c r="H324" s="38"/>
      <x:c r="I324" s="38"/>
      <x:c r="J324" s="38"/>
      <x:c r="K324" s="38"/>
      <x:c r="L324" s="38"/>
      <x:c r="M324" s="38"/>
      <x:c r="N324" s="38"/>
      <x:c r="O324" s="38"/>
      <x:c r="P324" s="38"/>
      <x:c r="Q324" s="38"/>
      <x:c r="R324" s="38"/>
      <x:c r="S324" s="38"/>
      <x:c r="T324" s="38"/>
      <x:c r="U324" s="38"/>
      <x:c r="V324" s="38"/>
      <x:c r="W324" s="38"/>
      <x:c r="X324" s="38"/>
      <x:c r="Y324" s="38"/>
      <x:c r="Z324" s="38"/>
    </x:row>
    <x:row r="325" ht="18" customHeight="1">
      <x:c r="A325" s="38"/>
      <x:c r="B325" s="38"/>
      <x:c r="C325" s="38"/>
      <x:c r="D325" s="38"/>
      <x:c r="E325" s="38"/>
      <x:c r="F325" s="38"/>
      <x:c r="G325" s="38"/>
      <x:c r="H325" s="38"/>
      <x:c r="I325" s="38"/>
      <x:c r="J325" s="38"/>
      <x:c r="K325" s="38"/>
      <x:c r="L325" s="38"/>
      <x:c r="M325" s="38"/>
      <x:c r="N325" s="38"/>
      <x:c r="O325" s="38"/>
      <x:c r="P325" s="38"/>
      <x:c r="Q325" s="38"/>
      <x:c r="R325" s="38"/>
      <x:c r="S325" s="38"/>
      <x:c r="T325" s="38"/>
      <x:c r="U325" s="38"/>
      <x:c r="V325" s="38"/>
      <x:c r="W325" s="38"/>
      <x:c r="X325" s="38"/>
      <x:c r="Y325" s="38"/>
      <x:c r="Z325" s="38"/>
    </x:row>
    <x:row r="326" ht="18" customHeight="1">
      <x:c r="A326" s="38"/>
      <x:c r="B326" s="38"/>
      <x:c r="C326" s="38"/>
      <x:c r="D326" s="38"/>
      <x:c r="E326" s="38"/>
      <x:c r="F326" s="38"/>
      <x:c r="G326" s="38"/>
      <x:c r="H326" s="38"/>
      <x:c r="I326" s="38"/>
      <x:c r="J326" s="38"/>
      <x:c r="K326" s="38"/>
      <x:c r="L326" s="38"/>
      <x:c r="M326" s="38"/>
      <x:c r="N326" s="38"/>
      <x:c r="O326" s="38"/>
      <x:c r="P326" s="38"/>
      <x:c r="Q326" s="38"/>
      <x:c r="R326" s="38"/>
      <x:c r="S326" s="38"/>
      <x:c r="T326" s="38"/>
      <x:c r="U326" s="38"/>
      <x:c r="V326" s="38"/>
      <x:c r="W326" s="38"/>
      <x:c r="X326" s="38"/>
      <x:c r="Y326" s="38"/>
      <x:c r="Z326" s="38"/>
    </x:row>
    <x:row r="327" ht="18" customHeight="1">
      <x:c r="A327" s="38"/>
      <x:c r="B327" s="38"/>
      <x:c r="C327" s="38"/>
      <x:c r="D327" s="38"/>
      <x:c r="E327" s="38"/>
      <x:c r="F327" s="38"/>
      <x:c r="G327" s="38"/>
      <x:c r="H327" s="38"/>
      <x:c r="I327" s="38"/>
      <x:c r="J327" s="38"/>
      <x:c r="K327" s="38"/>
      <x:c r="L327" s="38"/>
      <x:c r="M327" s="38"/>
      <x:c r="N327" s="38"/>
      <x:c r="O327" s="38"/>
      <x:c r="P327" s="38"/>
      <x:c r="Q327" s="38"/>
      <x:c r="R327" s="38"/>
      <x:c r="S327" s="38"/>
      <x:c r="T327" s="38"/>
      <x:c r="U327" s="38"/>
      <x:c r="V327" s="38"/>
      <x:c r="W327" s="38"/>
      <x:c r="X327" s="38"/>
      <x:c r="Y327" s="38"/>
      <x:c r="Z327" s="38"/>
    </x:row>
    <x:row r="328" ht="18" customHeight="1">
      <x:c r="A328" s="38"/>
      <x:c r="B328" s="38"/>
      <x:c r="C328" s="38"/>
      <x:c r="D328" s="38"/>
      <x:c r="E328" s="38"/>
      <x:c r="F328" s="38"/>
      <x:c r="G328" s="38"/>
      <x:c r="H328" s="38"/>
      <x:c r="I328" s="38"/>
      <x:c r="J328" s="38"/>
      <x:c r="K328" s="38"/>
      <x:c r="L328" s="38"/>
      <x:c r="M328" s="38"/>
      <x:c r="N328" s="38"/>
      <x:c r="O328" s="38"/>
      <x:c r="P328" s="38"/>
      <x:c r="Q328" s="38"/>
      <x:c r="R328" s="38"/>
      <x:c r="S328" s="38"/>
      <x:c r="T328" s="38"/>
      <x:c r="U328" s="38"/>
      <x:c r="V328" s="38"/>
      <x:c r="W328" s="38"/>
      <x:c r="X328" s="38"/>
      <x:c r="Y328" s="38"/>
      <x:c r="Z328" s="38"/>
    </x:row>
    <x:row r="329" ht="18" customHeight="1">
      <x:c r="A329" s="38"/>
      <x:c r="B329" s="38"/>
      <x:c r="C329" s="38"/>
      <x:c r="D329" s="38"/>
      <x:c r="E329" s="38"/>
      <x:c r="F329" s="38"/>
      <x:c r="G329" s="38"/>
      <x:c r="H329" s="38"/>
      <x:c r="I329" s="38"/>
      <x:c r="J329" s="38"/>
      <x:c r="K329" s="38"/>
      <x:c r="L329" s="38"/>
      <x:c r="M329" s="38"/>
      <x:c r="N329" s="38"/>
      <x:c r="O329" s="38"/>
      <x:c r="P329" s="38"/>
      <x:c r="Q329" s="38"/>
      <x:c r="R329" s="38"/>
      <x:c r="S329" s="38"/>
      <x:c r="T329" s="38"/>
      <x:c r="U329" s="38"/>
      <x:c r="V329" s="38"/>
      <x:c r="W329" s="38"/>
      <x:c r="X329" s="38"/>
      <x:c r="Y329" s="38"/>
      <x:c r="Z329" s="38"/>
    </x:row>
    <x:row r="330" ht="18" customHeight="1">
      <x:c r="A330" s="38"/>
      <x:c r="B330" s="38"/>
      <x:c r="C330" s="38"/>
      <x:c r="D330" s="38"/>
      <x:c r="E330" s="38"/>
      <x:c r="F330" s="38"/>
      <x:c r="G330" s="38"/>
      <x:c r="H330" s="38"/>
      <x:c r="I330" s="38"/>
      <x:c r="J330" s="38"/>
      <x:c r="K330" s="38"/>
      <x:c r="L330" s="38"/>
      <x:c r="M330" s="38"/>
      <x:c r="N330" s="38"/>
      <x:c r="O330" s="38"/>
      <x:c r="P330" s="38"/>
      <x:c r="Q330" s="38"/>
      <x:c r="R330" s="38"/>
      <x:c r="S330" s="38"/>
      <x:c r="T330" s="38"/>
      <x:c r="U330" s="38"/>
      <x:c r="V330" s="38"/>
      <x:c r="W330" s="38"/>
      <x:c r="X330" s="38"/>
      <x:c r="Y330" s="38"/>
      <x:c r="Z330" s="38"/>
    </x:row>
    <x:row r="331" ht="18" customHeight="1">
      <x:c r="A331" s="38"/>
      <x:c r="B331" s="38"/>
      <x:c r="C331" s="38"/>
      <x:c r="D331" s="38"/>
      <x:c r="E331" s="38"/>
      <x:c r="F331" s="38"/>
      <x:c r="G331" s="38"/>
      <x:c r="H331" s="38"/>
      <x:c r="I331" s="38"/>
      <x:c r="J331" s="38"/>
      <x:c r="K331" s="38"/>
      <x:c r="L331" s="38"/>
      <x:c r="M331" s="38"/>
      <x:c r="N331" s="38"/>
      <x:c r="O331" s="38"/>
      <x:c r="P331" s="38"/>
      <x:c r="Q331" s="38"/>
      <x:c r="R331" s="38"/>
      <x:c r="S331" s="38"/>
      <x:c r="T331" s="38"/>
      <x:c r="U331" s="38"/>
      <x:c r="V331" s="38"/>
      <x:c r="W331" s="38"/>
      <x:c r="X331" s="38"/>
      <x:c r="Y331" s="38"/>
      <x:c r="Z331" s="38"/>
    </x:row>
    <x:row r="332" ht="18" customHeight="1">
      <x:c r="A332" s="38"/>
      <x:c r="B332" s="38"/>
      <x:c r="C332" s="38"/>
      <x:c r="D332" s="38"/>
      <x:c r="E332" s="38"/>
      <x:c r="F332" s="38"/>
      <x:c r="G332" s="38"/>
      <x:c r="H332" s="38"/>
      <x:c r="I332" s="38"/>
      <x:c r="J332" s="38"/>
      <x:c r="K332" s="38"/>
      <x:c r="L332" s="38"/>
      <x:c r="M332" s="38"/>
      <x:c r="N332" s="38"/>
      <x:c r="O332" s="38"/>
      <x:c r="P332" s="38"/>
      <x:c r="Q332" s="38"/>
      <x:c r="R332" s="38"/>
      <x:c r="S332" s="38"/>
      <x:c r="T332" s="38"/>
      <x:c r="U332" s="38"/>
      <x:c r="V332" s="38"/>
      <x:c r="W332" s="38"/>
      <x:c r="X332" s="38"/>
      <x:c r="Y332" s="38"/>
      <x:c r="Z332" s="38"/>
    </x:row>
    <x:row r="333" ht="18" customHeight="1">
      <x:c r="A333" s="38"/>
      <x:c r="B333" s="38"/>
      <x:c r="C333" s="38"/>
      <x:c r="D333" s="38"/>
      <x:c r="E333" s="38"/>
      <x:c r="F333" s="38"/>
      <x:c r="G333" s="38"/>
      <x:c r="H333" s="38"/>
      <x:c r="I333" s="38"/>
      <x:c r="J333" s="38"/>
      <x:c r="K333" s="38"/>
      <x:c r="L333" s="38"/>
      <x:c r="M333" s="38"/>
      <x:c r="N333" s="38"/>
      <x:c r="O333" s="38"/>
      <x:c r="P333" s="38"/>
      <x:c r="Q333" s="38"/>
      <x:c r="R333" s="38"/>
      <x:c r="S333" s="38"/>
      <x:c r="T333" s="38"/>
      <x:c r="U333" s="38"/>
      <x:c r="V333" s="38"/>
      <x:c r="W333" s="38"/>
      <x:c r="X333" s="38"/>
      <x:c r="Y333" s="38"/>
      <x:c r="Z333" s="38"/>
    </x:row>
    <x:row r="334" ht="18" customHeight="1">
      <x:c r="A334" s="38"/>
      <x:c r="B334" s="38"/>
      <x:c r="C334" s="38"/>
      <x:c r="D334" s="38"/>
      <x:c r="E334" s="38"/>
      <x:c r="F334" s="38"/>
      <x:c r="G334" s="38"/>
      <x:c r="H334" s="38"/>
      <x:c r="I334" s="38"/>
      <x:c r="J334" s="38"/>
      <x:c r="K334" s="38"/>
      <x:c r="L334" s="38"/>
      <x:c r="M334" s="38"/>
      <x:c r="N334" s="38"/>
      <x:c r="O334" s="38"/>
      <x:c r="P334" s="38"/>
      <x:c r="Q334" s="38"/>
      <x:c r="R334" s="38"/>
      <x:c r="S334" s="38"/>
      <x:c r="T334" s="38"/>
      <x:c r="U334" s="38"/>
      <x:c r="V334" s="38"/>
      <x:c r="W334" s="38"/>
      <x:c r="X334" s="38"/>
      <x:c r="Y334" s="38"/>
      <x:c r="Z334" s="38"/>
    </x:row>
    <x:row r="335" ht="18" customHeight="1">
      <x:c r="A335" s="38"/>
      <x:c r="B335" s="38"/>
      <x:c r="C335" s="38"/>
      <x:c r="D335" s="38"/>
      <x:c r="E335" s="38"/>
      <x:c r="F335" s="38"/>
      <x:c r="G335" s="38"/>
      <x:c r="H335" s="38"/>
      <x:c r="I335" s="38"/>
      <x:c r="J335" s="38"/>
      <x:c r="K335" s="38"/>
      <x:c r="L335" s="38"/>
      <x:c r="M335" s="38"/>
      <x:c r="N335" s="38"/>
      <x:c r="O335" s="38"/>
      <x:c r="P335" s="38"/>
      <x:c r="Q335" s="38"/>
      <x:c r="R335" s="38"/>
      <x:c r="S335" s="38"/>
      <x:c r="T335" s="38"/>
      <x:c r="U335" s="38"/>
      <x:c r="V335" s="38"/>
      <x:c r="W335" s="38"/>
      <x:c r="X335" s="38"/>
      <x:c r="Y335" s="38"/>
      <x:c r="Z335" s="38"/>
    </x:row>
    <x:row r="336" ht="18" customHeight="1">
      <x:c r="A336" s="38"/>
      <x:c r="B336" s="38"/>
      <x:c r="C336" s="38"/>
      <x:c r="D336" s="38"/>
      <x:c r="E336" s="38"/>
      <x:c r="F336" s="38"/>
      <x:c r="G336" s="38"/>
      <x:c r="H336" s="38"/>
      <x:c r="I336" s="38"/>
      <x:c r="J336" s="38"/>
      <x:c r="K336" s="38"/>
      <x:c r="L336" s="38"/>
      <x:c r="M336" s="38"/>
      <x:c r="N336" s="38"/>
      <x:c r="O336" s="38"/>
      <x:c r="P336" s="38"/>
      <x:c r="Q336" s="38"/>
      <x:c r="R336" s="38"/>
      <x:c r="S336" s="38"/>
      <x:c r="T336" s="38"/>
      <x:c r="U336" s="38"/>
      <x:c r="V336" s="38"/>
      <x:c r="W336" s="38"/>
      <x:c r="X336" s="38"/>
      <x:c r="Y336" s="38"/>
      <x:c r="Z336" s="38"/>
    </x:row>
    <x:row r="337" ht="18" customHeight="1">
      <x:c r="A337" s="38"/>
      <x:c r="B337" s="38"/>
      <x:c r="C337" s="38"/>
      <x:c r="D337" s="38"/>
      <x:c r="E337" s="38"/>
      <x:c r="F337" s="38"/>
      <x:c r="G337" s="38"/>
      <x:c r="H337" s="38"/>
      <x:c r="I337" s="38"/>
      <x:c r="J337" s="38"/>
      <x:c r="K337" s="38"/>
      <x:c r="L337" s="38"/>
      <x:c r="M337" s="38"/>
      <x:c r="N337" s="38"/>
      <x:c r="O337" s="38"/>
      <x:c r="P337" s="38"/>
      <x:c r="Q337" s="38"/>
      <x:c r="R337" s="38"/>
      <x:c r="S337" s="38"/>
      <x:c r="T337" s="38"/>
      <x:c r="U337" s="38"/>
      <x:c r="V337" s="38"/>
      <x:c r="W337" s="38"/>
      <x:c r="X337" s="38"/>
      <x:c r="Y337" s="38"/>
      <x:c r="Z337" s="38"/>
    </x:row>
    <x:row r="338" ht="18" customHeight="1">
      <x:c r="A338" s="38"/>
      <x:c r="B338" s="38"/>
      <x:c r="C338" s="38"/>
      <x:c r="D338" s="38"/>
      <x:c r="E338" s="38"/>
      <x:c r="F338" s="38"/>
      <x:c r="G338" s="38"/>
      <x:c r="H338" s="38"/>
      <x:c r="I338" s="38"/>
      <x:c r="J338" s="38"/>
      <x:c r="K338" s="38"/>
      <x:c r="L338" s="38"/>
      <x:c r="M338" s="38"/>
      <x:c r="N338" s="38"/>
      <x:c r="O338" s="38"/>
      <x:c r="P338" s="38"/>
      <x:c r="Q338" s="38"/>
      <x:c r="R338" s="38"/>
      <x:c r="S338" s="38"/>
      <x:c r="T338" s="38"/>
      <x:c r="U338" s="38"/>
      <x:c r="V338" s="38"/>
      <x:c r="W338" s="38"/>
      <x:c r="X338" s="38"/>
      <x:c r="Y338" s="38"/>
      <x:c r="Z338" s="38"/>
    </x:row>
    <x:row r="339" ht="18" customHeight="1">
      <x:c r="A339" s="38"/>
      <x:c r="B339" s="38"/>
      <x:c r="C339" s="38"/>
      <x:c r="D339" s="38"/>
      <x:c r="E339" s="38"/>
      <x:c r="F339" s="38"/>
      <x:c r="G339" s="38"/>
      <x:c r="H339" s="38"/>
      <x:c r="I339" s="38"/>
      <x:c r="J339" s="38"/>
      <x:c r="K339" s="38"/>
      <x:c r="L339" s="38"/>
      <x:c r="M339" s="38"/>
      <x:c r="N339" s="38"/>
      <x:c r="O339" s="38"/>
      <x:c r="P339" s="38"/>
      <x:c r="Q339" s="38"/>
      <x:c r="R339" s="38"/>
      <x:c r="S339" s="38"/>
      <x:c r="T339" s="38"/>
      <x:c r="U339" s="38"/>
      <x:c r="V339" s="38"/>
      <x:c r="W339" s="38"/>
      <x:c r="X339" s="38"/>
      <x:c r="Y339" s="38"/>
      <x:c r="Z339" s="38"/>
    </x:row>
    <x:row r="340" ht="18" customHeight="1">
      <x:c r="A340" s="38"/>
      <x:c r="B340" s="38"/>
      <x:c r="C340" s="38"/>
      <x:c r="D340" s="38"/>
      <x:c r="E340" s="38"/>
      <x:c r="F340" s="38"/>
      <x:c r="G340" s="38"/>
      <x:c r="H340" s="38"/>
      <x:c r="I340" s="38"/>
      <x:c r="J340" s="38"/>
      <x:c r="K340" s="38"/>
      <x:c r="L340" s="38"/>
      <x:c r="M340" s="38"/>
      <x:c r="N340" s="38"/>
      <x:c r="O340" s="38"/>
      <x:c r="P340" s="38"/>
      <x:c r="Q340" s="38"/>
      <x:c r="R340" s="38"/>
      <x:c r="S340" s="38"/>
      <x:c r="T340" s="38"/>
      <x:c r="U340" s="38"/>
      <x:c r="V340" s="38"/>
      <x:c r="W340" s="38"/>
      <x:c r="X340" s="38"/>
      <x:c r="Y340" s="38"/>
      <x:c r="Z340" s="38"/>
    </x:row>
    <x:row r="341" ht="18" customHeight="1">
      <x:c r="A341" s="38"/>
      <x:c r="B341" s="38"/>
      <x:c r="C341" s="38"/>
      <x:c r="D341" s="38"/>
      <x:c r="E341" s="38"/>
      <x:c r="F341" s="38"/>
      <x:c r="G341" s="38"/>
      <x:c r="H341" s="38"/>
      <x:c r="I341" s="38"/>
      <x:c r="J341" s="38"/>
      <x:c r="K341" s="38"/>
      <x:c r="L341" s="38"/>
      <x:c r="M341" s="38"/>
      <x:c r="N341" s="38"/>
      <x:c r="O341" s="38"/>
      <x:c r="P341" s="38"/>
      <x:c r="Q341" s="38"/>
      <x:c r="R341" s="38"/>
      <x:c r="S341" s="38"/>
      <x:c r="T341" s="38"/>
      <x:c r="U341" s="38"/>
      <x:c r="V341" s="38"/>
      <x:c r="W341" s="38"/>
      <x:c r="X341" s="38"/>
      <x:c r="Y341" s="38"/>
      <x:c r="Z341" s="38"/>
    </x:row>
    <x:row r="342" ht="18" customHeight="1">
      <x:c r="A342" s="38"/>
      <x:c r="B342" s="38"/>
      <x:c r="C342" s="38"/>
      <x:c r="D342" s="38"/>
      <x:c r="E342" s="38"/>
      <x:c r="F342" s="38"/>
      <x:c r="G342" s="38"/>
      <x:c r="H342" s="38"/>
      <x:c r="I342" s="38"/>
      <x:c r="J342" s="38"/>
      <x:c r="K342" s="38"/>
      <x:c r="L342" s="38"/>
      <x:c r="M342" s="38"/>
      <x:c r="N342" s="38"/>
      <x:c r="O342" s="38"/>
      <x:c r="P342" s="38"/>
      <x:c r="Q342" s="38"/>
      <x:c r="R342" s="38"/>
      <x:c r="S342" s="38"/>
      <x:c r="T342" s="38"/>
      <x:c r="U342" s="38"/>
      <x:c r="V342" s="38"/>
      <x:c r="W342" s="38"/>
      <x:c r="X342" s="38"/>
      <x:c r="Y342" s="38"/>
      <x:c r="Z342" s="38"/>
    </x:row>
    <x:row r="343" ht="18" customHeight="1">
      <x:c r="A343" s="38"/>
      <x:c r="B343" s="38"/>
      <x:c r="C343" s="38"/>
      <x:c r="D343" s="38"/>
      <x:c r="E343" s="38"/>
      <x:c r="F343" s="38"/>
      <x:c r="G343" s="38"/>
      <x:c r="H343" s="38"/>
      <x:c r="I343" s="38"/>
      <x:c r="J343" s="38"/>
      <x:c r="K343" s="38"/>
      <x:c r="L343" s="38"/>
      <x:c r="M343" s="38"/>
      <x:c r="N343" s="38"/>
      <x:c r="O343" s="38"/>
      <x:c r="P343" s="38"/>
      <x:c r="Q343" s="38"/>
      <x:c r="R343" s="38"/>
      <x:c r="S343" s="38"/>
      <x:c r="T343" s="38"/>
      <x:c r="U343" s="38"/>
      <x:c r="V343" s="38"/>
      <x:c r="W343" s="38"/>
      <x:c r="X343" s="38"/>
      <x:c r="Y343" s="38"/>
      <x:c r="Z343" s="38"/>
    </x:row>
    <x:row r="344" ht="18" customHeight="1">
      <x:c r="A344" s="38"/>
      <x:c r="B344" s="38"/>
      <x:c r="C344" s="38"/>
      <x:c r="D344" s="38"/>
      <x:c r="E344" s="38"/>
      <x:c r="F344" s="38"/>
      <x:c r="G344" s="38"/>
      <x:c r="H344" s="38"/>
      <x:c r="I344" s="38"/>
      <x:c r="J344" s="38"/>
      <x:c r="K344" s="38"/>
      <x:c r="L344" s="38"/>
      <x:c r="M344" s="38"/>
      <x:c r="N344" s="38"/>
      <x:c r="O344" s="38"/>
      <x:c r="P344" s="38"/>
      <x:c r="Q344" s="38"/>
      <x:c r="R344" s="38"/>
      <x:c r="S344" s="38"/>
      <x:c r="T344" s="38"/>
      <x:c r="U344" s="38"/>
      <x:c r="V344" s="38"/>
      <x:c r="W344" s="38"/>
      <x:c r="X344" s="38"/>
      <x:c r="Y344" s="38"/>
      <x:c r="Z344" s="38"/>
    </x:row>
    <x:row r="345" ht="18" customHeight="1">
      <x:c r="A345" s="38"/>
      <x:c r="B345" s="38"/>
      <x:c r="C345" s="38"/>
      <x:c r="D345" s="38"/>
      <x:c r="E345" s="38"/>
      <x:c r="F345" s="38"/>
      <x:c r="G345" s="38"/>
      <x:c r="H345" s="38"/>
      <x:c r="I345" s="38"/>
      <x:c r="J345" s="38"/>
      <x:c r="K345" s="38"/>
      <x:c r="L345" s="38"/>
      <x:c r="M345" s="38"/>
      <x:c r="N345" s="38"/>
      <x:c r="O345" s="38"/>
      <x:c r="P345" s="38"/>
      <x:c r="Q345" s="38"/>
      <x:c r="R345" s="38"/>
      <x:c r="S345" s="38"/>
      <x:c r="T345" s="38"/>
      <x:c r="U345" s="38"/>
      <x:c r="V345" s="38"/>
      <x:c r="W345" s="38"/>
      <x:c r="X345" s="38"/>
      <x:c r="Y345" s="38"/>
      <x:c r="Z345" s="38"/>
    </x:row>
    <x:row r="346" ht="18" customHeight="1">
      <x:c r="A346" s="38"/>
      <x:c r="B346" s="38"/>
      <x:c r="C346" s="38"/>
      <x:c r="D346" s="38"/>
      <x:c r="E346" s="38"/>
      <x:c r="F346" s="38"/>
      <x:c r="G346" s="38"/>
      <x:c r="H346" s="38"/>
      <x:c r="I346" s="38"/>
      <x:c r="J346" s="38"/>
      <x:c r="K346" s="38"/>
      <x:c r="L346" s="38"/>
      <x:c r="M346" s="38"/>
      <x:c r="N346" s="38"/>
      <x:c r="O346" s="38"/>
      <x:c r="P346" s="38"/>
      <x:c r="Q346" s="38"/>
      <x:c r="R346" s="38"/>
      <x:c r="S346" s="38"/>
      <x:c r="T346" s="38"/>
      <x:c r="U346" s="38"/>
      <x:c r="V346" s="38"/>
      <x:c r="W346" s="38"/>
      <x:c r="X346" s="38"/>
      <x:c r="Y346" s="38"/>
      <x:c r="Z346" s="38"/>
    </x:row>
    <x:row r="347" ht="18" customHeight="1">
      <x:c r="A347" s="38"/>
      <x:c r="B347" s="38"/>
      <x:c r="C347" s="38"/>
      <x:c r="D347" s="38"/>
      <x:c r="E347" s="38"/>
      <x:c r="F347" s="38"/>
      <x:c r="G347" s="38"/>
      <x:c r="H347" s="38"/>
      <x:c r="I347" s="38"/>
      <x:c r="J347" s="38"/>
      <x:c r="K347" s="38"/>
      <x:c r="L347" s="38"/>
      <x:c r="M347" s="38"/>
      <x:c r="N347" s="38"/>
      <x:c r="O347" s="38"/>
      <x:c r="P347" s="38"/>
      <x:c r="Q347" s="38"/>
      <x:c r="R347" s="38"/>
      <x:c r="S347" s="38"/>
      <x:c r="T347" s="38"/>
      <x:c r="U347" s="38"/>
      <x:c r="V347" s="38"/>
      <x:c r="W347" s="38"/>
      <x:c r="X347" s="38"/>
      <x:c r="Y347" s="38"/>
      <x:c r="Z347" s="38"/>
    </x:row>
    <x:row r="348" ht="18" customHeight="1">
      <x:c r="A348" s="38"/>
      <x:c r="B348" s="38"/>
      <x:c r="C348" s="38"/>
      <x:c r="D348" s="38"/>
      <x:c r="E348" s="38"/>
      <x:c r="F348" s="38"/>
      <x:c r="G348" s="38"/>
      <x:c r="H348" s="38"/>
      <x:c r="I348" s="38"/>
      <x:c r="J348" s="38"/>
      <x:c r="K348" s="38"/>
      <x:c r="L348" s="38"/>
      <x:c r="M348" s="38"/>
      <x:c r="N348" s="38"/>
      <x:c r="O348" s="38"/>
      <x:c r="P348" s="38"/>
      <x:c r="Q348" s="38"/>
      <x:c r="R348" s="38"/>
      <x:c r="S348" s="38"/>
      <x:c r="T348" s="38"/>
      <x:c r="U348" s="38"/>
      <x:c r="V348" s="38"/>
      <x:c r="W348" s="38"/>
      <x:c r="X348" s="38"/>
      <x:c r="Y348" s="38"/>
      <x:c r="Z348" s="38"/>
    </x:row>
    <x:row r="349" ht="18" customHeight="1">
      <x:c r="A349" s="38"/>
      <x:c r="B349" s="38"/>
      <x:c r="C349" s="38"/>
      <x:c r="D349" s="38"/>
      <x:c r="E349" s="38"/>
      <x:c r="F349" s="38"/>
      <x:c r="G349" s="38"/>
      <x:c r="H349" s="38"/>
      <x:c r="I349" s="38"/>
      <x:c r="J349" s="38"/>
      <x:c r="K349" s="38"/>
      <x:c r="L349" s="38"/>
      <x:c r="M349" s="38"/>
      <x:c r="N349" s="38"/>
      <x:c r="O349" s="38"/>
      <x:c r="P349" s="38"/>
      <x:c r="Q349" s="38"/>
      <x:c r="R349" s="38"/>
      <x:c r="S349" s="38"/>
      <x:c r="T349" s="38"/>
      <x:c r="U349" s="38"/>
      <x:c r="V349" s="38"/>
      <x:c r="W349" s="38"/>
      <x:c r="X349" s="38"/>
      <x:c r="Y349" s="38"/>
      <x:c r="Z349" s="38"/>
    </x:row>
    <x:row r="350" ht="18" customHeight="1">
      <x:c r="A350" s="38"/>
      <x:c r="B350" s="38"/>
      <x:c r="C350" s="38"/>
      <x:c r="D350" s="38"/>
      <x:c r="E350" s="38"/>
      <x:c r="F350" s="38"/>
      <x:c r="G350" s="38"/>
      <x:c r="H350" s="38"/>
      <x:c r="I350" s="38"/>
      <x:c r="J350" s="38"/>
      <x:c r="K350" s="38"/>
      <x:c r="L350" s="38"/>
      <x:c r="M350" s="38"/>
      <x:c r="N350" s="38"/>
      <x:c r="O350" s="38"/>
      <x:c r="P350" s="38"/>
      <x:c r="Q350" s="38"/>
      <x:c r="R350" s="38"/>
      <x:c r="S350" s="38"/>
      <x:c r="T350" s="38"/>
      <x:c r="U350" s="38"/>
      <x:c r="V350" s="38"/>
      <x:c r="W350" s="38"/>
      <x:c r="X350" s="38"/>
      <x:c r="Y350" s="38"/>
      <x:c r="Z350" s="38"/>
    </x:row>
  </x:sheetData>
  <x:mergeCells>
    <x:mergeCell ref="A1:X1"/>
    <x:mergeCell ref="A2:X2"/>
  </x:mergeCells>
  <x:pageMargins left="0.7" right="0.7" top="0.75" bottom="0.75" header="0.3" footer="0.3"/>
  <x:tableParts count="1">
    <x:tablePart xmlns:r="http://schemas.openxmlformats.org/officeDocument/2006/relationships" r:id="Reb6dac06eba74ebf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98C03C69A0E541B73ABF0E23B46DB7" ma:contentTypeVersion="10" ma:contentTypeDescription="Create a new document." ma:contentTypeScope="" ma:versionID="61aafffdc7bf36d15c0e2c3f8cdac420">
  <xsd:schema xmlns:xsd="http://www.w3.org/2001/XMLSchema" xmlns:xs="http://www.w3.org/2001/XMLSchema" xmlns:p="http://schemas.microsoft.com/office/2006/metadata/properties" xmlns:ns2="cd032715-1c0b-409f-a5f7-72d59c7bfffc" xmlns:ns3="e3404d3d-0387-4800-a563-2ac7e7f507d0" targetNamespace="http://schemas.microsoft.com/office/2006/metadata/properties" ma:root="true" ma:fieldsID="56f3fc931d5cb2506fb442327589587d" ns2:_="" ns3:_="">
    <xsd:import namespace="cd032715-1c0b-409f-a5f7-72d59c7bfffc"/>
    <xsd:import namespace="e3404d3d-0387-4800-a563-2ac7e7f507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032715-1c0b-409f-a5f7-72d59c7bff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5a6c181-b3a6-4e6d-958a-84db063416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404d3d-0387-4800-a563-2ac7e7f507d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b11e15f-836d-490b-9337-e646c18716be}" ma:internalName="TaxCatchAll" ma:showField="CatchAllData" ma:web="e3404d3d-0387-4800-a563-2ac7e7f507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032715-1c0b-409f-a5f7-72d59c7bfffc">
      <Terms xmlns="http://schemas.microsoft.com/office/infopath/2007/PartnerControls"/>
    </lcf76f155ced4ddcb4097134ff3c332f>
    <TaxCatchAll xmlns="e3404d3d-0387-4800-a563-2ac7e7f507d0" xsi:nil="true"/>
  </documentManagement>
</p:properties>
</file>

<file path=customXml/itemProps1.xml><?xml version="1.0" encoding="utf-8"?>
<ds:datastoreItem xmlns:ds="http://schemas.openxmlformats.org/officeDocument/2006/customXml" ds:itemID="{2862A400-8F10-4098-8A0E-2416AAF017A3}"/>
</file>

<file path=customXml/itemProps2.xml><?xml version="1.0" encoding="utf-8"?>
<ds:datastoreItem xmlns:ds="http://schemas.openxmlformats.org/officeDocument/2006/customXml" ds:itemID="{FD42162C-5B28-44F6-ADF9-0CD1C8428775}"/>
</file>

<file path=customXml/itemProps3.xml><?xml version="1.0" encoding="utf-8"?>
<ds:datastoreItem xmlns:ds="http://schemas.openxmlformats.org/officeDocument/2006/customXml" ds:itemID="{5718F175-E227-48BD-A99A-6EAD7318C1D4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0x0101006998C03C69A0E541B73ABF0E23B46DB7</vt:lpwstr>
  </property>
</Properties>
</file>